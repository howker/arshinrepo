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20955" windowHeight="9720"/>
  </bookViews>
  <sheets>
    <sheet name="Прил.1.1 (Сч,ТТ,ТН)" sheetId="1" r:id="rId1"/>
    <sheet name="Прил.1.2 (УСПД, УССВ, АИИС" sheetId="2" r:id="rId2"/>
    <sheet name="Прил.1.3 (Энергоресурсы) (2)" sheetId="3" r:id="rId3"/>
    <sheet name="Лист1" sheetId="4" r:id="rId4"/>
  </sheets>
  <definedNames>
    <definedName name="_xlnm._FilterDatabase" localSheetId="0" hidden="1">'Прил.1.1 (Сч,ТТ,ТН)'!$A$9:$BT$1128</definedName>
    <definedName name="_xlnm._FilterDatabase" localSheetId="2" hidden="1">'Прил.1.3 (Энергоресурсы) (2)'!$A$9:$BE$106</definedName>
  </definedNames>
  <calcPr calcId="145621" iterateDelta="1E-4"/>
</workbook>
</file>

<file path=xl/calcChain.xml><?xml version="1.0" encoding="utf-8"?>
<calcChain xmlns="http://schemas.openxmlformats.org/spreadsheetml/2006/main">
  <c r="A31" i="4" l="1"/>
  <c r="B31" i="4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B9" i="3"/>
  <c r="D10" i="2"/>
  <c r="C10" i="2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B9" i="1"/>
</calcChain>
</file>

<file path=xl/comments1.xml><?xml version="1.0" encoding="utf-8"?>
<comments xmlns="http://schemas.openxmlformats.org/spreadsheetml/2006/main">
  <authors>
    <author>tc={5C30D8B3-0C0E-222D-08FB-F03485798BC6}</author>
    <author>tc={35319893-0DD2-2A78-D3B4-178865CF9CB0}</author>
    <author>tc={007B00E8-0050-4FEA-96FD-00FE005C0026}</author>
    <author>tc={C47A90A4-6145-ACC3-A912-BBDCF7A960D5}</author>
    <author>tc={16C040DF-0186-79F7-E944-0F265CF5A275}</author>
    <author>tc={00BA0064-00E3-4A27-8779-00D10078005B}</author>
    <author>tc={00B800D0-00D7-4C18-9BC3-00CA00EC00DD}</author>
    <author>tc={00090013-0019-402C-B0D8-0013003D00F7}</author>
    <author>tc={00600039-00D4-4E05-889F-00BE004E00D7}</author>
    <author>tc={00CB002D-002E-4DED-8D14-00CA000A004C}</author>
    <author>tc={00C700EC-00D2-40CF-816C-000200F8001B}</author>
    <author>tc={00EF0045-0064-4118-93F9-005100FF000F}</author>
    <author>tc={00230018-0066-47D7-ABE5-002C000300B2}</author>
    <author>tc={002B0029-00C4-4B10-80D3-009700E20070}</author>
    <author>tc={9229334F-40BE-A4B1-7EEC-4EDEB51DE348}</author>
    <author>tc={000D0053-004B-42FE-957E-005F002B00BC}</author>
    <author>tc={00BA0052-008E-4C08-805B-004900A4004A}</author>
    <author>tc={0055008B-0089-42E4-9870-0071007E0091}</author>
    <author>tc={00A300A7-00DC-41E7-BCA4-00B30022006B}</author>
    <author>tc={009B0013-0082-4C51-8DED-002F00060007}</author>
    <author>tc={004F0008-006E-40E3-8C9C-00E3005A00CE}</author>
    <author>tc={009E001B-0072-4197-9837-00CB00BB0091}</author>
    <author>tc={00F40066-00B7-4CCD-9457-00A4004B0079}</author>
    <author>tc={00820078-000B-40B4-B497-002200640013}</author>
    <author>tc={005A0097-003D-41C9-9532-0035005B0065}</author>
    <author>tc={004E002E-00EE-49D5-863E-00D2006200F8}</author>
    <author>tc={009C00FA-007E-4789-8F6B-001800D20039}</author>
    <author>tc={008D0019-0011-4D28-A6CE-0099001D00E2}</author>
    <author>tc={00840090-006D-4C8C-8F89-00D5004E006C}</author>
    <author>tc={008900F2-0042-4450-AA2E-0014006200CF}</author>
    <author>tc={006C0039-008A-4E89-B884-0090000B0014}</author>
    <author>tc={004F005C-001B-4FE3-8030-000200D200A7}</author>
    <author>tc={006E007A-0014-4A9F-AD11-00840032006A}</author>
    <author>tc={00130006-00BA-426B-AA0F-008100E10010}</author>
    <author>tc={00E40051-0005-42D0-9FA1-0013008E0077}</author>
    <author>tc={008E00BE-003F-4524-9009-00E20008008C}</author>
    <author>tc={00CE007E-00FE-4C57-AEA9-008400430071}</author>
    <author>tc={00A70042-00E7-4697-8D3E-00960091008D}</author>
    <author>tc={000A0046-0047-437E-B643-004100C300C8}</author>
    <author>tc={00D90002-0038-4268-8DDB-007A00290050}</author>
    <author>tc={001100A1-0067-4084-8E51-00E90086007B}</author>
    <author>tc={9D3C7761-D809-8246-5774-E4B35DDD05CB}</author>
    <author>tc={00E60037-00B1-4D1E-8A03-006F003700F9}</author>
    <author>tc={001000FD-0060-4BC0-8963-001A00790074}</author>
    <author>tc={001400A2-009F-421B-B028-00FE00B3000C}</author>
    <author>tc={002B00CA-0086-45AF-AFA4-008400770089}</author>
    <author>tc={003700DC-00DB-49C2-8AA1-00A4001100D7}</author>
    <author>tc={00E00025-0026-4356-8134-002900F60054}</author>
    <author>tc={003D0078-009C-4630-9F5F-00D100AA009D}</author>
    <author>tc={00EC007E-0070-4615-8CBC-00CE0076004F}</author>
    <author>tc={0052007B-00BE-43FE-B867-00E200220082}</author>
    <author>tc={006900EA-008D-40CB-842D-006700A500B4}</author>
    <author>tc={00A700A4-002E-4A58-8A97-00B600BC0037}</author>
    <author>tc={006500A6-0090-48E3-BA59-0012007200A4}</author>
    <author>tc={00FA0003-0025-4946-BECC-00A9008800B3}</author>
    <author>tc={002F00FE-00EF-4DF8-B9F0-0004006B00CA}</author>
    <author>tc={008600AA-003B-4CE2-8835-009600B400AB}</author>
    <author>tc={5847E690-F348-BD6F-0AC1-E85F47336E03}</author>
    <author>tc={000000F5-00E6-4D4D-B4FA-004000BC00AD}</author>
    <author>tc={61C66733-22C6-1016-6771-DE13B0EB523A}</author>
    <author>tc={008E00AE-00B4-49C4-8ADF-00B1009F006E}</author>
    <author>tc={D8AA94E8-A4A6-61E6-3A0C-6856292444B7}</author>
    <author>tc={004C0046-0022-4BA1-8FC5-002300B2001F}</author>
  </authors>
  <commentList>
    <comment ref="I10" authorId="0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06.04.2026 Замена ЕА 01110775
</t>
        </r>
      </text>
    </comment>
    <comment ref="I14" authorId="1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20.10.2025 Замена ЕА 1111037
</t>
        </r>
      </text>
    </comment>
    <comment ref="Q35" authorId="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Планируется поверка в 4 кв.2024
</t>
        </r>
      </text>
    </comment>
    <comment ref="I89" authorId="3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24.04.2024 Замена ЕА 0111088
</t>
        </r>
      </text>
    </comment>
    <comment ref="I123" authorId="4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27.04.2026 Замена ЕА01111473
</t>
        </r>
      </text>
    </comment>
    <comment ref="I148" authorId="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18.10.2023
Замена ЕвроАльфа 01173673
</t>
        </r>
      </text>
    </comment>
    <comment ref="N256" authorId="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259" authorId="7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262" authorId="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1110428 16.03.2023
</t>
        </r>
      </text>
    </comment>
    <comment ref="N265" authorId="9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268" authorId="1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271" authorId="11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1110432 16.03.2023
</t>
        </r>
      </text>
    </comment>
    <comment ref="I277" authorId="1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1110427 16.03.2023
</t>
        </r>
      </text>
    </comment>
    <comment ref="N292" authorId="13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294" authorId="14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14.10.2025 Замена ЕА 1110911
</t>
        </r>
      </text>
    </comment>
    <comment ref="I307" authorId="1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1110503  16.03.2023
</t>
        </r>
      </text>
    </comment>
    <comment ref="N322" authorId="1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25" authorId="17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28" authorId="1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0" authorId="19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3" authorId="2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6" authorId="21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9" authorId="2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52" authorId="23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55" authorId="24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58" authorId="2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61" authorId="2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64" authorId="27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67" authorId="2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370" authorId="29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1110500 16.03.2023
</t>
        </r>
      </text>
    </comment>
    <comment ref="N373" authorId="3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76" authorId="31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79" authorId="3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382" authorId="33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09.12.2024 замена ЕвроАльфа 01110770
</t>
        </r>
      </text>
    </comment>
    <comment ref="N382" authorId="34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85" authorId="3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88" authorId="3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03" authorId="37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1110531 16.03.2023
</t>
        </r>
      </text>
    </comment>
    <comment ref="N406" authorId="3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09" authorId="39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12" authorId="4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13" authorId="41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06.11.2025 Замена ЕА 01110948
</t>
        </r>
      </text>
    </comment>
    <comment ref="N415" authorId="4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21" authorId="43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H427" authorId="44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31.07.2025 Замена ЕА № 01110749
</t>
        </r>
      </text>
    </comment>
    <comment ref="N427" authorId="4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30" authorId="4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33" authorId="47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36" authorId="4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39" authorId="49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1110431 16.03.2023
</t>
        </r>
      </text>
    </comment>
    <comment ref="N445" authorId="5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54" authorId="51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69" authorId="5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72" authorId="53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1134351 
16.03.2023
</t>
        </r>
      </text>
    </comment>
    <comment ref="M502" authorId="54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в АРМ Метролог.
</t>
        </r>
      </text>
    </comment>
    <comment ref="M505" authorId="5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в АРМ Метролог.
</t>
        </r>
      </text>
    </comment>
    <comment ref="I622" authorId="5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29.08.2024 
Замена счетчика ЕА №01111044
</t>
        </r>
      </text>
    </comment>
    <comment ref="I627" authorId="57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17.03.2026 Замена ЕА 01111451
</t>
        </r>
      </text>
    </comment>
    <comment ref="I646" authorId="5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счетчика ЕА №01110964
</t>
        </r>
      </text>
    </comment>
    <comment ref="I660" authorId="59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20.02.2026 Замена ЕА 01173710
17.03.2026 Замена Меркурий 48302515
</t>
        </r>
      </text>
    </comment>
    <comment ref="I670" authorId="6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06.06.2024 Замена ЕА 01110852
</t>
        </r>
      </text>
    </comment>
    <comment ref="I683" authorId="61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30.04.2026 Замена ЕА01173705
</t>
        </r>
      </text>
    </comment>
    <comment ref="I688" authorId="6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23.12.2024 замена ЕвроАльфа 01110824
</t>
        </r>
      </text>
    </comment>
  </commentList>
</comments>
</file>

<file path=xl/comments2.xml><?xml version="1.0" encoding="utf-8"?>
<comments xmlns="http://schemas.openxmlformats.org/spreadsheetml/2006/main">
  <authors>
    <author>tc={0088003C-0035-4D69-B4C2-008700B400EA}</author>
    <author>tc={00C5003F-00FA-4D18-A551-004F00DD00D6}</author>
    <author>tc={00D30003-004B-4365-AEC6-0056007F00B6}</author>
  </authors>
  <commentList>
    <comment ref="F10" authorId="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RTU-325 исключены из описания типа 
</t>
        </r>
      </text>
    </comment>
    <comment ref="F11" authorId="1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RTU-325 исключены из описания типа 
</t>
        </r>
      </text>
    </comment>
    <comment ref="F12" authorId="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RTU-325 исключены из описания типа 
</t>
        </r>
      </text>
    </comment>
  </commentList>
</comments>
</file>

<file path=xl/comments3.xml><?xml version="1.0" encoding="utf-8"?>
<comments xmlns="http://schemas.openxmlformats.org/spreadsheetml/2006/main">
  <authors>
    <author>tc={005800D6-00E6-4A82-9AD6-00A0006000E8}</author>
    <author>tc={00D600A1-0051-431F-830B-0011002500C3}</author>
    <author>tc={002D0009-00DD-4B42-ACBF-00D900F700D0}</author>
    <author>tc={00AE0083-0018-4EC6-B4D2-00DB00910091}</author>
    <author>tc={00CD0052-000E-4709-A161-003800230078}</author>
    <author>tc={00850029-0049-49B5-A2D1-00A800640033}</author>
    <author>tc={007100B0-00C5-4FDF-820D-00BB00020040}</author>
    <author>tc={001B00CB-00EE-4CA3-B29D-006B008B0056}</author>
    <author>tc={004400E8-0068-4C11-8E36-001500030011}</author>
    <author>tc={001A0006-00C0-46DA-90D4-0097009000CC}</author>
    <author>tc={00DD0013-004D-4D87-9C17-009D00C200C3}</author>
  </authors>
  <commentList>
    <comment ref="J22" authorId="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прибора
</t>
        </r>
      </text>
    </comment>
    <comment ref="J23" authorId="1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ИУ
</t>
        </r>
      </text>
    </comment>
    <comment ref="J38" authorId="2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прибора
</t>
        </r>
      </text>
    </comment>
    <comment ref="J39" authorId="3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ИУ
</t>
        </r>
      </text>
    </comment>
    <comment ref="J43" authorId="4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ПУ неисправен
</t>
        </r>
      </text>
    </comment>
    <comment ref="M61" authorId="5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Данные соответствуют АС "АРМ-Метролог"
</t>
        </r>
      </text>
    </comment>
    <comment ref="M70" authorId="6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73" authorId="7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77" authorId="8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81" authorId="9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84" authorId="10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</commentList>
</comments>
</file>

<file path=xl/sharedStrings.xml><?xml version="1.0" encoding="utf-8"?>
<sst xmlns="http://schemas.openxmlformats.org/spreadsheetml/2006/main" count="15251" uniqueCount="2810">
  <si>
    <t>Сведения о количестве средств измерений</t>
  </si>
  <si>
    <t>(счетчики ЭЭ, трансформаторы тока и напряжения)</t>
  </si>
  <si>
    <t>в составе основных средств, эксплуатируемых</t>
  </si>
  <si>
    <t>Инженерно-техническим центром ООО "Газпром энерго"</t>
  </si>
  <si>
    <t>№ п/п</t>
  </si>
  <si>
    <t>Дочернее общество</t>
  </si>
  <si>
    <t>Наименование объекта</t>
  </si>
  <si>
    <t>Инвентарный номер</t>
  </si>
  <si>
    <t>Наименование точки
 присоединения</t>
  </si>
  <si>
    <t>Уровень напряжения в точке учета</t>
  </si>
  <si>
    <t>Тип учета</t>
  </si>
  <si>
    <t>Счетчик электрической энергии</t>
  </si>
  <si>
    <t>Трансформатор тока</t>
  </si>
  <si>
    <t>Трансформатор напряжения</t>
  </si>
  <si>
    <t>Участие в договоре информационного обмена</t>
  </si>
  <si>
    <t>Принадлежность  (ДО/филиал ГПЭ)</t>
  </si>
  <si>
    <t>Сведения о СИ</t>
  </si>
  <si>
    <t>Сведения о поверке</t>
  </si>
  <si>
    <t xml:space="preserve">Тип ПУ </t>
  </si>
  <si>
    <t>Зав. 
номер</t>
  </si>
  <si>
    <t>Класс точности</t>
  </si>
  <si>
    <t>Год 
выпуска</t>
  </si>
  <si>
    <t>Дата 
поверки</t>
  </si>
  <si>
    <t>Дата след
 поверки</t>
  </si>
  <si>
    <t>Наличие св-ва о поверке (паспорта)</t>
  </si>
  <si>
    <t>Тип ТТ</t>
  </si>
  <si>
    <t>Коэф
трансформации</t>
  </si>
  <si>
    <t>Тип ТН</t>
  </si>
  <si>
    <t>ООО Газпром добыча Астрахань</t>
  </si>
  <si>
    <t>ГПП 1</t>
  </si>
  <si>
    <t xml:space="preserve">СШ1 ЗРУ 6кВ №1 Ввод 1 яч. №11 </t>
  </si>
  <si>
    <t>6 кВ</t>
  </si>
  <si>
    <t>Т</t>
  </si>
  <si>
    <t>Меркурий 234 ARTM2-00 PB.R</t>
  </si>
  <si>
    <t>40724005</t>
  </si>
  <si>
    <t>0,2S</t>
  </si>
  <si>
    <t>https://fgis.gost.ru/fundmetrology/cm/results/2-167528364</t>
  </si>
  <si>
    <t xml:space="preserve">ТЛШ-10
</t>
  </si>
  <si>
    <t>3000/5</t>
  </si>
  <si>
    <t xml:space="preserve">7204
</t>
  </si>
  <si>
    <t>https://fgis.gost.ru/fundmetrology/cm/results/1-256311335</t>
  </si>
  <si>
    <t xml:space="preserve">ЗНОЛ-0.6-10 УЗ
</t>
  </si>
  <si>
    <t>6000/100</t>
  </si>
  <si>
    <t xml:space="preserve">6586
</t>
  </si>
  <si>
    <t>https://fgis.gost.ru/fundmetrology/cm/results/1-258871757</t>
  </si>
  <si>
    <t>Сч ИТЦ  ГПЭ,
ТТ и ТН ЮФ ГПЭ</t>
  </si>
  <si>
    <t xml:space="preserve">7578
</t>
  </si>
  <si>
    <t>https://fgis.gost.ru/fundmetrology/cm/results/1-256311336</t>
  </si>
  <si>
    <t xml:space="preserve">6590
</t>
  </si>
  <si>
    <t>https://fgis.gost.ru/fundmetrology/cm/results/1-256311832</t>
  </si>
  <si>
    <t>ТЛШ-10</t>
  </si>
  <si>
    <t>https://fgis.gost.ru/fundmetrology/cm/results/1-256311334</t>
  </si>
  <si>
    <t>ЗНОЛ-0.6-10 УЗ</t>
  </si>
  <si>
    <t>7737</t>
  </si>
  <si>
    <t>https://fgis.gost.ru/fundmetrology/cm/results/1-258871763</t>
  </si>
  <si>
    <t>СШ1 ЗРУ 6кВ №1 ЗРУ 10/6, яч. 48</t>
  </si>
  <si>
    <t>40724012</t>
  </si>
  <si>
    <t>https://fgis.gost.ru/fundmetrology/cm/results/2-167528366</t>
  </si>
  <si>
    <t xml:space="preserve">ТПЛК-10
</t>
  </si>
  <si>
    <t>1000/5</t>
  </si>
  <si>
    <t xml:space="preserve">2519
</t>
  </si>
  <si>
    <t>11.11.2022</t>
  </si>
  <si>
    <t>https://fgis.gost.ru/fundmetrology/cm/results/1-208033130</t>
  </si>
  <si>
    <t xml:space="preserve">2301
</t>
  </si>
  <si>
    <t>https://fgis.gost.ru/fundmetrology/cm/results/1-208033125</t>
  </si>
  <si>
    <t>ТПЛК-10</t>
  </si>
  <si>
    <t>https://fgis.gost.ru/fundmetrology/cm/results/1-208033157</t>
  </si>
  <si>
    <t xml:space="preserve">СШ1 ЗРУ 6кВ №1 РП-17 яч. №5 </t>
  </si>
  <si>
    <t>К</t>
  </si>
  <si>
    <t>ЕвроАльфа</t>
  </si>
  <si>
    <t>01111479</t>
  </si>
  <si>
    <t>0,5S</t>
  </si>
  <si>
    <t>24.11.2020</t>
  </si>
  <si>
    <t>https://fgis.gost.ru/fundmetrology/cm/results/1-25798593</t>
  </si>
  <si>
    <t>800/5</t>
  </si>
  <si>
    <t xml:space="preserve">2161
</t>
  </si>
  <si>
    <t>https://fgis.gost.ru/fundmetrology/cm/results/1-208033127</t>
  </si>
  <si>
    <t>-</t>
  </si>
  <si>
    <t>703</t>
  </si>
  <si>
    <t>12.11.2022</t>
  </si>
  <si>
    <t>https://fgis.gost.ru/fundmetrology/cm/results/1-208033126</t>
  </si>
  <si>
    <t xml:space="preserve">СШ1 ЗРУ 6кВ №1 РП-18 яч. №3 </t>
  </si>
  <si>
    <t>01111520</t>
  </si>
  <si>
    <t>https://fgis.gost.ru/fundmetrology/cm/results/1-25798594</t>
  </si>
  <si>
    <t>100/5</t>
  </si>
  <si>
    <t xml:space="preserve">1100
</t>
  </si>
  <si>
    <t>https://fgis.gost.ru/fundmetrology/cm/results/1-208033169</t>
  </si>
  <si>
    <t>1779</t>
  </si>
  <si>
    <t>https://fgis.gost.ru/fundmetrology/cm/results/1-208033172</t>
  </si>
  <si>
    <t xml:space="preserve">СШ1 ЗРУ 6кВ №1 РП-21 яч. №7 </t>
  </si>
  <si>
    <t>Т/ОТ</t>
  </si>
  <si>
    <t>24.12.2019</t>
  </si>
  <si>
    <t>Паспорт</t>
  </si>
  <si>
    <t>600/5</t>
  </si>
  <si>
    <t xml:space="preserve">1426
</t>
  </si>
  <si>
    <t>https://fgis.gost.ru/fundmetrology/cm/results/1-208033170</t>
  </si>
  <si>
    <t>1179</t>
  </si>
  <si>
    <t>https://fgis.gost.ru/fundmetrology/cm/results/1-208033158</t>
  </si>
  <si>
    <t xml:space="preserve">СШ1 ЗРУ 6кВ №1 РП-22, ДЭС яч. №19 </t>
  </si>
  <si>
    <t>40791727</t>
  </si>
  <si>
    <t xml:space="preserve">1394
</t>
  </si>
  <si>
    <t>https://fgis.gost.ru/fundmetrology/cm/results/1-208033129</t>
  </si>
  <si>
    <t xml:space="preserve">1160
</t>
  </si>
  <si>
    <t>https://fgis.gost.ru/fundmetrology/cm/results/1-208033168</t>
  </si>
  <si>
    <t>1398</t>
  </si>
  <si>
    <t>https://fgis.gost.ru/fundmetrology/cm/results/1-208033131</t>
  </si>
  <si>
    <t xml:space="preserve">СШ1 ЗРУ 6кВ №1 ТСН-1 яч. №17 </t>
  </si>
  <si>
    <t>К/ОТ</t>
  </si>
  <si>
    <t>40791700</t>
  </si>
  <si>
    <t xml:space="preserve">1791
</t>
  </si>
  <si>
    <t>https://fgis.gost.ru/fundmetrology/cm/results/1-208033160</t>
  </si>
  <si>
    <t>1846</t>
  </si>
  <si>
    <t>https://fgis.gost.ru/fundmetrology/cm/results/1-208033171</t>
  </si>
  <si>
    <t xml:space="preserve">СШ1 ЗРУ 6кВ №1 резерв яч. №1 </t>
  </si>
  <si>
    <t>01111447</t>
  </si>
  <si>
    <t>https://fgis.gost.ru/fundmetrology/cm/results/1-25798596</t>
  </si>
  <si>
    <t>150/5</t>
  </si>
  <si>
    <t xml:space="preserve">1455
</t>
  </si>
  <si>
    <t>https://fgis.gost.ru/fundmetrology/cm/results/1-208033159</t>
  </si>
  <si>
    <t>1962</t>
  </si>
  <si>
    <t>https://fgis.gost.ru/fundmetrology/cm/results/1-208033161</t>
  </si>
  <si>
    <t xml:space="preserve">СШ2 ЗРУ 6кВ №1 Ввод 2 яч. №16 </t>
  </si>
  <si>
    <t>01110832</t>
  </si>
  <si>
    <t>12.08.2019</t>
  </si>
  <si>
    <t>+</t>
  </si>
  <si>
    <t xml:space="preserve">3826
</t>
  </si>
  <si>
    <t>https://fgis.gost.ru/fundmetrology/cm/results/1-256311312</t>
  </si>
  <si>
    <t xml:space="preserve">6596
</t>
  </si>
  <si>
    <t>https://fgis.gost.ru/fundmetrology/cm/results/1-258871765</t>
  </si>
  <si>
    <t xml:space="preserve"> б/н 
</t>
  </si>
  <si>
    <t>25.05.2015</t>
  </si>
  <si>
    <t xml:space="preserve">6693
</t>
  </si>
  <si>
    <t>https://fgis.gost.ru/fundmetrology/cm/results/1-258871762</t>
  </si>
  <si>
    <t>https://fgis.gost.ru/fundmetrology/cm/results/1-256311309</t>
  </si>
  <si>
    <t>6863</t>
  </si>
  <si>
    <t>https://fgis.gost.ru/fundmetrology/cm/results/1-258871760</t>
  </si>
  <si>
    <t>СШ2 ЗРУ 6кВ №1 ЗРУ 10/6, яч. 44</t>
  </si>
  <si>
    <t>EA02RLX-B-3</t>
  </si>
  <si>
    <t>01173711</t>
  </si>
  <si>
    <t>https://fgis.gost.ru/fundmetrology/cm/results/1-383156899</t>
  </si>
  <si>
    <t xml:space="preserve">2360
</t>
  </si>
  <si>
    <t>14.11.2022</t>
  </si>
  <si>
    <t>https://fgis.gost.ru/fundmetrology/cm/results/1-208033150</t>
  </si>
  <si>
    <t xml:space="preserve">2487
</t>
  </si>
  <si>
    <t>https://fgis.gost.ru/fundmetrology/cm/results/1-208033155</t>
  </si>
  <si>
    <t>2474</t>
  </si>
  <si>
    <t>https://fgis.gost.ru/fundmetrology/cm/results/1-208033148</t>
  </si>
  <si>
    <t xml:space="preserve">СШ2 ЗРУ 6кВ №1 НППТ-2 яч. №12 </t>
  </si>
  <si>
    <t>01111475</t>
  </si>
  <si>
    <t>https://fgis.gost.ru/fundmetrology/cm/results/1-25798598</t>
  </si>
  <si>
    <t xml:space="preserve">1339
</t>
  </si>
  <si>
    <t>https://fgis.gost.ru/fundmetrology/cm/results/1-208033128</t>
  </si>
  <si>
    <t>8102</t>
  </si>
  <si>
    <t>https://fgis.gost.ru/fundmetrology/cm/results/1-208033154</t>
  </si>
  <si>
    <t xml:space="preserve">СШ2 ЗРУ 6кВ №1 РП-8 яч. №8 </t>
  </si>
  <si>
    <t>40791682</t>
  </si>
  <si>
    <t>200/5</t>
  </si>
  <si>
    <t xml:space="preserve">1641
</t>
  </si>
  <si>
    <t>https://fgis.gost.ru/fundmetrology/cm/results/1-208033153</t>
  </si>
  <si>
    <t>2125</t>
  </si>
  <si>
    <t>https://fgis.gost.ru/fundmetrology/cm/results/1-208033152</t>
  </si>
  <si>
    <t xml:space="preserve">СШ2 ЗРУ 6кВ №1 РП-19 яч. №14 </t>
  </si>
  <si>
    <t>40791693</t>
  </si>
  <si>
    <t>400/5</t>
  </si>
  <si>
    <t xml:space="preserve">1555
</t>
  </si>
  <si>
    <t>https://fgis.gost.ru/fundmetrology/cm/results/1-208033149</t>
  </si>
  <si>
    <t>Ю56930</t>
  </si>
  <si>
    <t>https://fgis.gost.ru/fundmetrology/cm/results/1-208033151</t>
  </si>
  <si>
    <t xml:space="preserve">СШ2 ЗРУ 6кВ №1 РП-20 яч. №4 </t>
  </si>
  <si>
    <t>40791709</t>
  </si>
  <si>
    <t xml:space="preserve">1940
</t>
  </si>
  <si>
    <t>https://fgis.gost.ru/fundmetrology/cm/results/1-208033167</t>
  </si>
  <si>
    <t>1350</t>
  </si>
  <si>
    <t>https://fgis.gost.ru/fundmetrology/cm/results/1-208033156</t>
  </si>
  <si>
    <t xml:space="preserve">СШ3 ЗРУ 6кВ №1 Ввод 3 яч. №29 </t>
  </si>
  <si>
    <t>01111047</t>
  </si>
  <si>
    <t>https://fgis.gost.ru/fundmetrology/cm/results/1-25798599</t>
  </si>
  <si>
    <t xml:space="preserve">7567
</t>
  </si>
  <si>
    <t>https://fgis.gost.ru/fundmetrology/cm/results/1-208033000</t>
  </si>
  <si>
    <t xml:space="preserve">7108
</t>
  </si>
  <si>
    <t>https://fgis.gost.ru/fundmetrology/cm/results/1-258871766</t>
  </si>
  <si>
    <t xml:space="preserve">660
</t>
  </si>
  <si>
    <t>https://fgis.gost.ru/fundmetrology/cm/results/1-208032996</t>
  </si>
  <si>
    <t xml:space="preserve">5129
</t>
  </si>
  <si>
    <t>https://fgis.gost.ru/fundmetrology/cm/results/1-258871764</t>
  </si>
  <si>
    <t>664</t>
  </si>
  <si>
    <t>17.11.2022</t>
  </si>
  <si>
    <t>https://fgis.gost.ru/fundmetrology/cm/results/1-208032986</t>
  </si>
  <si>
    <t>https://fgis.gost.ru/fundmetrology/cm/results/1-258871761</t>
  </si>
  <si>
    <t>СШ3 ЗРУ 6кВ №1 ЗРУ 10/6, яч. 43</t>
  </si>
  <si>
    <t>01110787</t>
  </si>
  <si>
    <t>https://fgis.gost.ru/fundmetrology/cm/results/1-25798601</t>
  </si>
  <si>
    <t xml:space="preserve">2300
</t>
  </si>
  <si>
    <t>https://fgis.gost.ru/fundmetrology/cm/results/1-208033017</t>
  </si>
  <si>
    <t xml:space="preserve">2511
</t>
  </si>
  <si>
    <t>https://fgis.gost.ru/fundmetrology/cm/results/1-208033138</t>
  </si>
  <si>
    <t>2512</t>
  </si>
  <si>
    <t>https://fgis.gost.ru/fundmetrology/cm/results/1-208033137</t>
  </si>
  <si>
    <t>4255</t>
  </si>
  <si>
    <t>СШ3 ЗРУ 6кВ №1 РП-17 яч. №33</t>
  </si>
  <si>
    <t>01111453</t>
  </si>
  <si>
    <t>https://fgis.gost.ru/fundmetrology/cm/results/1-25798603</t>
  </si>
  <si>
    <t xml:space="preserve">92
</t>
  </si>
  <si>
    <t>https://fgis.gost.ru/fundmetrology/cm/results/1-208033141</t>
  </si>
  <si>
    <t>1788</t>
  </si>
  <si>
    <t>https://fgis.gost.ru/fundmetrology/cm/results/1-208033144</t>
  </si>
  <si>
    <t xml:space="preserve">СШ3 ЗРУ 6кВ №1 РП-18 яч. №31 </t>
  </si>
  <si>
    <t>01111515</t>
  </si>
  <si>
    <t>https://fgis.gost.ru/fundmetrology/cm/results/1-25798604</t>
  </si>
  <si>
    <t xml:space="preserve">1794
</t>
  </si>
  <si>
    <t>https://fgis.gost.ru/fundmetrology/cm/results/1-208033142</t>
  </si>
  <si>
    <t>1827</t>
  </si>
  <si>
    <t>https://fgis.gost.ru/fundmetrology/cm/results/1-208033143</t>
  </si>
  <si>
    <t xml:space="preserve">СШ3 ЗРУ 6кВ №1 РП-21 яч. №39 </t>
  </si>
  <si>
    <t>40791645</t>
  </si>
  <si>
    <t xml:space="preserve">1403
</t>
  </si>
  <si>
    <t>https://fgis.gost.ru/fundmetrology/cm/results/1-208033146</t>
  </si>
  <si>
    <t>1197</t>
  </si>
  <si>
    <t>https://fgis.gost.ru/fundmetrology/cm/results/1-208033135</t>
  </si>
  <si>
    <t xml:space="preserve">СШ3 ЗРУ 6кВ №1 РП-22, ДЭС яч. №41 </t>
  </si>
  <si>
    <t>40791694</t>
  </si>
  <si>
    <t xml:space="preserve">1158
</t>
  </si>
  <si>
    <t>https://fgis.gost.ru/fundmetrology/cm/results/1-208033140</t>
  </si>
  <si>
    <t xml:space="preserve">1814
</t>
  </si>
  <si>
    <t>https://fgis.gost.ru/fundmetrology/cm/results/1-208033139</t>
  </si>
  <si>
    <t>1807</t>
  </si>
  <si>
    <t>https://fgis.gost.ru/fundmetrology/cm/results/1-208033145</t>
  </si>
  <si>
    <t xml:space="preserve">СШ3 ЗРУ 6кВ №1 ТСН-2 яч. №35 </t>
  </si>
  <si>
    <t>40791654</t>
  </si>
  <si>
    <t xml:space="preserve">1856
</t>
  </si>
  <si>
    <t>https://fgis.gost.ru/fundmetrology/cm/results/1-208033136</t>
  </si>
  <si>
    <t>1220</t>
  </si>
  <si>
    <t>https://fgis.gost.ru/fundmetrology/cm/results/1-208033147</t>
  </si>
  <si>
    <t xml:space="preserve">СШ4 ЗРУ 6кВ №1 Ввод 4 яч. №28 </t>
  </si>
  <si>
    <t>01110760</t>
  </si>
  <si>
    <t>https://fgis.gost.ru/fundmetrology/cm/results/1-25798606</t>
  </si>
  <si>
    <t xml:space="preserve">7574
</t>
  </si>
  <si>
    <t>https://fgis.gost.ru/fundmetrology/cm/results/1-208032994</t>
  </si>
  <si>
    <t xml:space="preserve">6838
</t>
  </si>
  <si>
    <t>https://fgis.gost.ru/fundmetrology/cm/results/1-258871759</t>
  </si>
  <si>
    <t xml:space="preserve">7148
</t>
  </si>
  <si>
    <t>18.11.2022</t>
  </si>
  <si>
    <t>https://fgis.gost.ru/fundmetrology/cm/results/1-208032995</t>
  </si>
  <si>
    <t xml:space="preserve">5130
</t>
  </si>
  <si>
    <t>https://fgis.gost.ru/fundmetrology/cm/results/1-258871758</t>
  </si>
  <si>
    <t>666</t>
  </si>
  <si>
    <t>https://fgis.gost.ru/fundmetrology/cm/results/1-208032988</t>
  </si>
  <si>
    <t>7107</t>
  </si>
  <si>
    <t>https://fgis.gost.ru/fundmetrology/cm/results/1-256311826</t>
  </si>
  <si>
    <t>СШ4 ЗРУ 6кВ №1 ЗРУ 10/6, яч. 38</t>
  </si>
  <si>
    <t>01110774</t>
  </si>
  <si>
    <t>https://fgis.gost.ru/fundmetrology/cm/results/1-25798608</t>
  </si>
  <si>
    <t xml:space="preserve">2493
</t>
  </si>
  <si>
    <t>https://fgis.gost.ru/fundmetrology/cm/results/1-208033270</t>
  </si>
  <si>
    <t xml:space="preserve">2466
</t>
  </si>
  <si>
    <t>https://fgis.gost.ru/fundmetrology/cm/results/1-208033164</t>
  </si>
  <si>
    <t>2225</t>
  </si>
  <si>
    <t>https://fgis.gost.ru/fundmetrology/cm/results/1-208033132</t>
  </si>
  <si>
    <t xml:space="preserve">СШ4 ЗРУ 6кВ №1 РП-8 яч. №24 </t>
  </si>
  <si>
    <t>40791699</t>
  </si>
  <si>
    <t xml:space="preserve">1697
</t>
  </si>
  <si>
    <t>https://fgis.gost.ru/fundmetrology/cm/results/1-208033162</t>
  </si>
  <si>
    <t>https://fgis.gost.ru/fundmetrology/cm/results/1-208033134</t>
  </si>
  <si>
    <t xml:space="preserve">СШ4 ЗРУ 6кВ №1 РП-19 яч. №36 </t>
  </si>
  <si>
    <t>40791763</t>
  </si>
  <si>
    <t>25.12.2019</t>
  </si>
  <si>
    <t xml:space="preserve">1778
</t>
  </si>
  <si>
    <t>https://fgis.gost.ru/fundmetrology/cm/results/1-208033166</t>
  </si>
  <si>
    <t>1784</t>
  </si>
  <si>
    <t>https://fgis.gost.ru/fundmetrology/cm/results/1-208033133</t>
  </si>
  <si>
    <t xml:space="preserve">СШ4 ЗРУ 6кВ №1 РП-20 яч. №26 </t>
  </si>
  <si>
    <t>40791733</t>
  </si>
  <si>
    <t xml:space="preserve">1789
</t>
  </si>
  <si>
    <t>https://fgis.gost.ru/fundmetrology/cm/results/1-208033163</t>
  </si>
  <si>
    <t>1785</t>
  </si>
  <si>
    <t>https://fgis.gost.ru/fundmetrology/cm/results/1-208033165</t>
  </si>
  <si>
    <t xml:space="preserve">США ЗРУ 6кВ №2 Ввод А яч. №ЗА </t>
  </si>
  <si>
    <t>40791764</t>
  </si>
  <si>
    <t xml:space="preserve">RCF1/CB
</t>
  </si>
  <si>
    <t xml:space="preserve">б/н
</t>
  </si>
  <si>
    <t>13.12.2007</t>
  </si>
  <si>
    <t xml:space="preserve">RTF-200H
</t>
  </si>
  <si>
    <t xml:space="preserve">9467650
</t>
  </si>
  <si>
    <t xml:space="preserve">б/н2
</t>
  </si>
  <si>
    <t xml:space="preserve">9467653
</t>
  </si>
  <si>
    <t>RCF1/CB</t>
  </si>
  <si>
    <t>б/н3</t>
  </si>
  <si>
    <t>RTF-200H</t>
  </si>
  <si>
    <t>9467651</t>
  </si>
  <si>
    <t xml:space="preserve">США ЗРУ 6кВ №2 РП-10 яч. №8A </t>
  </si>
  <si>
    <t>01111523</t>
  </si>
  <si>
    <t>https://fgis.gost.ru/fundmetrology/cm/results/1-25798611</t>
  </si>
  <si>
    <t xml:space="preserve">TCF 100H
</t>
  </si>
  <si>
    <t>750/5</t>
  </si>
  <si>
    <t xml:space="preserve">8415294
</t>
  </si>
  <si>
    <t>31.08.2018</t>
  </si>
  <si>
    <t xml:space="preserve">TPR2F1
</t>
  </si>
  <si>
    <t xml:space="preserve">8412778
</t>
  </si>
  <si>
    <t>TCF 100H</t>
  </si>
  <si>
    <t>TPR2F1</t>
  </si>
  <si>
    <t>8412779</t>
  </si>
  <si>
    <t xml:space="preserve">США ЗРУ 6кВ №2 РП-11 яч. №7А </t>
  </si>
  <si>
    <t>40791655</t>
  </si>
  <si>
    <t xml:space="preserve">8415296
</t>
  </si>
  <si>
    <t>https://fgis.gost.ru/fundmetrology/cm/results/1-179500530</t>
  </si>
  <si>
    <t>https://fgis.gost.ru/fundmetrology/cm/results/1-179500531</t>
  </si>
  <si>
    <t xml:space="preserve">США ЗРУ 6кВ №2 РП-12 яч. №6A </t>
  </si>
  <si>
    <t>40791622</t>
  </si>
  <si>
    <t xml:space="preserve">8415292
</t>
  </si>
  <si>
    <t>https://fgis.gost.ru/fundmetrology/cm/results/1-179500516</t>
  </si>
  <si>
    <t>https://fgis.gost.ru/fundmetrology/cm/results/1-179500532</t>
  </si>
  <si>
    <t xml:space="preserve">США ЗРУ 6кВ №2 РП-13 яч. №5А </t>
  </si>
  <si>
    <t>40791623</t>
  </si>
  <si>
    <t xml:space="preserve">8415289
</t>
  </si>
  <si>
    <t>https://fgis.gost.ru/fundmetrology/cm/results/1-179500517</t>
  </si>
  <si>
    <t>https://fgis.gost.ru/fundmetrology/cm/results/1-179500518</t>
  </si>
  <si>
    <t xml:space="preserve">США ЗРУ 6кВ №2 РП-14 яч. №2A </t>
  </si>
  <si>
    <t>40791618</t>
  </si>
  <si>
    <t xml:space="preserve">8415304
</t>
  </si>
  <si>
    <t>29.08.2018</t>
  </si>
  <si>
    <t>8415306</t>
  </si>
  <si>
    <t xml:space="preserve">США ЗРУ 6кВ №2 РП-15 яч. №1А </t>
  </si>
  <si>
    <t>40791672</t>
  </si>
  <si>
    <t xml:space="preserve">8415305
</t>
  </si>
  <si>
    <t>https://fgis.gost.ru/fundmetrology/cm/results/1-179500519</t>
  </si>
  <si>
    <t>https://fgis.gost.ru/fundmetrology/cm/results/1-179500506</t>
  </si>
  <si>
    <t xml:space="preserve">США ЗРУ 6кВ №2 РП-23 яч. №9А </t>
  </si>
  <si>
    <t>40791632</t>
  </si>
  <si>
    <t>250/5</t>
  </si>
  <si>
    <t xml:space="preserve">8600485
</t>
  </si>
  <si>
    <t>https://fgis.gost.ru/fundmetrology/cm/results/1-179500507</t>
  </si>
  <si>
    <t>https://fgis.gost.ru/fundmetrology/cm/results/1-179500497</t>
  </si>
  <si>
    <t>США ЗРУ 6кВ №2 С ГПП-2, яч. 9А1</t>
  </si>
  <si>
    <t>40791710</t>
  </si>
  <si>
    <t xml:space="preserve">9467657
</t>
  </si>
  <si>
    <t>20.11.2020</t>
  </si>
  <si>
    <t>АРМ Метролог 
Св-во о калибровке</t>
  </si>
  <si>
    <t xml:space="preserve">9467658
</t>
  </si>
  <si>
    <t>22.11.2020</t>
  </si>
  <si>
    <t xml:space="preserve">США ЗРУ 6кВ №2 резерв яч. №4А </t>
  </si>
  <si>
    <t>01111446</t>
  </si>
  <si>
    <t>25.11.2020</t>
  </si>
  <si>
    <t>https://fgis.gost.ru/fundmetrology/cm/results/1-25798616</t>
  </si>
  <si>
    <t xml:space="preserve">8415299
</t>
  </si>
  <si>
    <t>https://fgis.gost.ru/fundmetrology/cm/results/1-179500498</t>
  </si>
  <si>
    <t>https://fgis.gost.ru/fundmetrology/cm/results/1-179500499</t>
  </si>
  <si>
    <t xml:space="preserve">СШБ ЗРУ 6кВ №2 Ввод В яч. №4В </t>
  </si>
  <si>
    <t>01111094</t>
  </si>
  <si>
    <t>https://fgis.gost.ru/fundmetrology/cm/results/1-25798618</t>
  </si>
  <si>
    <t xml:space="preserve">9358125
</t>
  </si>
  <si>
    <t xml:space="preserve">8415311
</t>
  </si>
  <si>
    <t xml:space="preserve">9467669
</t>
  </si>
  <si>
    <t xml:space="preserve">8415312
</t>
  </si>
  <si>
    <t>8415316</t>
  </si>
  <si>
    <t xml:space="preserve">СШБ ЗРУ 6кВ №2 РП-10 яч. №5В </t>
  </si>
  <si>
    <t>40791749</t>
  </si>
  <si>
    <t xml:space="preserve">8415286
</t>
  </si>
  <si>
    <t>https://fgis.gost.ru/fundmetrology/cm/results/1-179500500</t>
  </si>
  <si>
    <t xml:space="preserve">8412781
</t>
  </si>
  <si>
    <t>03.09.2018</t>
  </si>
  <si>
    <t>https://fgis.gost.ru/fundmetrology/cm/results/1-179500529</t>
  </si>
  <si>
    <t>8412780</t>
  </si>
  <si>
    <t xml:space="preserve">СШБ ЗРУ 6кВ №2 РП-11 яч. №6В </t>
  </si>
  <si>
    <t>40791656</t>
  </si>
  <si>
    <t xml:space="preserve">8415300
</t>
  </si>
  <si>
    <t>https://fgis.gost.ru/fundmetrology/cm/results/1-179500501</t>
  </si>
  <si>
    <t>https://fgis.gost.ru/fundmetrology/cm/results/1-179500502</t>
  </si>
  <si>
    <t xml:space="preserve">СШБ ЗРУ 6кВ №2 РП-12 яч. №7В </t>
  </si>
  <si>
    <t>40791683</t>
  </si>
  <si>
    <t xml:space="preserve">8415283
</t>
  </si>
  <si>
    <t>https://fgis.gost.ru/fundmetrology/cm/results/1-179500503</t>
  </si>
  <si>
    <t>https://fgis.gost.ru/fundmetrology/cm/results/1-179500508</t>
  </si>
  <si>
    <t xml:space="preserve">СШБ ЗРУ 6кВ №2 РП-13 яч. №8В </t>
  </si>
  <si>
    <t>40791629</t>
  </si>
  <si>
    <t xml:space="preserve">8415282
</t>
  </si>
  <si>
    <t>https://fgis.gost.ru/fundmetrology/cm/results/1-179500509</t>
  </si>
  <si>
    <t>https://fgis.gost.ru/fundmetrology/cm/results/1-179500510</t>
  </si>
  <si>
    <t xml:space="preserve">СШБ ЗРУ 6кВ №2 РП-14 яч. №1В </t>
  </si>
  <si>
    <t>40791619</t>
  </si>
  <si>
    <t xml:space="preserve">8415307
</t>
  </si>
  <si>
    <t>https://fgis.gost.ru/fundmetrology/cm/results/1-179500511</t>
  </si>
  <si>
    <t>https://fgis.gost.ru/fundmetrology/cm/results/1-179500512</t>
  </si>
  <si>
    <t xml:space="preserve">СШБ ЗРУ 6кВ №2 РП-15 яч. №2В </t>
  </si>
  <si>
    <t>40791639</t>
  </si>
  <si>
    <t xml:space="preserve">8415302
</t>
  </si>
  <si>
    <t>https://fgis.gost.ru/fundmetrology/cm/results/1-179500513</t>
  </si>
  <si>
    <t>https://fgis.gost.ru/fundmetrology/cm/results/1-179500533</t>
  </si>
  <si>
    <t xml:space="preserve">СШБ ЗРУ 6кВ №2 РП-23 яч. №9В </t>
  </si>
  <si>
    <t>40791649</t>
  </si>
  <si>
    <t xml:space="preserve">8415277
</t>
  </si>
  <si>
    <t>https://fgis.gost.ru/fundmetrology/cm/results/1-179500514</t>
  </si>
  <si>
    <t>https://fgis.gost.ru/fundmetrology/cm/results/1-179500515</t>
  </si>
  <si>
    <t xml:space="preserve">СШБ ЗРУ 6кВ №2 резерв яч. №ЗВ </t>
  </si>
  <si>
    <t>01111553</t>
  </si>
  <si>
    <t>https://fgis.gost.ru/fundmetrology/cm/results/1-25798621</t>
  </si>
  <si>
    <t xml:space="preserve">8415288
</t>
  </si>
  <si>
    <t>https://fgis.gost.ru/fundmetrology/cm/results/1-179500504</t>
  </si>
  <si>
    <t>https://fgis.gost.ru/fundmetrology/cm/results/1-179500505</t>
  </si>
  <si>
    <t>СШБ ЗРУ 6кВ №2 с ГПП-2, яч. 9В1</t>
  </si>
  <si>
    <t>01111211</t>
  </si>
  <si>
    <t>https://fgis.gost.ru/fundmetrology/cm/results/1-25798623</t>
  </si>
  <si>
    <t xml:space="preserve">02-115133
</t>
  </si>
  <si>
    <t xml:space="preserve">02-115330
</t>
  </si>
  <si>
    <t>02-115332</t>
  </si>
  <si>
    <t xml:space="preserve">СШ1 ЗРУ 10 кВ Ввод 1 яч. №9 </t>
  </si>
  <si>
    <t>10 кВ</t>
  </si>
  <si>
    <t>40791759</t>
  </si>
  <si>
    <t xml:space="preserve">4704
</t>
  </si>
  <si>
    <t>https://fgis.gost.ru/fundmetrology/cm/results/1-256311337</t>
  </si>
  <si>
    <t>10000/100</t>
  </si>
  <si>
    <t xml:space="preserve">5460
</t>
  </si>
  <si>
    <t>https://fgis.gost.ru/fundmetrology/cm/results/1-244530105</t>
  </si>
  <si>
    <t xml:space="preserve">4358
</t>
  </si>
  <si>
    <t>https://fgis.gost.ru/fundmetrology/cm/results/1-256311339</t>
  </si>
  <si>
    <t xml:space="preserve">5489
</t>
  </si>
  <si>
    <t>https://fgis.gost.ru/fundmetrology/cm/results/1-244530109</t>
  </si>
  <si>
    <t>4175</t>
  </si>
  <si>
    <t>https://fgis.gost.ru/fundmetrology/cm/results/1-256311338</t>
  </si>
  <si>
    <t>5535</t>
  </si>
  <si>
    <t>https://fgis.gost.ru/fundmetrology/cm/results/1-244530106</t>
  </si>
  <si>
    <t xml:space="preserve">СШ1 ЗРУ 10 кВ КТП-4 яч. №1 </t>
  </si>
  <si>
    <t>40791625</t>
  </si>
  <si>
    <t xml:space="preserve">2365
</t>
  </si>
  <si>
    <t>https://fgis.gost.ru/fundmetrology/cm/results/1-256311306</t>
  </si>
  <si>
    <t>https://fgis.gost.ru/fundmetrology/cm/results/1-256311313</t>
  </si>
  <si>
    <t xml:space="preserve">СШ1 ЗРУ 10 кВ РП-5, ТП-14 яч. №19 </t>
  </si>
  <si>
    <t>40791716</t>
  </si>
  <si>
    <t xml:space="preserve">23
</t>
  </si>
  <si>
    <t>https://fgis.gost.ru/fundmetrology/cm/results/1-256311308</t>
  </si>
  <si>
    <t>6054</t>
  </si>
  <si>
    <t>https://fgis.gost.ru/fundmetrology/cm/results/1-256311311</t>
  </si>
  <si>
    <t xml:space="preserve">СШ1 ЗРУ 10 кВ РП-6, ТП-9 яч. №25 </t>
  </si>
  <si>
    <t>40791737</t>
  </si>
  <si>
    <t>300/5</t>
  </si>
  <si>
    <t xml:space="preserve">6842
</t>
  </si>
  <si>
    <t>https://fgis.gost.ru/fundmetrology/cm/results/1-256311305</t>
  </si>
  <si>
    <t>https://fgis.gost.ru/fundmetrology/cm/results/1-256311310</t>
  </si>
  <si>
    <t xml:space="preserve">СШ1 ЗРУ 10 кВ РП-9 яч. №3 </t>
  </si>
  <si>
    <t>40791624</t>
  </si>
  <si>
    <t xml:space="preserve">4580
</t>
  </si>
  <si>
    <t>https://fgis.gost.ru/fundmetrology/cm/results/1-256311300</t>
  </si>
  <si>
    <t>https://fgis.gost.ru/fundmetrology/cm/results/1-256311299</t>
  </si>
  <si>
    <t xml:space="preserve">СШ1 ЗРУ 10 кВ РП-16 яч. №17 </t>
  </si>
  <si>
    <t>40791636</t>
  </si>
  <si>
    <t xml:space="preserve">1645
</t>
  </si>
  <si>
    <t>https://fgis.gost.ru/fundmetrology/cm/results/1-256311304</t>
  </si>
  <si>
    <t>https://fgis.gost.ru/fundmetrology/cm/results/1-256311290</t>
  </si>
  <si>
    <t xml:space="preserve">СШ1 ЗРУ 10 кВ РП-24 яч. №31 </t>
  </si>
  <si>
    <t>40791646</t>
  </si>
  <si>
    <t xml:space="preserve">972
</t>
  </si>
  <si>
    <t>https://fgis.gost.ru/fundmetrology/cm/results/1-256311315</t>
  </si>
  <si>
    <t>https://fgis.gost.ru/fundmetrology/cm/results/1-256311330</t>
  </si>
  <si>
    <t xml:space="preserve">СШ1 ЗРУ 10 кВ ТП-7 яч. №39 </t>
  </si>
  <si>
    <t>40791633</t>
  </si>
  <si>
    <t xml:space="preserve">19425
</t>
  </si>
  <si>
    <t>https://fgis.gost.ru/fundmetrology/cm/results/1-256311319</t>
  </si>
  <si>
    <t>https://fgis.gost.ru/fundmetrology/cm/results/1-256311301</t>
  </si>
  <si>
    <t xml:space="preserve">СШ1 ЗРУ 10 кВ ТП-16 яч. №13 </t>
  </si>
  <si>
    <t>40791626</t>
  </si>
  <si>
    <t xml:space="preserve">1184
</t>
  </si>
  <si>
    <t>https://fgis.gost.ru/fundmetrology/cm/results/1-256311318</t>
  </si>
  <si>
    <t>https://fgis.gost.ru/fundmetrology/cm/results/1-256311303</t>
  </si>
  <si>
    <t xml:space="preserve">СШ1 ЗРУ 10 кВ ТП-17 яч. №33 </t>
  </si>
  <si>
    <t>40791723</t>
  </si>
  <si>
    <t xml:space="preserve">1177
</t>
  </si>
  <si>
    <t>https://fgis.gost.ru/fundmetrology/cm/results/1-244530102</t>
  </si>
  <si>
    <t>https://fgis.gost.ru/fundmetrology/cm/results/1-256311302</t>
  </si>
  <si>
    <t xml:space="preserve">СШ1 ЗРУ 10 кВ ТП-18 яч. №29 </t>
  </si>
  <si>
    <t>40791729</t>
  </si>
  <si>
    <t xml:space="preserve">1951
</t>
  </si>
  <si>
    <t>https://fgis.gost.ru/fundmetrology/cm/results/1-256311289</t>
  </si>
  <si>
    <t>https://fgis.gost.ru/fundmetrology/cm/results/1-256311316</t>
  </si>
  <si>
    <t xml:space="preserve">СШ1 ЗРУ 10 кВ ТП-19 яч. №27 </t>
  </si>
  <si>
    <t>40791715</t>
  </si>
  <si>
    <t xml:space="preserve">5340
</t>
  </si>
  <si>
    <t>https://fgis.gost.ru/fundmetrology/cm/results/1-256311317</t>
  </si>
  <si>
    <t>https://fgis.gost.ru/fundmetrology/cm/results/1-256311298</t>
  </si>
  <si>
    <t xml:space="preserve">СШ1 ЗРУ 10 кВ ТП-20 яч. №15 </t>
  </si>
  <si>
    <t>40791679</t>
  </si>
  <si>
    <t xml:space="preserve">154
</t>
  </si>
  <si>
    <t>https://fgis.gost.ru/fundmetrology/cm/results/1-256311321</t>
  </si>
  <si>
    <t>https://fgis.gost.ru/fundmetrology/cm/results/1-256311277</t>
  </si>
  <si>
    <t xml:space="preserve">СШ1 ЗРУ 10 кВ ТП-21 яч. №37 </t>
  </si>
  <si>
    <t>40791666</t>
  </si>
  <si>
    <t xml:space="preserve">1064
</t>
  </si>
  <si>
    <t>https://fgis.gost.ru/fundmetrology/cm/results/1-256311288</t>
  </si>
  <si>
    <t>https://fgis.gost.ru/fundmetrology/cm/results/1-256311327</t>
  </si>
  <si>
    <t xml:space="preserve">СШ1 ЗРУ 10 кВ ТП-23 яч. №5 </t>
  </si>
  <si>
    <t>40791685</t>
  </si>
  <si>
    <t xml:space="preserve">1147
</t>
  </si>
  <si>
    <t>https://fgis.gost.ru/fundmetrology/cm/results/1-256311320</t>
  </si>
  <si>
    <t>https://fgis.gost.ru/fundmetrology/cm/results/1-256311323</t>
  </si>
  <si>
    <t>СШ1 ЗРУ 10 кВ ТП-24 яч. №11</t>
  </si>
  <si>
    <t>40791617</t>
  </si>
  <si>
    <t xml:space="preserve">979
</t>
  </si>
  <si>
    <t>https://fgis.gost.ru/fundmetrology/cm/results/1-256311328</t>
  </si>
  <si>
    <t>https://fgis.gost.ru/fundmetrology/cm/results/1-256311325</t>
  </si>
  <si>
    <t xml:space="preserve">СШ1 ЗРУ 10 кВ ТП-37 яч. №23 </t>
  </si>
  <si>
    <t>40791735</t>
  </si>
  <si>
    <t xml:space="preserve">1202
</t>
  </si>
  <si>
    <t>https://fgis.gost.ru/fundmetrology/cm/results/1-256311329</t>
  </si>
  <si>
    <t>https://fgis.gost.ru/fundmetrology/cm/results/1-256311287</t>
  </si>
  <si>
    <t>СШ1 ЗРУ 10 кВ с ЗРУ 10/6, яч. 45</t>
  </si>
  <si>
    <t>01111189</t>
  </si>
  <si>
    <t>https://fgis.gost.ru/fundmetrology/cm/results/1-25798627</t>
  </si>
  <si>
    <t xml:space="preserve">2516
</t>
  </si>
  <si>
    <t>https://fgis.gost.ru/fundmetrology/cm/results/1-256311324</t>
  </si>
  <si>
    <t xml:space="preserve">2388
</t>
  </si>
  <si>
    <t>https://fgis.gost.ru/fundmetrology/cm/results/1-256311307</t>
  </si>
  <si>
    <t>https://fgis.gost.ru/fundmetrology/cm/results/1-256311322</t>
  </si>
  <si>
    <t xml:space="preserve">СШ2 ЗРУ 10 кВ Ввод 2 яч. №14 </t>
  </si>
  <si>
    <t>01110999</t>
  </si>
  <si>
    <t>https://fgis.gost.ru/fundmetrology/cm/results/1-25798629</t>
  </si>
  <si>
    <t xml:space="preserve">4536
</t>
  </si>
  <si>
    <t>https://fgis.gost.ru/fundmetrology/cm/results/1-208032997</t>
  </si>
  <si>
    <t xml:space="preserve">2974
</t>
  </si>
  <si>
    <t>https://fgis.gost.ru/fundmetrology/cm/results/1-244530107</t>
  </si>
  <si>
    <t xml:space="preserve">4702
</t>
  </si>
  <si>
    <t>https://fgis.gost.ru/fundmetrology/cm/results/1-208032987</t>
  </si>
  <si>
    <t xml:space="preserve">2802
</t>
  </si>
  <si>
    <t>https://fgis.gost.ru/fundmetrology/cm/results/1-244530104</t>
  </si>
  <si>
    <t>3929</t>
  </si>
  <si>
    <t>https://fgis.gost.ru/fundmetrology/cm/results/1-208032989</t>
  </si>
  <si>
    <t>2804</t>
  </si>
  <si>
    <t>https://fgis.gost.ru/fundmetrology/cm/results/1-244530108</t>
  </si>
  <si>
    <t xml:space="preserve">СШ2 ЗРУ 10 кВ РП-5, ТП-14 яч. №18 </t>
  </si>
  <si>
    <t>40791755</t>
  </si>
  <si>
    <t xml:space="preserve">4474
</t>
  </si>
  <si>
    <t>https://fgis.gost.ru/fundmetrology/cm/results/1-256311326</t>
  </si>
  <si>
    <t>https://fgis.gost.ru/fundmetrology/cm/results/1-256311286</t>
  </si>
  <si>
    <t xml:space="preserve">СШ2 ЗРУ 10 кВ РП-6, ТП-9 яч. №28 </t>
  </si>
  <si>
    <t>01111455</t>
  </si>
  <si>
    <t>https://fgis.gost.ru/fundmetrology/cm/results/1-25798631</t>
  </si>
  <si>
    <t xml:space="preserve">1392
</t>
  </si>
  <si>
    <t>https://fgis.gost.ru/fundmetrology/cm/results/1-256311280</t>
  </si>
  <si>
    <t>https://fgis.gost.ru/fundmetrology/cm/results/1-256311273</t>
  </si>
  <si>
    <t xml:space="preserve">СШ2 ЗРУ 10 кВ РП-9 яч. №10 </t>
  </si>
  <si>
    <t>40791681</t>
  </si>
  <si>
    <t xml:space="preserve">6023
</t>
  </si>
  <si>
    <t>https://fgis.gost.ru/fundmetrology/cm/results/1-256311275</t>
  </si>
  <si>
    <t>https://fgis.gost.ru/fundmetrology/cm/results/1-256311296</t>
  </si>
  <si>
    <t xml:space="preserve">СШ2 ЗРУ 10 кВ РП-16 яч. №12 </t>
  </si>
  <si>
    <t>40791728</t>
  </si>
  <si>
    <t>https://fgis.gost.ru/fundmetrology/cm/results/1-244530103</t>
  </si>
  <si>
    <t>https://fgis.gost.ru/fundmetrology/cm/results/1-256311292</t>
  </si>
  <si>
    <t xml:space="preserve">СШ2 ЗРУ 10 кВ РП-24 яч. №26 </t>
  </si>
  <si>
    <t>40791635</t>
  </si>
  <si>
    <t xml:space="preserve">12
</t>
  </si>
  <si>
    <t>https://fgis.gost.ru/fundmetrology/cm/results/1-256311295</t>
  </si>
  <si>
    <t>https://fgis.gost.ru/fundmetrology/cm/results/1-256311270</t>
  </si>
  <si>
    <t>СШ2 ЗРУ 10 кВ ТП-7 яч. №42</t>
  </si>
  <si>
    <t>40723966</t>
  </si>
  <si>
    <t xml:space="preserve">1759
</t>
  </si>
  <si>
    <t>https://fgis.gost.ru/fundmetrology/cm/results/1-256311291</t>
  </si>
  <si>
    <t>https://fgis.gost.ru/fundmetrology/cm/results/1-256311283</t>
  </si>
  <si>
    <t xml:space="preserve">СШ2 ЗРУ 10 кВ ТП-16 яч. №6 </t>
  </si>
  <si>
    <t>40791769</t>
  </si>
  <si>
    <t xml:space="preserve">2143
</t>
  </si>
  <si>
    <t>https://fgis.gost.ru/fundmetrology/cm/results/1-256311285</t>
  </si>
  <si>
    <t>https://fgis.gost.ru/fundmetrology/cm/results/1-256311284</t>
  </si>
  <si>
    <t xml:space="preserve">СШ2 ЗРУ 10 кВ ТП-17 яч. №34 </t>
  </si>
  <si>
    <t>40791643</t>
  </si>
  <si>
    <t xml:space="preserve">СШ2 ЗРУ 10 кВ ТП-18 яч. №24 </t>
  </si>
  <si>
    <t>40791620</t>
  </si>
  <si>
    <t>https://fgis.gost.ru/fundmetrology/cm/results/1-256311293</t>
  </si>
  <si>
    <t xml:space="preserve">СШ2 ЗРУ 10 кВ ТП-19 яч. №30 </t>
  </si>
  <si>
    <t>40791684</t>
  </si>
  <si>
    <t xml:space="preserve">6021
</t>
  </si>
  <si>
    <t>https://fgis.gost.ru/fundmetrology/cm/results/1-256311282</t>
  </si>
  <si>
    <t>https://fgis.gost.ru/fundmetrology/cm/results/1-256311278</t>
  </si>
  <si>
    <t xml:space="preserve">СШ2 ЗРУ 10 кВ ТП-20 яч. №8 </t>
  </si>
  <si>
    <t>40791768</t>
  </si>
  <si>
    <t xml:space="preserve">4821
</t>
  </si>
  <si>
    <t>https://fgis.gost.ru/fundmetrology/cm/results/1-256311281</t>
  </si>
  <si>
    <t>https://fgis.gost.ru/fundmetrology/cm/results/1-256311279</t>
  </si>
  <si>
    <t xml:space="preserve">СШ2 ЗРУ 10 кВ ТП-21 яч. №40 </t>
  </si>
  <si>
    <t>40791644</t>
  </si>
  <si>
    <t xml:space="preserve">1371
</t>
  </si>
  <si>
    <t>https://fgis.gost.ru/fundmetrology/cm/results/1-256311272</t>
  </si>
  <si>
    <t>https://fgis.gost.ru/fundmetrology/cm/results/1-256311274</t>
  </si>
  <si>
    <t xml:space="preserve">СШ2 ЗРУ 10 кВ ТП-23 яч. №32 </t>
  </si>
  <si>
    <t>40791642</t>
  </si>
  <si>
    <t xml:space="preserve">1646
</t>
  </si>
  <si>
    <t>https://fgis.gost.ru/fundmetrology/cm/results/1-256311276</t>
  </si>
  <si>
    <t>https://fgis.gost.ru/fundmetrology/cm/results/1-256311271</t>
  </si>
  <si>
    <t xml:space="preserve">СШ2 ЗРУ 10 кВ ТП-24 яч. №4 </t>
  </si>
  <si>
    <t>40791687</t>
  </si>
  <si>
    <t xml:space="preserve">1185
</t>
  </si>
  <si>
    <t>https://fgis.gost.ru/fundmetrology/cm/results/1-256311294</t>
  </si>
  <si>
    <t>https://fgis.gost.ru/fundmetrology/cm/results/1-256311263</t>
  </si>
  <si>
    <t xml:space="preserve">СШ2 ЗРУ 10 кВ ТП-37 яч. №38 </t>
  </si>
  <si>
    <t>40791638</t>
  </si>
  <si>
    <t xml:space="preserve">1463
</t>
  </si>
  <si>
    <t>https://fgis.gost.ru/fundmetrology/cm/results/1-256311264</t>
  </si>
  <si>
    <t>https://fgis.gost.ru/fundmetrology/cm/results/1-256311265</t>
  </si>
  <si>
    <t>СШ1 ЗРУ 110кВ Ввод 1Т, ВЛ 110 кВ 453</t>
  </si>
  <si>
    <t>110 кВ</t>
  </si>
  <si>
    <t>ОРЭМ</t>
  </si>
  <si>
    <t>40791695</t>
  </si>
  <si>
    <t xml:space="preserve">TG-145
</t>
  </si>
  <si>
    <t xml:space="preserve">1161
</t>
  </si>
  <si>
    <t>19.04.2018</t>
  </si>
  <si>
    <t xml:space="preserve">СРВ-123
</t>
  </si>
  <si>
    <t>110000/100</t>
  </si>
  <si>
    <t xml:space="preserve">8642289
</t>
  </si>
  <si>
    <t xml:space="preserve">1163
</t>
  </si>
  <si>
    <t xml:space="preserve">8642283
</t>
  </si>
  <si>
    <t>TG-145</t>
  </si>
  <si>
    <t>1162</t>
  </si>
  <si>
    <t>СРВ-123</t>
  </si>
  <si>
    <t>8642299</t>
  </si>
  <si>
    <t>СШ2 ЗРУ 110кВ Ввод 2Т, ВЛ 110 кВ 457</t>
  </si>
  <si>
    <t>40791714</t>
  </si>
  <si>
    <t>26.04.2018</t>
  </si>
  <si>
    <t xml:space="preserve">8642297
</t>
  </si>
  <si>
    <t xml:space="preserve">1160 непригоден
</t>
  </si>
  <si>
    <t xml:space="preserve">8642298
</t>
  </si>
  <si>
    <t>1159</t>
  </si>
  <si>
    <t>8642291</t>
  </si>
  <si>
    <t>ГПП 2</t>
  </si>
  <si>
    <t>СШ1 ЗРУ 10/6кВ  Ввод 5Т, яч.16</t>
  </si>
  <si>
    <t>01111038</t>
  </si>
  <si>
    <t>16.11.2020</t>
  </si>
  <si>
    <t>АРМ Метролог. Св-во о поверке</t>
  </si>
  <si>
    <t xml:space="preserve">ТОЛ-10
</t>
  </si>
  <si>
    <t>1500/5</t>
  </si>
  <si>
    <t xml:space="preserve">1835
</t>
  </si>
  <si>
    <t>https://fgis.gost.ru/fundmetrology/cm/results/1-208033004</t>
  </si>
  <si>
    <t xml:space="preserve">ЗНОЛ.06-10 УЗ
</t>
  </si>
  <si>
    <t xml:space="preserve">17385
</t>
  </si>
  <si>
    <t>10.04.2022</t>
  </si>
  <si>
    <t xml:space="preserve">21321
</t>
  </si>
  <si>
    <t>https://fgis.gost.ru/fundmetrology/cm/results/1-208033001</t>
  </si>
  <si>
    <t xml:space="preserve">17469
</t>
  </si>
  <si>
    <t>25.04.2022</t>
  </si>
  <si>
    <t>ТОЛ-10</t>
  </si>
  <si>
    <t>38</t>
  </si>
  <si>
    <t>https://fgis.gost.ru/fundmetrology/cm/results/1-208033003</t>
  </si>
  <si>
    <t>ЗНОЛ.06-10 УЗ</t>
  </si>
  <si>
    <t>17468</t>
  </si>
  <si>
    <t>СШ1 ЗРУ 10/6кВ  ГПП-1 ЗРУ 10, яч №44</t>
  </si>
  <si>
    <t>01111091</t>
  </si>
  <si>
    <t xml:space="preserve">33306
</t>
  </si>
  <si>
    <t>https://fgis.gost.ru/fundmetrology/cm/results/1-208033005</t>
  </si>
  <si>
    <t xml:space="preserve">1534
</t>
  </si>
  <si>
    <t>https://fgis.gost.ru/fundmetrology/cm/results/1-208033006</t>
  </si>
  <si>
    <t>https://fgis.gost.ru/fundmetrology/cm/results/1-208033002</t>
  </si>
  <si>
    <t>СШ1 ЗРУ 10/6кВ  МВ-10-II-2Т, яч.24</t>
  </si>
  <si>
    <t xml:space="preserve">ТЛШ-10-5УЗ
</t>
  </si>
  <si>
    <t xml:space="preserve">1255
</t>
  </si>
  <si>
    <t>20.11.2022</t>
  </si>
  <si>
    <t>https://fgis.gost.ru/fundmetrology/cm/results/1-208032999</t>
  </si>
  <si>
    <t xml:space="preserve">1246
</t>
  </si>
  <si>
    <t>21.11.2022</t>
  </si>
  <si>
    <t>https://fgis.gost.ru/fundmetrology/cm/results/1-208032990</t>
  </si>
  <si>
    <t>ТЛШ-10-5УЗ</t>
  </si>
  <si>
    <t>1258</t>
  </si>
  <si>
    <t>https://fgis.gost.ru/fundmetrology/cm/results/1-208032991</t>
  </si>
  <si>
    <t>СШ2 ЗРУ 10/6кВ  Ввод 4Т, яч.14</t>
  </si>
  <si>
    <t>01110789</t>
  </si>
  <si>
    <t xml:space="preserve">17431
</t>
  </si>
  <si>
    <t>https://fgis.gost.ru/fundmetrology/cm/results/1-208033012</t>
  </si>
  <si>
    <t xml:space="preserve">17470
</t>
  </si>
  <si>
    <t xml:space="preserve">57097
</t>
  </si>
  <si>
    <t>https://fgis.gost.ru/fundmetrology/cm/results/1-208033007</t>
  </si>
  <si>
    <t xml:space="preserve">17565
</t>
  </si>
  <si>
    <t>https://fgis.gost.ru/fundmetrology/cm/results/1-208033010</t>
  </si>
  <si>
    <t>17554</t>
  </si>
  <si>
    <t>СШ2 ЗРУ 10/6кВ  ГПП-1, ЗРУ 10 кВ</t>
  </si>
  <si>
    <t>01110733</t>
  </si>
  <si>
    <t xml:space="preserve">21571
</t>
  </si>
  <si>
    <t>https://fgis.gost.ru/fundmetrology/cm/results/1-208033008</t>
  </si>
  <si>
    <t xml:space="preserve">1352
</t>
  </si>
  <si>
    <t>https://fgis.gost.ru/fundmetrology/cm/results/1-208033009</t>
  </si>
  <si>
    <t>https://fgis.gost.ru/fundmetrology/cm/results/1-208033011</t>
  </si>
  <si>
    <t>СШ2 ЗРУ 10/6кВ  МВ-10-I-2Т, яч.6</t>
  </si>
  <si>
    <t xml:space="preserve">1250
</t>
  </si>
  <si>
    <t>https://fgis.gost.ru/fundmetrology/cm/results/1-208032993</t>
  </si>
  <si>
    <t xml:space="preserve">1251
</t>
  </si>
  <si>
    <t>https://fgis.gost.ru/fundmetrology/cm/results/1-208032998</t>
  </si>
  <si>
    <t>1248</t>
  </si>
  <si>
    <t>https://fgis.gost.ru/fundmetrology/cm/results/1-208032992</t>
  </si>
  <si>
    <t>СШ1 ЗРУ 10кВ   РП-27 яч. №17</t>
  </si>
  <si>
    <t>40791678</t>
  </si>
  <si>
    <t xml:space="preserve">29148
</t>
  </si>
  <si>
    <t>https://fgis.gost.ru/fundmetrology/cm/results/1-158558428</t>
  </si>
  <si>
    <t xml:space="preserve">17192
</t>
  </si>
  <si>
    <t xml:space="preserve">17566
</t>
  </si>
  <si>
    <t>https://fgis.gost.ru/fundmetrology/cm/results/1-158558423</t>
  </si>
  <si>
    <t>17471</t>
  </si>
  <si>
    <t xml:space="preserve">СШ1 ЗРУ 10кВ  Ввод 1 яч. №27 </t>
  </si>
  <si>
    <t xml:space="preserve">1254
</t>
  </si>
  <si>
    <t>https://fgis.gost.ru/fundmetrology/cm/results/1-158558397</t>
  </si>
  <si>
    <t xml:space="preserve">1256
</t>
  </si>
  <si>
    <t>11.04.2022</t>
  </si>
  <si>
    <t>https://fgis.gost.ru/fundmetrology/cm/results/1-158558398</t>
  </si>
  <si>
    <t>1257</t>
  </si>
  <si>
    <t>https://fgis.gost.ru/fundmetrology/cm/results/1-158558399</t>
  </si>
  <si>
    <t xml:space="preserve">СШ1 ЗРУ 10кВ  КТП-3 яч. №21 </t>
  </si>
  <si>
    <t>40791663</t>
  </si>
  <si>
    <t xml:space="preserve">3124
</t>
  </si>
  <si>
    <t>26.04.2022</t>
  </si>
  <si>
    <t>https://fgis.gost.ru/fundmetrology/cm/results/1-158558447</t>
  </si>
  <si>
    <t>27.04.2022</t>
  </si>
  <si>
    <t>https://fgis.gost.ru/fundmetrology/cm/results/1-158558419</t>
  </si>
  <si>
    <t xml:space="preserve">СШ1 ЗРУ 10кВ  КТП-5 яч. №5 </t>
  </si>
  <si>
    <t>40791658</t>
  </si>
  <si>
    <t xml:space="preserve">8862
</t>
  </si>
  <si>
    <t>https://fgis.gost.ru/fundmetrology/cm/results/1-158558436</t>
  </si>
  <si>
    <t>https://fgis.gost.ru/fundmetrology/cm/results/1-158558403</t>
  </si>
  <si>
    <t xml:space="preserve">СШ1 ЗРУ 10кВ  РП-26 яч. №13 </t>
  </si>
  <si>
    <t>40791692</t>
  </si>
  <si>
    <t xml:space="preserve">31061
</t>
  </si>
  <si>
    <t>https://fgis.gost.ru/fundmetrology/cm/results/1-158558431</t>
  </si>
  <si>
    <t>https://fgis.gost.ru/fundmetrology/cm/results/1-158558407</t>
  </si>
  <si>
    <t xml:space="preserve">СШ1 ЗРУ 10кВ  РП-32 яч. №31 </t>
  </si>
  <si>
    <t>40791657</t>
  </si>
  <si>
    <t xml:space="preserve">26431
</t>
  </si>
  <si>
    <t>https://fgis.gost.ru/fundmetrology/cm/results/1-158558426</t>
  </si>
  <si>
    <t>https://fgis.gost.ru/fundmetrology/cm/results/1-158558450</t>
  </si>
  <si>
    <t xml:space="preserve">СШ1 ЗРУ 10кВ  Резерв яч. №7 </t>
  </si>
  <si>
    <t>40791702</t>
  </si>
  <si>
    <t>Неизвестный ТТ</t>
  </si>
  <si>
    <t>СШ1 ЗРУ 10кВ  ТП-77  яч. №19</t>
  </si>
  <si>
    <t>40791627</t>
  </si>
  <si>
    <t xml:space="preserve">29150
</t>
  </si>
  <si>
    <t>https://fgis.gost.ru/fundmetrology/cm/results/1-158558458</t>
  </si>
  <si>
    <t>https://fgis.gost.ru/fundmetrology/cm/results/1-158558461</t>
  </si>
  <si>
    <t xml:space="preserve">СШ1 ЗРУ 10кВ  от яч. 71 яч. №15 </t>
  </si>
  <si>
    <t>40791675</t>
  </si>
  <si>
    <t xml:space="preserve">12651
</t>
  </si>
  <si>
    <t>https://fgis.gost.ru/fundmetrology/cm/results/1-158558438</t>
  </si>
  <si>
    <t>https://fgis.gost.ru/fundmetrology/cm/results/1-158558471</t>
  </si>
  <si>
    <t xml:space="preserve">СШ1 ЗРУ 10кВ  от яч. 73 яч. №11 </t>
  </si>
  <si>
    <t>40791708</t>
  </si>
  <si>
    <t xml:space="preserve">27448
</t>
  </si>
  <si>
    <t>https://fgis.gost.ru/fundmetrology/cm/results/1-158558473</t>
  </si>
  <si>
    <t>https://fgis.gost.ru/fundmetrology/cm/results/1-158558429</t>
  </si>
  <si>
    <t xml:space="preserve">СШ1 ЗРУ 10кВ  от яч. 77 яч. №23 </t>
  </si>
  <si>
    <t>40791659</t>
  </si>
  <si>
    <t xml:space="preserve">12990
</t>
  </si>
  <si>
    <t>https://fgis.gost.ru/fundmetrology/cm/results/1-158558469</t>
  </si>
  <si>
    <t>https://fgis.gost.ru/fundmetrology/cm/results/1-158558632</t>
  </si>
  <si>
    <t xml:space="preserve">СШ2 ЗРУ 10кВ  Ввод 2 яч. №26 </t>
  </si>
  <si>
    <t xml:space="preserve">1267
</t>
  </si>
  <si>
    <t>https://fgis.gost.ru/fundmetrology/cm/results/1-158558394</t>
  </si>
  <si>
    <t xml:space="preserve">16689
</t>
  </si>
  <si>
    <t>17.04.2022</t>
  </si>
  <si>
    <t xml:space="preserve">1268
</t>
  </si>
  <si>
    <t>https://fgis.gost.ru/fundmetrology/cm/results/1-158558395</t>
  </si>
  <si>
    <t xml:space="preserve">17455
</t>
  </si>
  <si>
    <t>https://fgis.gost.ru/fundmetrology/cm/results/1-158558402</t>
  </si>
  <si>
    <t>17180</t>
  </si>
  <si>
    <t xml:space="preserve">СШ2 ЗРУ 10кВ  КТП-2 яч. №16 </t>
  </si>
  <si>
    <t>40791731</t>
  </si>
  <si>
    <t xml:space="preserve">44443
</t>
  </si>
  <si>
    <t>https://fgis.gost.ru/fundmetrology/cm/results/1-158558409</t>
  </si>
  <si>
    <t>https://fgis.gost.ru/fundmetrology/cm/results/1-158558445</t>
  </si>
  <si>
    <t xml:space="preserve">СШ2 ЗРУ 10кВ  РП-25 яч. №20 </t>
  </si>
  <si>
    <t>40791668</t>
  </si>
  <si>
    <t xml:space="preserve">46829
</t>
  </si>
  <si>
    <t>https://fgis.gost.ru/fundmetrology/cm/results/1-158558462</t>
  </si>
  <si>
    <t>https://fgis.gost.ru/fundmetrology/cm/results/1-158558408</t>
  </si>
  <si>
    <t xml:space="preserve">СШ2 ЗРУ 10кВ  РП-31 яч. №12 </t>
  </si>
  <si>
    <t>40791653</t>
  </si>
  <si>
    <t>12985</t>
  </si>
  <si>
    <t xml:space="preserve">СШ2 ЗРУ 10кВ  РП-34 яч. №8 </t>
  </si>
  <si>
    <t>40791704</t>
  </si>
  <si>
    <t xml:space="preserve">5327
</t>
  </si>
  <si>
    <t>https://fgis.gost.ru/fundmetrology/cm/results/1-158558448</t>
  </si>
  <si>
    <t xml:space="preserve">СШ2 ЗРУ 10кВ  Резерв яч. №18 </t>
  </si>
  <si>
    <t>01110950</t>
  </si>
  <si>
    <t xml:space="preserve">5348
</t>
  </si>
  <si>
    <t>1471</t>
  </si>
  <si>
    <t xml:space="preserve">СШ2 ЗРУ 10кВ  СМВ-10-II-IV яч. №30 </t>
  </si>
  <si>
    <t>01110790</t>
  </si>
  <si>
    <t xml:space="preserve">17651
</t>
  </si>
  <si>
    <t>57666</t>
  </si>
  <si>
    <t xml:space="preserve">СШ2 ЗРУ 10кВ  ТП-63 яч. №10 </t>
  </si>
  <si>
    <t>01110788</t>
  </si>
  <si>
    <t xml:space="preserve">11613
</t>
  </si>
  <si>
    <t>https://fgis.gost.ru/fundmetrology/cm/results/1-160789338</t>
  </si>
  <si>
    <t xml:space="preserve">СШ2 ЗРУ 10кВ  ТП-69 яч. №4 </t>
  </si>
  <si>
    <t>40791671</t>
  </si>
  <si>
    <t xml:space="preserve">26552
</t>
  </si>
  <si>
    <t>71849</t>
  </si>
  <si>
    <t xml:space="preserve">СШ2 ЗРУ 10кВ  ТП-76 яч. №6 </t>
  </si>
  <si>
    <t>40791662</t>
  </si>
  <si>
    <t xml:space="preserve">1364
</t>
  </si>
  <si>
    <t>1368</t>
  </si>
  <si>
    <t>СШ3 ЗРУ 10кВ  Ввод 3 яч. №57</t>
  </si>
  <si>
    <t>40724016</t>
  </si>
  <si>
    <t>13.09.2019</t>
  </si>
  <si>
    <t xml:space="preserve">1253
</t>
  </si>
  <si>
    <t>https://fgis.gost.ru/fundmetrology/cm/results/1-169638077</t>
  </si>
  <si>
    <t xml:space="preserve">17189
</t>
  </si>
  <si>
    <t>16.04.2022</t>
  </si>
  <si>
    <t xml:space="preserve">1252
</t>
  </si>
  <si>
    <t>https://fgis.gost.ru/fundmetrology/cm/results/1-169638082</t>
  </si>
  <si>
    <t xml:space="preserve">17191
</t>
  </si>
  <si>
    <t>https://fgis.gost.ru/fundmetrology/cm/results/1-169638076</t>
  </si>
  <si>
    <t>17640</t>
  </si>
  <si>
    <t xml:space="preserve">СШ3 ЗРУ 10кВ  ЗДР-1 яч. №37 </t>
  </si>
  <si>
    <t>01110786</t>
  </si>
  <si>
    <t xml:space="preserve">31214
</t>
  </si>
  <si>
    <t>15.05.2018</t>
  </si>
  <si>
    <t>31988</t>
  </si>
  <si>
    <t xml:space="preserve">СШ3 ЗРУ 10кВ  РП-28 яч. №47 </t>
  </si>
  <si>
    <t>01110754</t>
  </si>
  <si>
    <t xml:space="preserve">30368
</t>
  </si>
  <si>
    <t>20.09.2018</t>
  </si>
  <si>
    <t>31079</t>
  </si>
  <si>
    <t xml:space="preserve">СШ3 ЗРУ 10кВ  РП-29 яч. №49 </t>
  </si>
  <si>
    <t>01110986</t>
  </si>
  <si>
    <t xml:space="preserve">29147
</t>
  </si>
  <si>
    <t>29.05.2018</t>
  </si>
  <si>
    <t>29573</t>
  </si>
  <si>
    <t xml:space="preserve">СШ3 ЗРУ 10кВ  РП-33 яч. №45 </t>
  </si>
  <si>
    <t>01110904</t>
  </si>
  <si>
    <t xml:space="preserve">37215
</t>
  </si>
  <si>
    <t>24.12.2018</t>
  </si>
  <si>
    <t>11472</t>
  </si>
  <si>
    <t xml:space="preserve">СШ3 ЗРУ 10кВ  РП-35 яч. №61 </t>
  </si>
  <si>
    <t>01110837</t>
  </si>
  <si>
    <t xml:space="preserve">11980
</t>
  </si>
  <si>
    <t>12662</t>
  </si>
  <si>
    <t xml:space="preserve">СШ3 ЗРУ 10кВ  РП-36 яч. №41 </t>
  </si>
  <si>
    <t>01111013</t>
  </si>
  <si>
    <t xml:space="preserve">30881
</t>
  </si>
  <si>
    <t>22.05.2018</t>
  </si>
  <si>
    <t>5922</t>
  </si>
  <si>
    <t xml:space="preserve">СШ3 ЗРУ 10кВ  РП-37 яч. №53 </t>
  </si>
  <si>
    <t>01110794</t>
  </si>
  <si>
    <t xml:space="preserve">8141
</t>
  </si>
  <si>
    <t>30781</t>
  </si>
  <si>
    <t xml:space="preserve">СШ3 ЗРУ 10кВ  Резерв яч. №43 </t>
  </si>
  <si>
    <t>01110762</t>
  </si>
  <si>
    <t xml:space="preserve">30767
</t>
  </si>
  <si>
    <t>11981</t>
  </si>
  <si>
    <t xml:space="preserve">СШ3 ЗРУ 10кВ  Резерв яч. №51 </t>
  </si>
  <si>
    <t>01110840</t>
  </si>
  <si>
    <t>5/5</t>
  </si>
  <si>
    <t xml:space="preserve">СШ3 ЗРУ 10кВ  СМВ-10-I-III яч. №35 </t>
  </si>
  <si>
    <t>01184867</t>
  </si>
  <si>
    <t>17.11.2020</t>
  </si>
  <si>
    <t xml:space="preserve">340
</t>
  </si>
  <si>
    <t>405</t>
  </si>
  <si>
    <t xml:space="preserve">СШ4 ЗРУ 10кВ  Ввод 4 яч. №52 </t>
  </si>
  <si>
    <t xml:space="preserve">1260
</t>
  </si>
  <si>
    <t xml:space="preserve">18222
</t>
  </si>
  <si>
    <t xml:space="preserve">1247
</t>
  </si>
  <si>
    <t xml:space="preserve">17740
</t>
  </si>
  <si>
    <t>1259</t>
  </si>
  <si>
    <t>17172</t>
  </si>
  <si>
    <t>СШ4 ЗРУ 10кВ  КТП-1 яч. №60</t>
  </si>
  <si>
    <t>01110757</t>
  </si>
  <si>
    <t xml:space="preserve">12986
</t>
  </si>
  <si>
    <t>https://fgis.gost.ru/fundmetrology/cm/results/1-158558454</t>
  </si>
  <si>
    <t>30685</t>
  </si>
  <si>
    <t>СШ4 ЗРУ 10кВ  Резер, яч. №34</t>
  </si>
  <si>
    <t>01110841</t>
  </si>
  <si>
    <t xml:space="preserve">9368
</t>
  </si>
  <si>
    <t>31232</t>
  </si>
  <si>
    <t xml:space="preserve">СШ4 ЗРУ 10кВ  Резерв яч. №38 </t>
  </si>
  <si>
    <t>01110830</t>
  </si>
  <si>
    <t xml:space="preserve">31060
</t>
  </si>
  <si>
    <t>30363</t>
  </si>
  <si>
    <t xml:space="preserve">СШ4 ЗРУ 10кВ  Резерв яч. №42 </t>
  </si>
  <si>
    <t>40791753</t>
  </si>
  <si>
    <t>СШ4 ЗРУ 10кВ  Резерв яч. №58</t>
  </si>
  <si>
    <t>01111085</t>
  </si>
  <si>
    <t xml:space="preserve">11600
</t>
  </si>
  <si>
    <t>9932</t>
  </si>
  <si>
    <t>СШ4 ЗРУ 10кВ  СМВ-10-4-6, яч.№62</t>
  </si>
  <si>
    <t>01110831</t>
  </si>
  <si>
    <t xml:space="preserve">16630
</t>
  </si>
  <si>
    <t>1433</t>
  </si>
  <si>
    <t xml:space="preserve">СШ4 ЗРУ 10кВ  ТП-70 яч. №40 </t>
  </si>
  <si>
    <t>40791767</t>
  </si>
  <si>
    <t xml:space="preserve">8740
</t>
  </si>
  <si>
    <t>30660</t>
  </si>
  <si>
    <t xml:space="preserve">СШ4 ЗРУ 10кВ  ТП-77 яч. №36 </t>
  </si>
  <si>
    <t>40791667</t>
  </si>
  <si>
    <t xml:space="preserve">26651
</t>
  </si>
  <si>
    <t>31050</t>
  </si>
  <si>
    <t xml:space="preserve">СШ4 ЗРУ 10кВ  от яч. 70 яч. №54 </t>
  </si>
  <si>
    <t>40791686</t>
  </si>
  <si>
    <t xml:space="preserve">29169
</t>
  </si>
  <si>
    <t>28130</t>
  </si>
  <si>
    <t xml:space="preserve">СШ4 ЗРУ 10кВ  от яч. 76 яч. №46 </t>
  </si>
  <si>
    <t>40791680</t>
  </si>
  <si>
    <t xml:space="preserve">29196
</t>
  </si>
  <si>
    <t>10022</t>
  </si>
  <si>
    <t xml:space="preserve">СШ5 ЗРУ 10кВ  Ввод 5 яч. №87 </t>
  </si>
  <si>
    <t xml:space="preserve">1270
</t>
  </si>
  <si>
    <t>https://fgis.gost.ru/fundmetrology/cm/results/1-169638079</t>
  </si>
  <si>
    <t xml:space="preserve">17263
</t>
  </si>
  <si>
    <t xml:space="preserve">1271
</t>
  </si>
  <si>
    <t>https://fgis.gost.ru/fundmetrology/cm/results/1-169638073</t>
  </si>
  <si>
    <t xml:space="preserve">16887
</t>
  </si>
  <si>
    <t>14.04.2022</t>
  </si>
  <si>
    <t>https://fgis.gost.ru/fundmetrology/cm/results/1-169638074</t>
  </si>
  <si>
    <t>17651</t>
  </si>
  <si>
    <t xml:space="preserve">СШ5 ЗРУ 10кВ  КТП-5 яч. №67 </t>
  </si>
  <si>
    <t>01110778</t>
  </si>
  <si>
    <t xml:space="preserve">9717
</t>
  </si>
  <si>
    <t>12629</t>
  </si>
  <si>
    <t xml:space="preserve">СШ5 ЗРУ 10кВ  РП-25 яч. №91 </t>
  </si>
  <si>
    <t>01110751</t>
  </si>
  <si>
    <t xml:space="preserve">28414
</t>
  </si>
  <si>
    <t>8334</t>
  </si>
  <si>
    <t xml:space="preserve">СШ5 ЗРУ 10кВ  РП-31 яч. №93 </t>
  </si>
  <si>
    <t>40724062</t>
  </si>
  <si>
    <t xml:space="preserve">30686
</t>
  </si>
  <si>
    <t>5928</t>
  </si>
  <si>
    <t xml:space="preserve">СШ5 ЗРУ 10кВ  РП-34 яч. №79 </t>
  </si>
  <si>
    <t>01111041</t>
  </si>
  <si>
    <t xml:space="preserve">8402
</t>
  </si>
  <si>
    <t>8305</t>
  </si>
  <si>
    <t xml:space="preserve">СШ5 ЗРУ 10кВ  РП-35 яч. №75 </t>
  </si>
  <si>
    <t>40791703</t>
  </si>
  <si>
    <t xml:space="preserve">8673
</t>
  </si>
  <si>
    <t>8706</t>
  </si>
  <si>
    <t xml:space="preserve">СШ5 ЗРУ 10кВ  РП-36 яч. №77 </t>
  </si>
  <si>
    <t>01111083</t>
  </si>
  <si>
    <t xml:space="preserve">31083
</t>
  </si>
  <si>
    <t>30357</t>
  </si>
  <si>
    <t xml:space="preserve">СШ5 ЗРУ 10кВ  РП-37 яч. №71 </t>
  </si>
  <si>
    <t>01173681</t>
  </si>
  <si>
    <t xml:space="preserve">31066
</t>
  </si>
  <si>
    <t>29120</t>
  </si>
  <si>
    <t xml:space="preserve">СШ5 ЗРУ 10кВ  Резерв яч. №81 </t>
  </si>
  <si>
    <t>40791707</t>
  </si>
  <si>
    <t xml:space="preserve">СШ5 ЗРУ 10кВ  СМВ-10-III-V яч. №65 </t>
  </si>
  <si>
    <t>01110949</t>
  </si>
  <si>
    <t xml:space="preserve">11606
</t>
  </si>
  <si>
    <t>59464</t>
  </si>
  <si>
    <t xml:space="preserve">СШ5 ЗРУ 10кВ  ТП-69 яч. №83 </t>
  </si>
  <si>
    <t>01110767</t>
  </si>
  <si>
    <t xml:space="preserve">84021
</t>
  </si>
  <si>
    <t>83051</t>
  </si>
  <si>
    <t xml:space="preserve">СШ5 ЗРУ 10кВ  ТП-70 яч. №73 </t>
  </si>
  <si>
    <t>01110945</t>
  </si>
  <si>
    <t xml:space="preserve">29142
</t>
  </si>
  <si>
    <t>29123</t>
  </si>
  <si>
    <t xml:space="preserve">СШ6 ЗРУ 10кВ  Ввод 6 яч. №86 </t>
  </si>
  <si>
    <t xml:space="preserve">1387
</t>
  </si>
  <si>
    <t>https://fgis.gost.ru/fundmetrology/cm/results/1-169638080</t>
  </si>
  <si>
    <t xml:space="preserve">16599
</t>
  </si>
  <si>
    <t xml:space="preserve">1388
</t>
  </si>
  <si>
    <t>https://fgis.gost.ru/fundmetrology/cm/results/1-169638072</t>
  </si>
  <si>
    <t xml:space="preserve">17190
</t>
  </si>
  <si>
    <t>https://fgis.gost.ru/fundmetrology/cm/results/1-169638075</t>
  </si>
  <si>
    <t>17377</t>
  </si>
  <si>
    <t xml:space="preserve">СШ6 ЗРУ 10кВ  РП-26 яч. №70 </t>
  </si>
  <si>
    <t>40791688</t>
  </si>
  <si>
    <t xml:space="preserve">30351
</t>
  </si>
  <si>
    <t>09.07.2018</t>
  </si>
  <si>
    <t>30354</t>
  </si>
  <si>
    <t>СШ6 ЗРУ 10кВ  РП-27 яч. №80</t>
  </si>
  <si>
    <t>01111040</t>
  </si>
  <si>
    <t xml:space="preserve">2619
</t>
  </si>
  <si>
    <t>2008</t>
  </si>
  <si>
    <t xml:space="preserve">СШ6 ЗРУ 10кВ  РП-28 яч. №78 </t>
  </si>
  <si>
    <t>40723979</t>
  </si>
  <si>
    <t xml:space="preserve">32082
</t>
  </si>
  <si>
    <t>14.09.2018</t>
  </si>
  <si>
    <t>32522</t>
  </si>
  <si>
    <t xml:space="preserve">СШ6 ЗРУ 10кВ  РП-29 яч. №90 </t>
  </si>
  <si>
    <t>40724008</t>
  </si>
  <si>
    <t xml:space="preserve">29181
</t>
  </si>
  <si>
    <t>05.06.2018</t>
  </si>
  <si>
    <t>415</t>
  </si>
  <si>
    <t xml:space="preserve">СШ6 ЗРУ 10кВ  РП-32  яч. №92 </t>
  </si>
  <si>
    <t>01110843</t>
  </si>
  <si>
    <t xml:space="preserve">40231
</t>
  </si>
  <si>
    <t>36799</t>
  </si>
  <si>
    <t xml:space="preserve">СШ6 ЗРУ 10кВ  РП-33 яч. №66 </t>
  </si>
  <si>
    <t>40791664</t>
  </si>
  <si>
    <t>9338</t>
  </si>
  <si>
    <t>СШ6 ЗРУ 10кВ  Резерв яч. №74</t>
  </si>
  <si>
    <t>40723997</t>
  </si>
  <si>
    <t>СШ6 ЗРУ 10кВ  Резерв яч. №76</t>
  </si>
  <si>
    <t>40724036</t>
  </si>
  <si>
    <t>СШ6 ЗРУ 10кВ  ТП-76 яч. №68</t>
  </si>
  <si>
    <t>40724000</t>
  </si>
  <si>
    <t xml:space="preserve">6092
</t>
  </si>
  <si>
    <t>30693</t>
  </si>
  <si>
    <t xml:space="preserve"> ОПУ ТСН-1 яч. №22 </t>
  </si>
  <si>
    <t>01134350</t>
  </si>
  <si>
    <t xml:space="preserve">ТОП-0.66
</t>
  </si>
  <si>
    <t xml:space="preserve">39209
</t>
  </si>
  <si>
    <t>https://fgis.gost.ru/fundmetrology/cm/results/1-244530110</t>
  </si>
  <si>
    <t>Неизвестный ТН</t>
  </si>
  <si>
    <t>100/100</t>
  </si>
  <si>
    <t>Сч ИТЦ  ГПЭ,
ТТ ЮФ ГПЭ</t>
  </si>
  <si>
    <t>https://fgis.gost.ru/fundmetrology/cm/results/1-334719746</t>
  </si>
  <si>
    <t>ТОП-0.66</t>
  </si>
  <si>
    <t>39211</t>
  </si>
  <si>
    <t>https://fgis.gost.ru/fundmetrology/cm/results/1-244530111</t>
  </si>
  <si>
    <t xml:space="preserve"> ОПУ ТСН-2 яч. №82</t>
  </si>
  <si>
    <t>Меркурий 234 ARTM2-00 PBR.G</t>
  </si>
  <si>
    <t>https://fgis.gost.ru/fundmetrology/cm/results/1-196808836</t>
  </si>
  <si>
    <t xml:space="preserve">39210
</t>
  </si>
  <si>
    <t xml:space="preserve">39208
</t>
  </si>
  <si>
    <t>39212</t>
  </si>
  <si>
    <t>ГПП 3</t>
  </si>
  <si>
    <t>СШ-1 ЗРУ-6кВ Блок АТ яч.56</t>
  </si>
  <si>
    <t>A1802RAL-P4G-DW-4</t>
  </si>
  <si>
    <t>01225814</t>
  </si>
  <si>
    <t>https://fgis.gost.ru/fundmetrology/cm/results/1-207651691</t>
  </si>
  <si>
    <t xml:space="preserve">ТЛО-10
</t>
  </si>
  <si>
    <t xml:space="preserve">19023
</t>
  </si>
  <si>
    <t>24.04.2024</t>
  </si>
  <si>
    <t>https://fgis.gost.ru/fundmetrology/cm/results/1-334719767</t>
  </si>
  <si>
    <t xml:space="preserve">VRQ3n/S2
</t>
  </si>
  <si>
    <t xml:space="preserve">0801288
</t>
  </si>
  <si>
    <t>09.09.2019</t>
  </si>
  <si>
    <t xml:space="preserve">19022
</t>
  </si>
  <si>
    <t>https://fgis.gost.ru/fundmetrology/cm/results/1-334719763</t>
  </si>
  <si>
    <t xml:space="preserve">0801291
</t>
  </si>
  <si>
    <t>ТЛО-10</t>
  </si>
  <si>
    <t>19024</t>
  </si>
  <si>
    <t>https://fgis.gost.ru/fundmetrology/cm/results/1-334719764</t>
  </si>
  <si>
    <t>VRQ3n/S2</t>
  </si>
  <si>
    <t>0801292</t>
  </si>
  <si>
    <t>СШ-1 ЗРУ-6кВ Блок приготовления товарной продукции яч.54</t>
  </si>
  <si>
    <t>01225828</t>
  </si>
  <si>
    <t>https://fgis.gost.ru/fundmetrology/cm/results/1-304290178</t>
  </si>
  <si>
    <t xml:space="preserve">19200
</t>
  </si>
  <si>
    <t>https://fgis.gost.ru/fundmetrology/cm/results/1-334719773</t>
  </si>
  <si>
    <t xml:space="preserve">19192
</t>
  </si>
  <si>
    <t>https://fgis.gost.ru/fundmetrology/cm/results/1-334719772</t>
  </si>
  <si>
    <t>19182</t>
  </si>
  <si>
    <t>https://fgis.gost.ru/fundmetrology/cm/results/1-334719769</t>
  </si>
  <si>
    <t>СШ-1 ЗРУ-6кВ Ввод яч.52</t>
  </si>
  <si>
    <t>A1802RALXQ-P4GB-DW-4</t>
  </si>
  <si>
    <t>01216344</t>
  </si>
  <si>
    <t>10.11.2022</t>
  </si>
  <si>
    <t>https://fgis.gost.ru/fundmetrology/cm/results/1-207651686</t>
  </si>
  <si>
    <t xml:space="preserve">ТЛП-10
</t>
  </si>
  <si>
    <t xml:space="preserve">19320
</t>
  </si>
  <si>
    <t>https://fgis.gost.ru/fundmetrology/cm/results/1-288002666</t>
  </si>
  <si>
    <t xml:space="preserve">0801282
</t>
  </si>
  <si>
    <t xml:space="preserve">19302
</t>
  </si>
  <si>
    <t>https://fgis.gost.ru/fundmetrology/cm/results/1-288002640</t>
  </si>
  <si>
    <t xml:space="preserve">0801281
</t>
  </si>
  <si>
    <t>ТЛП-10</t>
  </si>
  <si>
    <t>https://fgis.gost.ru/fundmetrology/cm/results/1-288002651</t>
  </si>
  <si>
    <t>0801290</t>
  </si>
  <si>
    <t>СШ-1 ЗРУ-6кВ РП 8 яч.58</t>
  </si>
  <si>
    <t>01225833</t>
  </si>
  <si>
    <t>https://fgis.gost.ru/fundmetrology/cm/results/1-304290182</t>
  </si>
  <si>
    <t xml:space="preserve">19271
</t>
  </si>
  <si>
    <t>https://fgis.gost.ru/fundmetrology/cm/results/1-334719775</t>
  </si>
  <si>
    <t xml:space="preserve">19282
</t>
  </si>
  <si>
    <t>https://fgis.gost.ru/fundmetrology/cm/results/1-334719771</t>
  </si>
  <si>
    <t>19277</t>
  </si>
  <si>
    <t>https://fgis.gost.ru/fundmetrology/cm/results/1-334719760</t>
  </si>
  <si>
    <t>СШ-1 ЗРУ-6кВ РП 17 яч.50</t>
  </si>
  <si>
    <t>01225826</t>
  </si>
  <si>
    <t>https://fgis.gost.ru/fundmetrology/cm/results/1-304290183</t>
  </si>
  <si>
    <t xml:space="preserve">19260
</t>
  </si>
  <si>
    <t>https://fgis.gost.ru/fundmetrology/cm/results/1-334719761</t>
  </si>
  <si>
    <t xml:space="preserve">19258
</t>
  </si>
  <si>
    <t>https://fgis.gost.ru/fundmetrology/cm/results/1-334719766</t>
  </si>
  <si>
    <t>19232</t>
  </si>
  <si>
    <t>https://fgis.gost.ru/fundmetrology/cm/results/1-334719762</t>
  </si>
  <si>
    <t>СШ-1 ЗРУ-6кВ Резерв яч.48</t>
  </si>
  <si>
    <t xml:space="preserve">19033
</t>
  </si>
  <si>
    <t>23.10.2019</t>
  </si>
  <si>
    <t xml:space="preserve">19032
</t>
  </si>
  <si>
    <t>Ю56230</t>
  </si>
  <si>
    <t>СШ-1 ЗРУ-6кВ Резерв яч.53</t>
  </si>
  <si>
    <t>01225821</t>
  </si>
  <si>
    <t>https://fgis.gost.ru/fundmetrology/cm/results/1-304290179</t>
  </si>
  <si>
    <t xml:space="preserve">19285
</t>
  </si>
  <si>
    <t>https://fgis.gost.ru/fundmetrology/cm/results/1-334719765</t>
  </si>
  <si>
    <t xml:space="preserve">19265
</t>
  </si>
  <si>
    <t>https://fgis.gost.ru/fundmetrology/cm/results/1-334719759</t>
  </si>
  <si>
    <t>19275</t>
  </si>
  <si>
    <t>https://fgis.gost.ru/fundmetrology/cm/results/1-334719758</t>
  </si>
  <si>
    <t>СШ-1 ЗРУ-6кВ Резерв яч.60</t>
  </si>
  <si>
    <t>01225839</t>
  </si>
  <si>
    <t>https://fgis.gost.ru/fundmetrology/cm/results/1-304290184</t>
  </si>
  <si>
    <t xml:space="preserve">19193
</t>
  </si>
  <si>
    <t>25.04.2024</t>
  </si>
  <si>
    <t>https://fgis.gost.ru/fundmetrology/cm/results/1-335125773</t>
  </si>
  <si>
    <t xml:space="preserve">19185
</t>
  </si>
  <si>
    <t>https://fgis.gost.ru/fundmetrology/cm/results/1-335125759</t>
  </si>
  <si>
    <t>19184</t>
  </si>
  <si>
    <t>https://fgis.gost.ru/fundmetrology/cm/results/1-335125761</t>
  </si>
  <si>
    <t>СШ-1 ЗРУ-6кВ Установка гидроочистки дизельной фракции яч.55</t>
  </si>
  <si>
    <t>01225827</t>
  </si>
  <si>
    <t>https://fgis.gost.ru/fundmetrology/cm/results/1-304290180</t>
  </si>
  <si>
    <t xml:space="preserve">19266
</t>
  </si>
  <si>
    <t>https://fgis.gost.ru/fundmetrology/cm/results/1-335125772</t>
  </si>
  <si>
    <t xml:space="preserve">19279
</t>
  </si>
  <si>
    <t>https://fgis.gost.ru/fundmetrology/cm/results/1-335125767</t>
  </si>
  <si>
    <t>19263</t>
  </si>
  <si>
    <t>https://fgis.gost.ru/fundmetrology/cm/results/1-335125776</t>
  </si>
  <si>
    <t>СШ-1 ЗРУ-6кВ Установка изомеризации яч.51</t>
  </si>
  <si>
    <t>01225815</t>
  </si>
  <si>
    <t>https://fgis.gost.ru/fundmetrology/cm/results/1-286200690</t>
  </si>
  <si>
    <t xml:space="preserve">19257
</t>
  </si>
  <si>
    <t>https://fgis.gost.ru/fundmetrology/cm/results/1-335125777</t>
  </si>
  <si>
    <t xml:space="preserve">19235
</t>
  </si>
  <si>
    <t>https://fgis.gost.ru/fundmetrology/cm/results/1-335125770</t>
  </si>
  <si>
    <t>19253</t>
  </si>
  <si>
    <t>https://fgis.gost.ru/fundmetrology/cm/results/1-335125766</t>
  </si>
  <si>
    <t>СШ-1 ЗРУ-6кВ Установка концентрирования водорода яч.59</t>
  </si>
  <si>
    <t>01225832</t>
  </si>
  <si>
    <t>https://fgis.gost.ru/fundmetrology/cm/results/1-286200689</t>
  </si>
  <si>
    <t xml:space="preserve">19165
</t>
  </si>
  <si>
    <t>https://fgis.gost.ru/fundmetrology/cm/results/1-335125754</t>
  </si>
  <si>
    <t xml:space="preserve">19218
</t>
  </si>
  <si>
    <t>https://fgis.gost.ru/fundmetrology/cm/results/1-335125762</t>
  </si>
  <si>
    <t>19173</t>
  </si>
  <si>
    <t>https://fgis.gost.ru/fundmetrology/cm/results/1-335125768</t>
  </si>
  <si>
    <t>СШ-1 ЗРУ-6кВ Установка очистки и получения сжиженного газа №2 яч.57</t>
  </si>
  <si>
    <t>01225836</t>
  </si>
  <si>
    <t>https://fgis.gost.ru/fundmetrology/cm/results/1-304290181</t>
  </si>
  <si>
    <t xml:space="preserve">8405
</t>
  </si>
  <si>
    <t>https://fgis.gost.ru/fundmetrology/cm/results/1-335125765</t>
  </si>
  <si>
    <t xml:space="preserve">8407
</t>
  </si>
  <si>
    <t>https://fgis.gost.ru/fundmetrology/cm/results/1-335125779</t>
  </si>
  <si>
    <t>8410</t>
  </si>
  <si>
    <t>https://fgis.gost.ru/fundmetrology/cm/results/1-335125778</t>
  </si>
  <si>
    <t>СШ-2 ЗРУ-6кВ Блок АТ яч.39</t>
  </si>
  <si>
    <t>01225831</t>
  </si>
  <si>
    <t>https://fgis.gost.ru/fundmetrology/cm/results/1-256311765</t>
  </si>
  <si>
    <t xml:space="preserve">19019
</t>
  </si>
  <si>
    <t>https://fgis.gost.ru/fundmetrology/cm/results/1-335125763</t>
  </si>
  <si>
    <t xml:space="preserve">0801283
</t>
  </si>
  <si>
    <t xml:space="preserve">19021
</t>
  </si>
  <si>
    <t>https://fgis.gost.ru/fundmetrology/cm/results/1-335125757</t>
  </si>
  <si>
    <t xml:space="preserve">0801287
</t>
  </si>
  <si>
    <t>19020</t>
  </si>
  <si>
    <t>https://fgis.gost.ru/fundmetrology/cm/results/1-335125764</t>
  </si>
  <si>
    <t>0801286</t>
  </si>
  <si>
    <t>СШ-2 ЗРУ-6кВ Блок приговления товарной продукции яч.34</t>
  </si>
  <si>
    <t>01225835</t>
  </si>
  <si>
    <t>https://fgis.gost.ru/fundmetrology/cm/results/1-256311782</t>
  </si>
  <si>
    <t xml:space="preserve">19177
</t>
  </si>
  <si>
    <t>https://fgis.gost.ru/fundmetrology/cm/results/1-335125780</t>
  </si>
  <si>
    <t xml:space="preserve">19814
</t>
  </si>
  <si>
    <t>https://fgis.gost.ru/fundmetrology/cm/results/1-335125769</t>
  </si>
  <si>
    <t>19222</t>
  </si>
  <si>
    <t>https://fgis.gost.ru/fundmetrology/cm/results/1-335125775</t>
  </si>
  <si>
    <t>СШ-2 ЗРУ-6кВ Ввод яч.37</t>
  </si>
  <si>
    <t>01216331</t>
  </si>
  <si>
    <t>https://fgis.gost.ru/fundmetrology/cm/results/1-207651696</t>
  </si>
  <si>
    <t xml:space="preserve">19289
</t>
  </si>
  <si>
    <t>https://fgis.gost.ru/fundmetrology/cm/results/1-288002648</t>
  </si>
  <si>
    <t xml:space="preserve">0801279
</t>
  </si>
  <si>
    <t xml:space="preserve">19293
</t>
  </si>
  <si>
    <t>https://fgis.gost.ru/fundmetrology/cm/results/1-288002664</t>
  </si>
  <si>
    <t xml:space="preserve">0801289
</t>
  </si>
  <si>
    <t>19298</t>
  </si>
  <si>
    <t>https://fgis.gost.ru/fundmetrology/cm/results/1-288002655</t>
  </si>
  <si>
    <t>0801276</t>
  </si>
  <si>
    <t>СШ-2 ЗРУ-6кВ РП 17 яч.42</t>
  </si>
  <si>
    <t>01225837</t>
  </si>
  <si>
    <t>https://fgis.gost.ru/fundmetrology/cm/results/1-256311781</t>
  </si>
  <si>
    <t xml:space="preserve">19238
</t>
  </si>
  <si>
    <t>https://fgis.gost.ru/fundmetrology/cm/results/1-335125771</t>
  </si>
  <si>
    <t xml:space="preserve">19233
</t>
  </si>
  <si>
    <t>https://fgis.gost.ru/fundmetrology/cm/results/1-335125774</t>
  </si>
  <si>
    <t>19250</t>
  </si>
  <si>
    <t>https://fgis.gost.ru/fundmetrology/cm/results/1-335125753</t>
  </si>
  <si>
    <t>СШ-2 ЗРУ-6кВ Резерв яч.38</t>
  </si>
  <si>
    <t>01225841</t>
  </si>
  <si>
    <t>https://fgis.gost.ru/fundmetrology/cm/results/1-256311780</t>
  </si>
  <si>
    <t xml:space="preserve">19197
</t>
  </si>
  <si>
    <t>https://fgis.gost.ru/fundmetrology/cm/results/1-335125781</t>
  </si>
  <si>
    <t xml:space="preserve">19169
</t>
  </si>
  <si>
    <t>https://fgis.gost.ru/fundmetrology/cm/results/1-335125758</t>
  </si>
  <si>
    <t>19209</t>
  </si>
  <si>
    <t>https://fgis.gost.ru/fundmetrology/cm/results/1-335125756</t>
  </si>
  <si>
    <t>СШ-2 ЗРУ-6кВ Резерв яч.41</t>
  </si>
  <si>
    <t>01225829</t>
  </si>
  <si>
    <t>https://fgis.gost.ru/fundmetrology/cm/results/1-256311779</t>
  </si>
  <si>
    <t xml:space="preserve">19254
</t>
  </si>
  <si>
    <t>08.05.2024</t>
  </si>
  <si>
    <t>https://fgis.gost.ru/fundmetrology/cm/results/1-338189033</t>
  </si>
  <si>
    <t xml:space="preserve">19246
</t>
  </si>
  <si>
    <t>https://fgis.gost.ru/fundmetrology/cm/results/1-335125760</t>
  </si>
  <si>
    <t>19237</t>
  </si>
  <si>
    <t>https://fgis.gost.ru/fundmetrology/cm/results/1-335125755</t>
  </si>
  <si>
    <t>СШ-2 ЗРУ-6кВ ТСН-2 яч.36</t>
  </si>
  <si>
    <t>A1800</t>
  </si>
  <si>
    <t>01211664</t>
  </si>
  <si>
    <t>https://fgis.gost.ru/fundmetrology/cm/results/1-179500521</t>
  </si>
  <si>
    <t xml:space="preserve">ТШП-0.66
</t>
  </si>
  <si>
    <t xml:space="preserve">9102488
</t>
  </si>
  <si>
    <t>15.10.2019</t>
  </si>
  <si>
    <t xml:space="preserve">9102522
</t>
  </si>
  <si>
    <t>ТШП-0.66</t>
  </si>
  <si>
    <t>9102511</t>
  </si>
  <si>
    <t>СШ-2 ЗРУ-6кВ Установка гидроочистки дизельной фракции яч.35</t>
  </si>
  <si>
    <t>01225820</t>
  </si>
  <si>
    <t xml:space="preserve">19281
</t>
  </si>
  <si>
    <t>02.05.2024</t>
  </si>
  <si>
    <t>https://fgis.gost.ru/fundmetrology/cm/results/1-336341793</t>
  </si>
  <si>
    <t xml:space="preserve">19280
</t>
  </si>
  <si>
    <t>https://fgis.gost.ru/fundmetrology/cm/results/1-336341778</t>
  </si>
  <si>
    <t>19273</t>
  </si>
  <si>
    <t>https://fgis.gost.ru/fundmetrology/cm/results/1-336341790</t>
  </si>
  <si>
    <t>СШ-2 ЗРУ-6кВ Установка изомеризации яч.40</t>
  </si>
  <si>
    <t>01225834</t>
  </si>
  <si>
    <t>https://fgis.gost.ru/fundmetrology/cm/results/1-256311778</t>
  </si>
  <si>
    <t xml:space="preserve">19236
</t>
  </si>
  <si>
    <t>https://fgis.gost.ru/fundmetrology/cm/results/1-336341787</t>
  </si>
  <si>
    <t>19230</t>
  </si>
  <si>
    <t>https://fgis.gost.ru/fundmetrology/cm/results/1-336341782</t>
  </si>
  <si>
    <t>СШ-2 ЗРУ-6кВ Установка концентрирования водорода яч.33</t>
  </si>
  <si>
    <t>01225825</t>
  </si>
  <si>
    <t>https://fgis.gost.ru/fundmetrology/cm/results/1-256311773</t>
  </si>
  <si>
    <t xml:space="preserve">19187
</t>
  </si>
  <si>
    <t>https://fgis.gost.ru/fundmetrology/cm/results/1-336341805</t>
  </si>
  <si>
    <t xml:space="preserve">19205
</t>
  </si>
  <si>
    <t>https://fgis.gost.ru/fundmetrology/cm/results/1-336341797</t>
  </si>
  <si>
    <t>19204</t>
  </si>
  <si>
    <t>06.05.2024</t>
  </si>
  <si>
    <t>https://fgis.gost.ru/fundmetrology/cm/results/1-336341791</t>
  </si>
  <si>
    <t>СШ-2 ЗРУ-6кВ Установка очистки и получения сжиженного газа №2 яч.43</t>
  </si>
  <si>
    <t>01225830</t>
  </si>
  <si>
    <t>https://fgis.gost.ru/fundmetrology/cm/results/1-256311768</t>
  </si>
  <si>
    <t xml:space="preserve">19234
</t>
  </si>
  <si>
    <t>https://fgis.gost.ru/fundmetrology/cm/results/1-336341796</t>
  </si>
  <si>
    <t xml:space="preserve">19255
</t>
  </si>
  <si>
    <t>https://fgis.gost.ru/fundmetrology/cm/results/1-336341794</t>
  </si>
  <si>
    <t>19242</t>
  </si>
  <si>
    <t>https://fgis.gost.ru/fundmetrology/cm/results/1-336341795</t>
  </si>
  <si>
    <t>СШ-3 ЗРУ-6кВ Блок выделения бензольной фракции яч.9</t>
  </si>
  <si>
    <t>01216342</t>
  </si>
  <si>
    <t>25.11.2022</t>
  </si>
  <si>
    <t>https://fgis.gost.ru/fundmetrology/cm/results/1-207651684</t>
  </si>
  <si>
    <t xml:space="preserve">ТЛО-10-3
</t>
  </si>
  <si>
    <t xml:space="preserve">19160
</t>
  </si>
  <si>
    <t>https://fgis.gost.ru/fundmetrology/cm/results/1-336341799</t>
  </si>
  <si>
    <t xml:space="preserve">0806880
</t>
  </si>
  <si>
    <t xml:space="preserve">19196
</t>
  </si>
  <si>
    <t>https://fgis.gost.ru/fundmetrology/cm/results/1-336341792</t>
  </si>
  <si>
    <t xml:space="preserve">0801285
</t>
  </si>
  <si>
    <t>ТЛО-10-3</t>
  </si>
  <si>
    <t>19199</t>
  </si>
  <si>
    <t>https://fgis.gost.ru/fundmetrology/cm/results/1-336341779</t>
  </si>
  <si>
    <t>0806883</t>
  </si>
  <si>
    <t>СШ-3 ЗРУ-6кВ Блок гидроочистки бензина яч.7</t>
  </si>
  <si>
    <t>01216334</t>
  </si>
  <si>
    <t>https://fgis.gost.ru/fundmetrology/cm/results/1-207651690</t>
  </si>
  <si>
    <t xml:space="preserve">19259
</t>
  </si>
  <si>
    <t>https://fgis.gost.ru/fundmetrology/cm/results/1-336341804</t>
  </si>
  <si>
    <t xml:space="preserve">19247
</t>
  </si>
  <si>
    <t>https://fgis.gost.ru/fundmetrology/cm/results/1-336341803</t>
  </si>
  <si>
    <t>19231</t>
  </si>
  <si>
    <t>https://fgis.gost.ru/fundmetrology/cm/results/1-336341780</t>
  </si>
  <si>
    <t>СШ-3 ЗРУ-6кВ Ввод яч.4</t>
  </si>
  <si>
    <t>01216332</t>
  </si>
  <si>
    <t>https://fgis.gost.ru/fundmetrology/cm/results/1-207651688</t>
  </si>
  <si>
    <t xml:space="preserve">ТПЛ-10
</t>
  </si>
  <si>
    <t xml:space="preserve">19297
</t>
  </si>
  <si>
    <t>https://fgis.gost.ru/fundmetrology/cm/results/1-288002633</t>
  </si>
  <si>
    <t xml:space="preserve">0801275
</t>
  </si>
  <si>
    <t xml:space="preserve">19291
</t>
  </si>
  <si>
    <t>https://fgis.gost.ru/fundmetrology/cm/results/1-288002636</t>
  </si>
  <si>
    <t xml:space="preserve">0801277
</t>
  </si>
  <si>
    <t>https://fgis.gost.ru/fundmetrology/cm/results/1-288002639</t>
  </si>
  <si>
    <t>0801280</t>
  </si>
  <si>
    <t>СШ-3 ЗРУ-6кВ Каталитический риформинг яч.6</t>
  </si>
  <si>
    <t>01225816</t>
  </si>
  <si>
    <t>https://fgis.gost.ru/fundmetrology/cm/results/1-256311775</t>
  </si>
  <si>
    <t xml:space="preserve">19243
</t>
  </si>
  <si>
    <t>https://fgis.gost.ru/fundmetrology/cm/results/1-336341784</t>
  </si>
  <si>
    <t xml:space="preserve">19248
</t>
  </si>
  <si>
    <t>https://fgis.gost.ru/fundmetrology/cm/results/1-336341798</t>
  </si>
  <si>
    <t>19241</t>
  </si>
  <si>
    <t>https://fgis.gost.ru/fundmetrology/cm/results/1-336341783</t>
  </si>
  <si>
    <t>СШ-3 ЗРУ-6кВ Котельная яч.8</t>
  </si>
  <si>
    <t>01225842</t>
  </si>
  <si>
    <t>https://fgis.gost.ru/fundmetrology/cm/results/1-256311772</t>
  </si>
  <si>
    <t xml:space="preserve">19272
</t>
  </si>
  <si>
    <t>https://fgis.gost.ru/fundmetrology/cm/results/1-336341801</t>
  </si>
  <si>
    <t xml:space="preserve">19269
</t>
  </si>
  <si>
    <t>https://fgis.gost.ru/fundmetrology/cm/results/1-336341781</t>
  </si>
  <si>
    <t>19264</t>
  </si>
  <si>
    <t>https://fgis.gost.ru/fundmetrology/cm/results/1-336341800</t>
  </si>
  <si>
    <t>СШ-3 ЗРУ-6кВ Обратно-осмотическая установка яч.10</t>
  </si>
  <si>
    <t>01225817</t>
  </si>
  <si>
    <t>https://fgis.gost.ru/fundmetrology/cm/results/1-256311783</t>
  </si>
  <si>
    <t xml:space="preserve">19194
</t>
  </si>
  <si>
    <t>https://fgis.gost.ru/fundmetrology/cm/results/1-336341785</t>
  </si>
  <si>
    <t xml:space="preserve">19168
</t>
  </si>
  <si>
    <t>https://fgis.gost.ru/fundmetrology/cm/results/1-336341789</t>
  </si>
  <si>
    <t>19158</t>
  </si>
  <si>
    <t>https://fgis.gost.ru/fundmetrology/cm/results/1-336341776</t>
  </si>
  <si>
    <t>СШ-3 ЗРУ-6кВ Очистные сооружения МОС-1 яч.13</t>
  </si>
  <si>
    <t>01216333</t>
  </si>
  <si>
    <t>https://fgis.gost.ru/fundmetrology/cm/results/1-207651695</t>
  </si>
  <si>
    <t xml:space="preserve">19159
</t>
  </si>
  <si>
    <t>https://fgis.gost.ru/fundmetrology/cm/results/1-336341802</t>
  </si>
  <si>
    <t xml:space="preserve">19167
</t>
  </si>
  <si>
    <t>https://fgis.gost.ru/fundmetrology/cm/results/1-336341777</t>
  </si>
  <si>
    <t>19225</t>
  </si>
  <si>
    <t>https://fgis.gost.ru/fundmetrology/cm/results/1-336341786</t>
  </si>
  <si>
    <t>СШ-3 ЗРУ-6кВ Промпарк риформинга яч.11</t>
  </si>
  <si>
    <t>01216339</t>
  </si>
  <si>
    <t>https://fgis.gost.ru/fundmetrology/cm/results/1-207651694</t>
  </si>
  <si>
    <t xml:space="preserve">19223
</t>
  </si>
  <si>
    <t>https://fgis.gost.ru/fundmetrology/cm/results/1-336341788</t>
  </si>
  <si>
    <t xml:space="preserve">19206
</t>
  </si>
  <si>
    <t>https://fgis.gost.ru/fundmetrology/cm/results/1-337164252</t>
  </si>
  <si>
    <t>19224</t>
  </si>
  <si>
    <t>https://fgis.gost.ru/fundmetrology/cm/results/1-337164271</t>
  </si>
  <si>
    <t>СШ-3 ЗРУ-6кВ Резерв яч.3</t>
  </si>
  <si>
    <t>01225822</t>
  </si>
  <si>
    <t>https://fgis.gost.ru/fundmetrology/cm/results/1-256311776</t>
  </si>
  <si>
    <t xml:space="preserve">19276
</t>
  </si>
  <si>
    <t>https://fgis.gost.ru/fundmetrology/cm/results/1-337163966</t>
  </si>
  <si>
    <t xml:space="preserve">19274
</t>
  </si>
  <si>
    <t>https://fgis.gost.ru/fundmetrology/cm/results/1-337164274</t>
  </si>
  <si>
    <t>19262</t>
  </si>
  <si>
    <t>https://fgis.gost.ru/fundmetrology/cm/results/1-337164254</t>
  </si>
  <si>
    <t>СШ-3 ЗРУ-6кВ Резерв яч.15</t>
  </si>
  <si>
    <t xml:space="preserve">19030
</t>
  </si>
  <si>
    <t xml:space="preserve">19036
</t>
  </si>
  <si>
    <t>19027</t>
  </si>
  <si>
    <t>СШ-3 ЗРУ-6кВ ТСН-1 яч.2</t>
  </si>
  <si>
    <t>01211636</t>
  </si>
  <si>
    <t>29.07.2022</t>
  </si>
  <si>
    <t>https://fgis.gost.ru/fundmetrology/cm/results/1-179500523</t>
  </si>
  <si>
    <t xml:space="preserve">9102519
</t>
  </si>
  <si>
    <t xml:space="preserve">9102490
</t>
  </si>
  <si>
    <t>9102485</t>
  </si>
  <si>
    <t>СШ-3 ЗРУ-6кВ Установка получения сырья каталитических процессов яч.5</t>
  </si>
  <si>
    <t>01216337</t>
  </si>
  <si>
    <t>https://fgis.gost.ru/fundmetrology/cm/results/1-207651692</t>
  </si>
  <si>
    <t xml:space="preserve">19229
</t>
  </si>
  <si>
    <t xml:space="preserve">19240
</t>
  </si>
  <si>
    <t>19251</t>
  </si>
  <si>
    <t>СШ-3 ЗРУ-6кВ Эстакада точечного налива яч.12</t>
  </si>
  <si>
    <t>01225818</t>
  </si>
  <si>
    <t>https://fgis.gost.ru/fundmetrology/cm/results/1-256311774</t>
  </si>
  <si>
    <t xml:space="preserve">19221
</t>
  </si>
  <si>
    <t>https://fgis.gost.ru/fundmetrology/cm/results/1-337164235</t>
  </si>
  <si>
    <t xml:space="preserve">19198
</t>
  </si>
  <si>
    <t>https://fgis.gost.ru/fundmetrology/cm/results/1-337164268</t>
  </si>
  <si>
    <t>19176</t>
  </si>
  <si>
    <t>https://fgis.gost.ru/fundmetrology/cm/results/1-337164249</t>
  </si>
  <si>
    <t>СШ-4 ЗРУ-6кВ Блок выделения бензольной фракции яч.28</t>
  </si>
  <si>
    <t>01216340</t>
  </si>
  <si>
    <t>https://fgis.gost.ru/fundmetrology/cm/results/1-207651683</t>
  </si>
  <si>
    <t xml:space="preserve">19212
</t>
  </si>
  <si>
    <t>https://fgis.gost.ru/fundmetrology/cm/results/1-337164233</t>
  </si>
  <si>
    <t xml:space="preserve">0806887
</t>
  </si>
  <si>
    <t xml:space="preserve">19216
</t>
  </si>
  <si>
    <t>https://fgis.gost.ru/fundmetrology/cm/results/1-337163970</t>
  </si>
  <si>
    <t xml:space="preserve">0806879
</t>
  </si>
  <si>
    <t>19215</t>
  </si>
  <si>
    <t>https://fgis.gost.ru/fundmetrology/cm/results/1-337164263</t>
  </si>
  <si>
    <t>0801284</t>
  </si>
  <si>
    <t>СШ-4 ЗРУ-6кВ Блок гидроочистки бензина яч.21</t>
  </si>
  <si>
    <t>01216336</t>
  </si>
  <si>
    <t>https://fgis.gost.ru/fundmetrology/cm/results/1-207651693</t>
  </si>
  <si>
    <t xml:space="preserve">19227
</t>
  </si>
  <si>
    <t>https://fgis.gost.ru/fundmetrology/cm/results/1-337164260</t>
  </si>
  <si>
    <t>https://fgis.gost.ru/fundmetrology/cm/results/1-337164294</t>
  </si>
  <si>
    <t>19252</t>
  </si>
  <si>
    <t>https://fgis.gost.ru/fundmetrology/cm/results/1-337164244</t>
  </si>
  <si>
    <t>СШ-4 ЗРУ-6кВ Ввод яч.19</t>
  </si>
  <si>
    <t>01216345</t>
  </si>
  <si>
    <t>https://fgis.gost.ru/fundmetrology/cm/results/1-207651698</t>
  </si>
  <si>
    <t xml:space="preserve">19317
</t>
  </si>
  <si>
    <t>https://fgis.gost.ru/fundmetrology/cm/results/1-288002646</t>
  </si>
  <si>
    <t xml:space="preserve">0801278
</t>
  </si>
  <si>
    <t xml:space="preserve">19315
</t>
  </si>
  <si>
    <t>https://fgis.gost.ru/fundmetrology/cm/results/1-288002643</t>
  </si>
  <si>
    <t xml:space="preserve">0801274
</t>
  </si>
  <si>
    <t>19316</t>
  </si>
  <si>
    <t>https://fgis.gost.ru/fundmetrology/cm/results/1-288002660</t>
  </si>
  <si>
    <t>0801273</t>
  </si>
  <si>
    <t>СШ-4 ЗРУ-6кВ Каталитический риформинг яч.22</t>
  </si>
  <si>
    <t>01225838</t>
  </si>
  <si>
    <t>https://fgis.gost.ru/fundmetrology/cm/results/1-256311764</t>
  </si>
  <si>
    <t xml:space="preserve">19244
</t>
  </si>
  <si>
    <t>https://fgis.gost.ru/fundmetrology/cm/results/1-337164238</t>
  </si>
  <si>
    <t xml:space="preserve">19261
</t>
  </si>
  <si>
    <t>https://fgis.gost.ru/fundmetrology/cm/results/1-337164276</t>
  </si>
  <si>
    <t>19249</t>
  </si>
  <si>
    <t>https://fgis.gost.ru/fundmetrology/cm/results/1-337164280</t>
  </si>
  <si>
    <t>СШ-4 ЗРУ-6кВ Котельная яч.26</t>
  </si>
  <si>
    <t>01225840</t>
  </si>
  <si>
    <t>https://fgis.gost.ru/fundmetrology/cm/results/1-256311771</t>
  </si>
  <si>
    <t xml:space="preserve">19268
</t>
  </si>
  <si>
    <t>https://fgis.gost.ru/fundmetrology/cm/results/1-337163965</t>
  </si>
  <si>
    <t xml:space="preserve">19278
</t>
  </si>
  <si>
    <t>https://fgis.gost.ru/fundmetrology/cm/results/1-337164282</t>
  </si>
  <si>
    <t>19283</t>
  </si>
  <si>
    <t>https://fgis.gost.ru/fundmetrology/cm/results/1-337164227</t>
  </si>
  <si>
    <t>СШ-4 ЗРУ-6кВ Обратно-осмотическая установка яч.29</t>
  </si>
  <si>
    <t>01225824</t>
  </si>
  <si>
    <t>https://fgis.gost.ru/fundmetrology/cm/results/1-256311767</t>
  </si>
  <si>
    <t xml:space="preserve">19203
</t>
  </si>
  <si>
    <t>https://fgis.gost.ru/fundmetrology/cm/results/1-337164241</t>
  </si>
  <si>
    <t xml:space="preserve">19217
</t>
  </si>
  <si>
    <t>https://fgis.gost.ru/fundmetrology/cm/results/1-337164291</t>
  </si>
  <si>
    <t>19210</t>
  </si>
  <si>
    <t>https://fgis.gost.ru/fundmetrology/cm/results/1-337164285</t>
  </si>
  <si>
    <t>СШ-4 ЗРУ-6кВ Очистные сооружения МОС-1 яч.24</t>
  </si>
  <si>
    <t>01216338</t>
  </si>
  <si>
    <t>https://fgis.gost.ru/fundmetrology/cm/results/1-207651687</t>
  </si>
  <si>
    <t xml:space="preserve">19181
</t>
  </si>
  <si>
    <t>https://fgis.gost.ru/fundmetrology/cm/results/1-337164288</t>
  </si>
  <si>
    <t xml:space="preserve">19172
</t>
  </si>
  <si>
    <t>https://fgis.gost.ru/fundmetrology/cm/results/1-337164266</t>
  </si>
  <si>
    <t>19195</t>
  </si>
  <si>
    <t>https://fgis.gost.ru/fundmetrology/cm/results/1-337164230</t>
  </si>
  <si>
    <t>СШ-4 ЗРУ-6кВ Промпарк риформинга яч.27</t>
  </si>
  <si>
    <t>01216341</t>
  </si>
  <si>
    <t>https://fgis.gost.ru/fundmetrology/cm/results/1-207651685</t>
  </si>
  <si>
    <t xml:space="preserve">19202
</t>
  </si>
  <si>
    <t>https://fgis.gost.ru/fundmetrology/cm/results/1-337163967</t>
  </si>
  <si>
    <t xml:space="preserve">19174
</t>
  </si>
  <si>
    <t>https://fgis.gost.ru/fundmetrology/cm/results/1-337163968</t>
  </si>
  <si>
    <t>19188</t>
  </si>
  <si>
    <t>https://fgis.gost.ru/fundmetrology/cm/results/1-337164257</t>
  </si>
  <si>
    <t>СШ-4 ЗРУ-6кВ Резерв яч.23</t>
  </si>
  <si>
    <t>01225823</t>
  </si>
  <si>
    <t xml:space="preserve">19284
</t>
  </si>
  <si>
    <t>https://fgis.gost.ru/fundmetrology/cm/results/1-337164246</t>
  </si>
  <si>
    <t xml:space="preserve">19267
</t>
  </si>
  <si>
    <t>https://fgis.gost.ru/fundmetrology/cm/results/1-337163621</t>
  </si>
  <si>
    <t>19270</t>
  </si>
  <si>
    <t>https://fgis.gost.ru/fundmetrology/cm/results/1-337163617</t>
  </si>
  <si>
    <t>СШ-4 ЗРУ-6кВ Установка получения сырья каталитических процессов яч.25</t>
  </si>
  <si>
    <t>01216343</t>
  </si>
  <si>
    <t>https://fgis.gost.ru/fundmetrology/cm/results/1-207651689</t>
  </si>
  <si>
    <t xml:space="preserve">19256
</t>
  </si>
  <si>
    <t>https://fgis.gost.ru/fundmetrology/cm/results/1-337163616</t>
  </si>
  <si>
    <t xml:space="preserve">19228
</t>
  </si>
  <si>
    <t>https://fgis.gost.ru/fundmetrology/cm/results/1-337163618</t>
  </si>
  <si>
    <t>19226</t>
  </si>
  <si>
    <t>https://fgis.gost.ru/fundmetrology/cm/results/1-337163615</t>
  </si>
  <si>
    <t>СШ-4 ЗРУ-6кВ Эстакада точечного налива яч.30</t>
  </si>
  <si>
    <t>01225819</t>
  </si>
  <si>
    <t>https://fgis.gost.ru/fundmetrology/cm/results/1-256311762</t>
  </si>
  <si>
    <t xml:space="preserve">19211
</t>
  </si>
  <si>
    <t>https://fgis.gost.ru/fundmetrology/cm/results/1-337163614</t>
  </si>
  <si>
    <t xml:space="preserve">19214
</t>
  </si>
  <si>
    <t>https://fgis.gost.ru/fundmetrology/cm/results/1-337163619</t>
  </si>
  <si>
    <t>19208</t>
  </si>
  <si>
    <t>https://fgis.gost.ru/fundmetrology/cm/results/1-337163620</t>
  </si>
  <si>
    <t xml:space="preserve"> ОРУ 110кВ Ввод №1, ВЛ 110 кВ Газовая - ГПП-3 №1</t>
  </si>
  <si>
    <t>01209758</t>
  </si>
  <si>
    <t>https://fgis.gost.ru/fundmetrology/cm/results/1-179500520</t>
  </si>
  <si>
    <t xml:space="preserve">TAT
</t>
  </si>
  <si>
    <t xml:space="preserve">GD7/P43102
</t>
  </si>
  <si>
    <t>https://fgis.gost.ru/fundmetrology/cm/results/1-337163612</t>
  </si>
  <si>
    <t xml:space="preserve">TVBs123
</t>
  </si>
  <si>
    <t xml:space="preserve">30027630
</t>
  </si>
  <si>
    <t>13.04.2018</t>
  </si>
  <si>
    <t xml:space="preserve">GD7/P43105
</t>
  </si>
  <si>
    <t>https://fgis.gost.ru/fundmetrology/cm/results/1-337163611</t>
  </si>
  <si>
    <t xml:space="preserve">30027629
</t>
  </si>
  <si>
    <t>TAT</t>
  </si>
  <si>
    <t>GD7/P43104</t>
  </si>
  <si>
    <t>https://fgis.gost.ru/fundmetrology/cm/results/1-337163610</t>
  </si>
  <si>
    <t>TVBs123</t>
  </si>
  <si>
    <t>30027628</t>
  </si>
  <si>
    <t xml:space="preserve"> ОРУ 110кВ Ввод №2, ВЛ 110 кВ Газовая - ГПП-3 №2</t>
  </si>
  <si>
    <t>01209757</t>
  </si>
  <si>
    <t>https://fgis.gost.ru/fundmetrology/cm/results/1-179500522</t>
  </si>
  <si>
    <t xml:space="preserve">GD7/P43103
</t>
  </si>
  <si>
    <t>https://fgis.gost.ru/fundmetrology/cm/results/1-337163608</t>
  </si>
  <si>
    <t xml:space="preserve">30027627
</t>
  </si>
  <si>
    <t>12.04.2018</t>
  </si>
  <si>
    <t xml:space="preserve">GD7/P43101
</t>
  </si>
  <si>
    <t>https://fgis.gost.ru/fundmetrology/cm/results/1-337163607</t>
  </si>
  <si>
    <t xml:space="preserve">30027625
</t>
  </si>
  <si>
    <t>GD7/P43106</t>
  </si>
  <si>
    <t>https://fgis.gost.ru/fundmetrology/cm/results/1-337163609</t>
  </si>
  <si>
    <t>30027626</t>
  </si>
  <si>
    <t>ПС Серная</t>
  </si>
  <si>
    <t>СШ1 ЗРУ 6кВ 1КУ яч. №7</t>
  </si>
  <si>
    <t>40724096</t>
  </si>
  <si>
    <t xml:space="preserve">5300
</t>
  </si>
  <si>
    <t>16.03.2020</t>
  </si>
  <si>
    <t>https://fgis.gost.ru/fundmetrology/cm/results/2-177330675</t>
  </si>
  <si>
    <t xml:space="preserve">ЗНОЛ.06-6 УЗ
</t>
  </si>
  <si>
    <t xml:space="preserve">17136
</t>
  </si>
  <si>
    <t xml:space="preserve">17444
</t>
  </si>
  <si>
    <t>https://fgis.gost.ru/fundmetrology/cm/results/2-177345476</t>
  </si>
  <si>
    <t>ЗНОЛ.06-6 УЗ</t>
  </si>
  <si>
    <t>17445</t>
  </si>
  <si>
    <t>СШ1 ЗРУ 6кВ 1ТП-ENERSUL яч.№13</t>
  </si>
  <si>
    <t>40791741</t>
  </si>
  <si>
    <t xml:space="preserve">6387
</t>
  </si>
  <si>
    <t>https://fgis.gost.ru/fundmetrology/cm/results/2-177330673</t>
  </si>
  <si>
    <t xml:space="preserve">17441
</t>
  </si>
  <si>
    <t>22.04.2022</t>
  </si>
  <si>
    <t xml:space="preserve">17137
</t>
  </si>
  <si>
    <t>https://fgis.gost.ru/fundmetrology/cm/results/2-177330672</t>
  </si>
  <si>
    <t>17442</t>
  </si>
  <si>
    <t xml:space="preserve">СШ1 ЗРУ 6кВ Ввод 1 яч. №1 </t>
  </si>
  <si>
    <t>01173700</t>
  </si>
  <si>
    <t>https://fgis.gost.ru/fundmetrology/cm/results/1-383156898</t>
  </si>
  <si>
    <t>21.03.2022</t>
  </si>
  <si>
    <t>https://fgis.gost.ru/fundmetrology/cm/results/1-158558481</t>
  </si>
  <si>
    <t xml:space="preserve">1905
</t>
  </si>
  <si>
    <t>https://fgis.gost.ru/fundmetrology/cm/results/1-158558483</t>
  </si>
  <si>
    <t>1952</t>
  </si>
  <si>
    <t>23.03.2022</t>
  </si>
  <si>
    <t>https://fgis.gost.ru/fundmetrology/cm/results/1-158558480</t>
  </si>
  <si>
    <t>СШ1 ЗРУ 6кВ РП-1 Ввод-1 яч. №9</t>
  </si>
  <si>
    <t>A1805RALXQ-P4GB-DW-4</t>
  </si>
  <si>
    <t>01293451</t>
  </si>
  <si>
    <t>13.08.2015</t>
  </si>
  <si>
    <t xml:space="preserve">5831
</t>
  </si>
  <si>
    <t>https://fgis.gost.ru/fundmetrology/cm/results/2-177330671</t>
  </si>
  <si>
    <t>https://fgis.gost.ru/fundmetrology/cm/results/2-177330670</t>
  </si>
  <si>
    <t xml:space="preserve">СШ1 ЗРУ 6кВ Резерв яч. №14 </t>
  </si>
  <si>
    <t>01173686</t>
  </si>
  <si>
    <t xml:space="preserve">2092
</t>
  </si>
  <si>
    <t>https://fgis.gost.ru/fundmetrology/cm/results/2-177330669</t>
  </si>
  <si>
    <t>https://fgis.gost.ru/fundmetrology/cm/results/2-177330668</t>
  </si>
  <si>
    <t xml:space="preserve">СШ1 ЗРУ 6кВ Резерв яч. №16 </t>
  </si>
  <si>
    <t>01173709</t>
  </si>
  <si>
    <t xml:space="preserve">3058
</t>
  </si>
  <si>
    <t>17.03.2020</t>
  </si>
  <si>
    <t>https://fgis.gost.ru/fundmetrology/cm/results/2-177330667</t>
  </si>
  <si>
    <t>https://fgis.gost.ru/fundmetrology/cm/results/2-177330666</t>
  </si>
  <si>
    <t xml:space="preserve">СШ1 ЗРУ 6кВ Резерв яч. №18 </t>
  </si>
  <si>
    <t>01173671</t>
  </si>
  <si>
    <t xml:space="preserve">6174
</t>
  </si>
  <si>
    <t>https://fgis.gost.ru/fundmetrology/cm/results/2-177330665</t>
  </si>
  <si>
    <t>https://fgis.gost.ru/fundmetrology/cm/results/2-177330664</t>
  </si>
  <si>
    <t xml:space="preserve">СШ1 ЗРУ 6кВ Резерв яч. №20 </t>
  </si>
  <si>
    <t>01173684</t>
  </si>
  <si>
    <t>https://fgis.gost.ru/fundmetrology/cm/results/1-383156902</t>
  </si>
  <si>
    <t xml:space="preserve">6251
</t>
  </si>
  <si>
    <t>https://fgis.gost.ru/fundmetrology/cm/results/2-177330663</t>
  </si>
  <si>
    <t>https://fgis.gost.ru/fundmetrology/cm/results/2-177330662</t>
  </si>
  <si>
    <t xml:space="preserve">СШ1 ЗРУ 6кВ ТП-2 яч. №11 </t>
  </si>
  <si>
    <t>Меркурий 234 ARTM2-00 PBR.R</t>
  </si>
  <si>
    <t>48302501</t>
  </si>
  <si>
    <t xml:space="preserve">56751
</t>
  </si>
  <si>
    <t>https://fgis.gost.ru/fundmetrology/cm/results/2-177330661</t>
  </si>
  <si>
    <t>https://fgis.gost.ru/fundmetrology/cm/results/2-177330660</t>
  </si>
  <si>
    <t>СШ1 ЗРУ 6кВ ТП-4 (1Т) яч. №17</t>
  </si>
  <si>
    <t>01173694</t>
  </si>
  <si>
    <t>https://fgis.gost.ru/fundmetrology/cm/results/1-383156900</t>
  </si>
  <si>
    <t xml:space="preserve">49415
</t>
  </si>
  <si>
    <t>https://fgis.gost.ru/fundmetrology/cm/results/2-177330659</t>
  </si>
  <si>
    <t>https://fgis.gost.ru/fundmetrology/cm/results/2-177330658</t>
  </si>
  <si>
    <t xml:space="preserve">СШ1 ЗРУ 6кВ ТП-74 яч. №15 </t>
  </si>
  <si>
    <t>01173697</t>
  </si>
  <si>
    <t>https://fgis.gost.ru/fundmetrology/cm/results/1-383156894</t>
  </si>
  <si>
    <t xml:space="preserve">44431
</t>
  </si>
  <si>
    <t>https://fgis.gost.ru/fundmetrology/cm/results/1-32467891</t>
  </si>
  <si>
    <t>https://fgis.gost.ru/fundmetrology/cm/results/1-32467890</t>
  </si>
  <si>
    <t xml:space="preserve">СШ1 ЗРУ 6кВ ТСН-1 яч. №3 </t>
  </si>
  <si>
    <t>01173690</t>
  </si>
  <si>
    <t>https://fgis.gost.ru/fundmetrology/cm/results/1-383156901</t>
  </si>
  <si>
    <t>https://fgis.gost.ru/fundmetrology/cm/results/1-158558477</t>
  </si>
  <si>
    <t>https://fgis.gost.ru/fundmetrology/cm/results/1-158558479</t>
  </si>
  <si>
    <t>1837</t>
  </si>
  <si>
    <t>https://fgis.gost.ru/fundmetrology/cm/results/1-158558478</t>
  </si>
  <si>
    <t>СШ2 ЗРУ 6кВ 1ТП-ENERSUL яч. №23</t>
  </si>
  <si>
    <t>40791701</t>
  </si>
  <si>
    <t xml:space="preserve">5823
</t>
  </si>
  <si>
    <t>https://fgis.gost.ru/fundmetrology/cm/results/2-177330657</t>
  </si>
  <si>
    <t>https://fgis.gost.ru/fundmetrology/cm/results/2-177330656</t>
  </si>
  <si>
    <t xml:space="preserve">СШ2 ЗРУ 6кВ 2 КУ яч. №31 </t>
  </si>
  <si>
    <t>01173706</t>
  </si>
  <si>
    <t>https://fgis.gost.ru/fundmetrology/cm/results/1-383156895</t>
  </si>
  <si>
    <t xml:space="preserve">43792
</t>
  </si>
  <si>
    <t>18.11.2020</t>
  </si>
  <si>
    <t>https://fgis.gost.ru/fundmetrology/cm/results/1-32467889</t>
  </si>
  <si>
    <t xml:space="preserve">44219
</t>
  </si>
  <si>
    <t>https://fgis.gost.ru/fundmetrology/cm/results/1-32467888</t>
  </si>
  <si>
    <t>https://fgis.gost.ru/fundmetrology/cm/results/1-32467887</t>
  </si>
  <si>
    <t>СШ2 ЗРУ 6кВ Ввод 2 яч. №39</t>
  </si>
  <si>
    <t>01110502</t>
  </si>
  <si>
    <t>01.12.2020</t>
  </si>
  <si>
    <t>https://fgis.gost.ru/fundmetrology/cm/results/1-56744619</t>
  </si>
  <si>
    <t>https://fgis.gost.ru/fundmetrology/cm/results/1-158558475</t>
  </si>
  <si>
    <t xml:space="preserve">1378
</t>
  </si>
  <si>
    <t>https://fgis.gost.ru/fundmetrology/cm/results/1-158558476</t>
  </si>
  <si>
    <t>1375</t>
  </si>
  <si>
    <t>https://fgis.gost.ru/fundmetrology/cm/results/1-158558482</t>
  </si>
  <si>
    <t>СШ2 ЗРУ 6кВ КТПН-250 яч. №26</t>
  </si>
  <si>
    <t>01111035</t>
  </si>
  <si>
    <t>27.11.2020</t>
  </si>
  <si>
    <t>https://fgis.gost.ru/fundmetrology/cm/results/1-20319270</t>
  </si>
  <si>
    <t xml:space="preserve">20810
</t>
  </si>
  <si>
    <t>20.03.2020</t>
  </si>
  <si>
    <t>https://fgis.gost.ru/fundmetrology/cm/results/2-177330655</t>
  </si>
  <si>
    <t>https://fgis.gost.ru/fundmetrology/cm/results/2-177330654</t>
  </si>
  <si>
    <t xml:space="preserve">СШ2 ЗРУ 6кВ РП-1 яч. №29 </t>
  </si>
  <si>
    <t>40791730</t>
  </si>
  <si>
    <t xml:space="preserve">5824
</t>
  </si>
  <si>
    <t>https://fgis.gost.ru/fundmetrology/cm/results/1-32467886</t>
  </si>
  <si>
    <t>https://fgis.gost.ru/fundmetrology/cm/results/1-32467885</t>
  </si>
  <si>
    <t>СШ2 ЗРУ 6кВ Резерв яч. №22</t>
  </si>
  <si>
    <t>01173677</t>
  </si>
  <si>
    <t xml:space="preserve">16143
</t>
  </si>
  <si>
    <t>https://fgis.gost.ru/fundmetrology/cm/results/2-177330653</t>
  </si>
  <si>
    <t>https://fgis.gost.ru/fundmetrology/cm/results/2-177330652</t>
  </si>
  <si>
    <t>СШ2 ЗРУ 6кВ Резерв яч. №24</t>
  </si>
  <si>
    <t>01173695</t>
  </si>
  <si>
    <t>https://fgis.gost.ru/fundmetrology/cm/results/1-383156890</t>
  </si>
  <si>
    <t xml:space="preserve">16144
</t>
  </si>
  <si>
    <t>https://fgis.gost.ru/fundmetrology/cm/results/2-177330651</t>
  </si>
  <si>
    <t>https://fgis.gost.ru/fundmetrology/cm/results/2-177330650</t>
  </si>
  <si>
    <t>СШ2 ЗРУ 6кВ Резерв яч. №27</t>
  </si>
  <si>
    <t>01173702</t>
  </si>
  <si>
    <t>https://fgis.gost.ru/fundmetrology/cm/results/1-383156896</t>
  </si>
  <si>
    <t xml:space="preserve">3149
</t>
  </si>
  <si>
    <t>https://fgis.gost.ru/fundmetrology/cm/results/2-177330649</t>
  </si>
  <si>
    <t>https://fgis.gost.ru/fundmetrology/cm/results/2-177330648</t>
  </si>
  <si>
    <t>СШ2 ЗРУ 6кВ Резерв яч. №28</t>
  </si>
  <si>
    <t>48302515</t>
  </si>
  <si>
    <t>https://fgis.gost.ru/fundmetrology/cm/results/1-201268322</t>
  </si>
  <si>
    <t xml:space="preserve">43756
</t>
  </si>
  <si>
    <t>https://fgis.gost.ru/fundmetrology/cm/results/2-177330647</t>
  </si>
  <si>
    <t xml:space="preserve">44408
</t>
  </si>
  <si>
    <t>https://fgis.gost.ru/fundmetrology/cm/results/2-177330646</t>
  </si>
  <si>
    <t>https://fgis.gost.ru/fundmetrology/cm/results/1-32467884</t>
  </si>
  <si>
    <t>СШ2 ЗРУ 6кВ Резерв яч. №30</t>
  </si>
  <si>
    <t>01173692</t>
  </si>
  <si>
    <t>https://fgis.gost.ru/fundmetrology/cm/results/1-383156892</t>
  </si>
  <si>
    <t xml:space="preserve">5959
</t>
  </si>
  <si>
    <t>https://fgis.gost.ru/fundmetrology/cm/results/1-32467881</t>
  </si>
  <si>
    <t>https://fgis.gost.ru/fundmetrology/cm/results/1-32467879</t>
  </si>
  <si>
    <t>СШ2 ЗРУ 6кВ СМВ-6-I-II яч. №21</t>
  </si>
  <si>
    <t>48302507</t>
  </si>
  <si>
    <t xml:space="preserve">18668
</t>
  </si>
  <si>
    <t>https://fgis.gost.ru/fundmetrology/cm/results/2-177330645</t>
  </si>
  <si>
    <t>https://fgis.gost.ru/fundmetrology/cm/results/2-177330644</t>
  </si>
  <si>
    <t>СШ2 ЗРУ 6кВ ТП-2 (2Т) яч. №25</t>
  </si>
  <si>
    <t>01173674</t>
  </si>
  <si>
    <t>https://fgis.gost.ru/fundmetrology/cm/results/1-383156893</t>
  </si>
  <si>
    <t xml:space="preserve">43047
</t>
  </si>
  <si>
    <t>https://fgis.gost.ru/fundmetrology/cm/results/2-177330643</t>
  </si>
  <si>
    <t>https://fgis.gost.ru/fundmetrology/cm/results/2-177330642</t>
  </si>
  <si>
    <t>СШ2 ЗРУ 6кВ ТП-4 яч. №35</t>
  </si>
  <si>
    <t>01173696</t>
  </si>
  <si>
    <t>https://fgis.gost.ru/fundmetrology/cm/results/1-383156897</t>
  </si>
  <si>
    <t xml:space="preserve">62086
</t>
  </si>
  <si>
    <t>https://fgis.gost.ru/fundmetrology/cm/results/1-32467878</t>
  </si>
  <si>
    <t>https://fgis.gost.ru/fundmetrology/cm/results/1-32467877</t>
  </si>
  <si>
    <t>СШ2 ЗРУ 6кВ ТСН-2 яч. №37</t>
  </si>
  <si>
    <t>01110517</t>
  </si>
  <si>
    <t>https://fgis.gost.ru/fundmetrology/cm/results/1-20319275</t>
  </si>
  <si>
    <t>https://fgis.gost.ru/fundmetrology/cm/results/1-158558484</t>
  </si>
  <si>
    <t xml:space="preserve">389
</t>
  </si>
  <si>
    <t>https://fgis.gost.ru/fundmetrology/cm/results/1-158558631</t>
  </si>
  <si>
    <t>403</t>
  </si>
  <si>
    <t>https://fgis.gost.ru/fundmetrology/cm/results/1-158558630</t>
  </si>
  <si>
    <t>ООО Газпром энерго</t>
  </si>
  <si>
    <t>ПС 35/6 кВ "Бузан"</t>
  </si>
  <si>
    <t>СШ1 ЗРУ-6кВ ВЛ-6 кВ "Технология" яч.1</t>
  </si>
  <si>
    <t>СЭТ-4ТМ.03</t>
  </si>
  <si>
    <t>0808090665</t>
  </si>
  <si>
    <t>05.08.2021</t>
  </si>
  <si>
    <t>https://fgis.gost.ru/fundmetrology/cm/results/1-88830607</t>
  </si>
  <si>
    <t>https://fgis.gost.ru/fundmetrology/cm/results/1-396720629</t>
  </si>
  <si>
    <t>НТМИ-6</t>
  </si>
  <si>
    <t>ВХХК</t>
  </si>
  <si>
    <t>22.03.2022</t>
  </si>
  <si>
    <t>Сч ЮФ ГПЭ,
ТТ и ТН ЮФ ГПЭ</t>
  </si>
  <si>
    <t>ТПЛ-10</t>
  </si>
  <si>
    <t>https://fgis.gost.ru/fundmetrology/cm/results/1-396720626</t>
  </si>
  <si>
    <t>СШ1 ЗРУ-6кВ ВЛ-6 кВ Ввод яч.10</t>
  </si>
  <si>
    <t>СЭТ-4ТМ.03М</t>
  </si>
  <si>
    <t>0803112454</t>
  </si>
  <si>
    <t>https://fgis.gost.ru/fundmetrology/cm/results/1-207651697</t>
  </si>
  <si>
    <t>01.12.2022</t>
  </si>
  <si>
    <t>https://fgis.gost.ru/fundmetrology/cm/results/1-208032939</t>
  </si>
  <si>
    <t>https://fgis.gost.ru/fundmetrology/cm/results/1-208032956</t>
  </si>
  <si>
    <t>СШ1 ЗРУ-6кВ ВЛ-6 кВ Резерв яч.2</t>
  </si>
  <si>
    <t>0805090030</t>
  </si>
  <si>
    <t>30.06.2021</t>
  </si>
  <si>
    <t>https://fgis.gost.ru/fundmetrology/cm/results/1-80242391</t>
  </si>
  <si>
    <t>https://fgis.gost.ru/fundmetrology/cm/results/1-208032963</t>
  </si>
  <si>
    <t>https://fgis.gost.ru/fundmetrology/cm/results/1-208032938</t>
  </si>
  <si>
    <t>СШ1 ЗРУ-6кВ ВЛ-6 кВ Ф-3</t>
  </si>
  <si>
    <t>0808090637</t>
  </si>
  <si>
    <t>04.08.2021</t>
  </si>
  <si>
    <t>https://fgis.gost.ru/fundmetrology/cm/results/1-88830595</t>
  </si>
  <si>
    <t>https://fgis.gost.ru/fundmetrology/cm/results/1-396720627</t>
  </si>
  <si>
    <t>https://fgis.gost.ru/fundmetrology/cm/results/1-396720625</t>
  </si>
  <si>
    <t>СШ1 ЗРУ-6кВ Ввод яч.6</t>
  </si>
  <si>
    <t>0805090064</t>
  </si>
  <si>
    <t>29.06.2021</t>
  </si>
  <si>
    <t>https://fgis.gost.ru/fundmetrology/cm/results/1-80242392</t>
  </si>
  <si>
    <t>https://fgis.gost.ru/fundmetrology/cm/results/1-396720630</t>
  </si>
  <si>
    <t>https://fgis.gost.ru/fundmetrology/cm/results/1-396720624</t>
  </si>
  <si>
    <t>СШ1 ЗРУ-6кВ ТСН-1-6 яч.7</t>
  </si>
  <si>
    <t>0808090092</t>
  </si>
  <si>
    <t>06.08.2021</t>
  </si>
  <si>
    <t>https://fgis.gost.ru/fundmetrology/cm/results/1-88830556</t>
  </si>
  <si>
    <t xml:space="preserve">Т-0,66
</t>
  </si>
  <si>
    <t>50/5</t>
  </si>
  <si>
    <t>https://fgis.gost.ru/fundmetrology/cm/results/1-396720632</t>
  </si>
  <si>
    <t>https://fgis.gost.ru/fundmetrology/cm/results/1-396720633</t>
  </si>
  <si>
    <t>Т-0,66</t>
  </si>
  <si>
    <t>https://fgis.gost.ru/fundmetrology/cm/results/1-396720635</t>
  </si>
  <si>
    <t>ПС 35/6 кВ УППГ-2/2</t>
  </si>
  <si>
    <t>СШ1 РУ-6кВ ВЛ-6 кВ Резерв яч.8</t>
  </si>
  <si>
    <t>0808090606</t>
  </si>
  <si>
    <t>https://fgis.gost.ru/fundmetrology/cm/results/1-88830598</t>
  </si>
  <si>
    <t xml:space="preserve">АВК-10
</t>
  </si>
  <si>
    <t xml:space="preserve">7892
</t>
  </si>
  <si>
    <t>https://fgis.gost.ru/fundmetrology/cm/results/1-169638061</t>
  </si>
  <si>
    <t>НАМИ-10</t>
  </si>
  <si>
    <t>1317</t>
  </si>
  <si>
    <t>https://fgis.gost.ru/fundmetrology/cm/results/1-256311794</t>
  </si>
  <si>
    <t xml:space="preserve">7885
</t>
  </si>
  <si>
    <t>https://fgis.gost.ru/fundmetrology/cm/results/1-169638056</t>
  </si>
  <si>
    <t>АВК-10</t>
  </si>
  <si>
    <t>https://fgis.gost.ru/fundmetrology/cm/results/1-169638060</t>
  </si>
  <si>
    <t>СШ1 РУ-6кВ ВЛ-6 кВ Ф-4</t>
  </si>
  <si>
    <t>0808090646</t>
  </si>
  <si>
    <t>https://fgis.gost.ru/fundmetrology/cm/results/1-88830560</t>
  </si>
  <si>
    <t xml:space="preserve">123
</t>
  </si>
  <si>
    <t>08.12.2022</t>
  </si>
  <si>
    <t xml:space="preserve">18943
</t>
  </si>
  <si>
    <t>18924</t>
  </si>
  <si>
    <t>СШ1 РУ-6кВ ВЛ-6 кВ Ф-6</t>
  </si>
  <si>
    <t>0808090574</t>
  </si>
  <si>
    <t>https://fgis.gost.ru/fundmetrology/cm/results/1-88830600</t>
  </si>
  <si>
    <t xml:space="preserve">18685
</t>
  </si>
  <si>
    <t xml:space="preserve">7893
</t>
  </si>
  <si>
    <t>18673</t>
  </si>
  <si>
    <t>СШ1 РУ-6кВ Ввод №1 яч.2</t>
  </si>
  <si>
    <t>0808090716</t>
  </si>
  <si>
    <t>https://fgis.gost.ru/fundmetrology/cm/results/1-88830562</t>
  </si>
  <si>
    <t>7859</t>
  </si>
  <si>
    <t>15.02.2022</t>
  </si>
  <si>
    <t>Ю56936</t>
  </si>
  <si>
    <t>https://fgis.gost.ru/fundmetrology/cm/results/1-208032983</t>
  </si>
  <si>
    <t>СШ2 РУ-6кВ ВЛ-6 кВ Резерв яч.16</t>
  </si>
  <si>
    <t>0808090672</t>
  </si>
  <si>
    <t>https://fgis.gost.ru/fundmetrology/cm/results/1-88830564</t>
  </si>
  <si>
    <t xml:space="preserve">13455
</t>
  </si>
  <si>
    <t>https://fgis.gost.ru/fundmetrology/cm/results/1-169638059</t>
  </si>
  <si>
    <t xml:space="preserve">VSKI 10b
</t>
  </si>
  <si>
    <t xml:space="preserve">1121
</t>
  </si>
  <si>
    <t>03.06.2022</t>
  </si>
  <si>
    <t xml:space="preserve">13434
</t>
  </si>
  <si>
    <t>https://fgis.gost.ru/fundmetrology/cm/results/1-169638071</t>
  </si>
  <si>
    <t xml:space="preserve">1113
</t>
  </si>
  <si>
    <t>https://fgis.gost.ru/fundmetrology/cm/results/1-169638062</t>
  </si>
  <si>
    <t>VSKI 10b</t>
  </si>
  <si>
    <t>1028</t>
  </si>
  <si>
    <t>СШ2 РУ-6кВ ВЛ-6 кВ Ф-14</t>
  </si>
  <si>
    <t>0808090650</t>
  </si>
  <si>
    <t>https://fgis.gost.ru/fundmetrology/cm/results/1-88830603</t>
  </si>
  <si>
    <t xml:space="preserve">18917
</t>
  </si>
  <si>
    <t xml:space="preserve">18927
</t>
  </si>
  <si>
    <t>126</t>
  </si>
  <si>
    <t>СШ2 РУ-6кВ ВЛ-6 кВ Ф-18</t>
  </si>
  <si>
    <t>0808090548</t>
  </si>
  <si>
    <t>https://fgis.gost.ru/fundmetrology/cm/results/1-88830716</t>
  </si>
  <si>
    <t xml:space="preserve">18671
</t>
  </si>
  <si>
    <t xml:space="preserve">18681
</t>
  </si>
  <si>
    <t>18651</t>
  </si>
  <si>
    <t>СШ2 РУ-6кВ Ввод №2 яч.12</t>
  </si>
  <si>
    <t>0808090667</t>
  </si>
  <si>
    <t>https://fgis.gost.ru/fundmetrology/cm/results/1-88830620</t>
  </si>
  <si>
    <t xml:space="preserve">7866
</t>
  </si>
  <si>
    <t>https://fgis.gost.ru/fundmetrology/cm/results/1-169638057</t>
  </si>
  <si>
    <t>https://fgis.gost.ru/fundmetrology/cm/results/1-169638064</t>
  </si>
  <si>
    <t xml:space="preserve"> РУ-6кВ ТСН-1-6 кВ</t>
  </si>
  <si>
    <t>0807091585</t>
  </si>
  <si>
    <t>https://fgis.gost.ru/fundmetrology/cm/results/1-80242393</t>
  </si>
  <si>
    <t xml:space="preserve">9102434
</t>
  </si>
  <si>
    <t xml:space="preserve">9102431
</t>
  </si>
  <si>
    <t>9102448</t>
  </si>
  <si>
    <t xml:space="preserve"> РУ-6кВ ТСН-2-6 кВ</t>
  </si>
  <si>
    <t>0808090155</t>
  </si>
  <si>
    <t>https://fgis.gost.ru/fundmetrology/cm/results/1-88830605</t>
  </si>
  <si>
    <t xml:space="preserve">9102437
</t>
  </si>
  <si>
    <t xml:space="preserve">9102426
</t>
  </si>
  <si>
    <t>9102446</t>
  </si>
  <si>
    <t>ПС 35/6 кВ УППГ-3А</t>
  </si>
  <si>
    <t>СШ1 РУ-6кВ ВЛ-6 кВ Резерв Яч.№7</t>
  </si>
  <si>
    <t>0808090889</t>
  </si>
  <si>
    <t>https://fgis.gost.ru/fundmetrology/cm/results/1-88830717</t>
  </si>
  <si>
    <t xml:space="preserve">ТЛМ-10-1
</t>
  </si>
  <si>
    <t xml:space="preserve">00202
</t>
  </si>
  <si>
    <t>13.11.2020</t>
  </si>
  <si>
    <t>https://fgis.gost.ru/fundmetrology/cm/results/1-32467901</t>
  </si>
  <si>
    <t>5734</t>
  </si>
  <si>
    <t>ТЛМ-10-1</t>
  </si>
  <si>
    <t>https://fgis.gost.ru/fundmetrology/cm/results/1-32467902</t>
  </si>
  <si>
    <t>СШ1 РУ-6кВ ВЛ-6 кВ Ф-2</t>
  </si>
  <si>
    <t>0808090710</t>
  </si>
  <si>
    <t>https://fgis.gost.ru/fundmetrology/cm/results/1-88830569</t>
  </si>
  <si>
    <t xml:space="preserve">7901
</t>
  </si>
  <si>
    <t>12.11.2020</t>
  </si>
  <si>
    <t>https://fgis.gost.ru/fundmetrology/cm/results/1-32467903</t>
  </si>
  <si>
    <t>https://fgis.gost.ru/fundmetrology/cm/results/1-32467904</t>
  </si>
  <si>
    <t>СШ1 РУ-6кВ ВЛ-6 кВ Ф-5</t>
  </si>
  <si>
    <t>0808090881</t>
  </si>
  <si>
    <t>https://fgis.gost.ru/fundmetrology/cm/results/1-88830819</t>
  </si>
  <si>
    <t xml:space="preserve">0002
</t>
  </si>
  <si>
    <t>https://fgis.gost.ru/fundmetrology/cm/results/1-32467905</t>
  </si>
  <si>
    <t>0040</t>
  </si>
  <si>
    <t>https://fgis.gost.ru/fundmetrology/cm/results/1-32467906</t>
  </si>
  <si>
    <t>0808090874</t>
  </si>
  <si>
    <t>https://fgis.gost.ru/fundmetrology/cm/results/1-88830572</t>
  </si>
  <si>
    <t xml:space="preserve">8120
</t>
  </si>
  <si>
    <t>08.12.2020</t>
  </si>
  <si>
    <t>https://fgis.gost.ru/fundmetrology/cm/results/1-32467927</t>
  </si>
  <si>
    <t>7494</t>
  </si>
  <si>
    <t>https://fgis.gost.ru/fundmetrology/cm/results/1-32467908</t>
  </si>
  <si>
    <t>СШ1 РУ-6кВ Ввод №1 яч.3</t>
  </si>
  <si>
    <t>0808090647</t>
  </si>
  <si>
    <t>https://fgis.gost.ru/fundmetrology/cm/results/1-88830714</t>
  </si>
  <si>
    <t xml:space="preserve">8188
</t>
  </si>
  <si>
    <t>https://fgis.gost.ru/fundmetrology/cm/results/1-32467910</t>
  </si>
  <si>
    <t>7963</t>
  </si>
  <si>
    <t>https://fgis.gost.ru/fundmetrology/cm/results/1-32467911</t>
  </si>
  <si>
    <t>СШ2 РУ-6кВ ВЛ-6 кВ Ф-10</t>
  </si>
  <si>
    <t>0808090026</t>
  </si>
  <si>
    <t>https://fgis.gost.ru/fundmetrology/cm/results/1-88830576</t>
  </si>
  <si>
    <t xml:space="preserve">1316
</t>
  </si>
  <si>
    <t>https://fgis.gost.ru/fundmetrology/cm/results/1-32467912</t>
  </si>
  <si>
    <t>5732</t>
  </si>
  <si>
    <t>1402</t>
  </si>
  <si>
    <t>https://fgis.gost.ru/fundmetrology/cm/results/1-32467913</t>
  </si>
  <si>
    <t>СШ2 РУ-6кВ ВЛ-6 кВ Ф-11</t>
  </si>
  <si>
    <t>0808090782</t>
  </si>
  <si>
    <t>https://fgis.gost.ru/fundmetrology/cm/results/1-88830821</t>
  </si>
  <si>
    <t>https://fgis.gost.ru/fundmetrology/cm/results/1-32467914</t>
  </si>
  <si>
    <t>7497</t>
  </si>
  <si>
    <t>https://fgis.gost.ru/fundmetrology/cm/results/1-32467916</t>
  </si>
  <si>
    <t>СШ2 РУ-6кВ ВЛ-6 кВ Ф-12</t>
  </si>
  <si>
    <t>0808090640</t>
  </si>
  <si>
    <t>https://fgis.gost.ru/fundmetrology/cm/results/1-88830579</t>
  </si>
  <si>
    <t xml:space="preserve">7968
</t>
  </si>
  <si>
    <t>https://fgis.gost.ru/fundmetrology/cm/results/1-32467917</t>
  </si>
  <si>
    <t>7631</t>
  </si>
  <si>
    <t>https://fgis.gost.ru/fundmetrology/cm/results/1-32467918</t>
  </si>
  <si>
    <t>СШ2 РУ-6кВ ВЛ-6 кВ Ф-15</t>
  </si>
  <si>
    <t>0808090708</t>
  </si>
  <si>
    <t>https://fgis.gost.ru/fundmetrology/cm/results/1-88830580</t>
  </si>
  <si>
    <t xml:space="preserve">7850
</t>
  </si>
  <si>
    <t>https://fgis.gost.ru/fundmetrology/cm/results/1-32467919</t>
  </si>
  <si>
    <t>7998</t>
  </si>
  <si>
    <t>https://fgis.gost.ru/fundmetrology/cm/results/1-32467920</t>
  </si>
  <si>
    <t>СШ2 РУ-6кВ Ввод №2 яч.14</t>
  </si>
  <si>
    <t>0808090633</t>
  </si>
  <si>
    <t>https://fgis.gost.ru/fundmetrology/cm/results/1-88830822</t>
  </si>
  <si>
    <t xml:space="preserve">7964
</t>
  </si>
  <si>
    <t>https://fgis.gost.ru/fundmetrology/cm/results/1-32467921</t>
  </si>
  <si>
    <t>8126</t>
  </si>
  <si>
    <t>https://fgis.gost.ru/fundmetrology/cm/results/1-32467922</t>
  </si>
  <si>
    <t xml:space="preserve"> РУ-6кВ АВР ТСН 6 кВ яч.051</t>
  </si>
  <si>
    <t>0807091486</t>
  </si>
  <si>
    <t>https://fgis.gost.ru/fundmetrology/cm/results/1-88830583</t>
  </si>
  <si>
    <t xml:space="preserve">12007
</t>
  </si>
  <si>
    <t>https://fgis.gost.ru/fundmetrology/cm/results/1-179500524</t>
  </si>
  <si>
    <t xml:space="preserve">12019
</t>
  </si>
  <si>
    <t>https://fgis.gost.ru/fundmetrology/cm/results/1-179500525</t>
  </si>
  <si>
    <t>https://fgis.gost.ru/fundmetrology/cm/results/1-179500528</t>
  </si>
  <si>
    <t>ПС 35/6 кВ УППГ-6</t>
  </si>
  <si>
    <t>СШ1 РУ-6кВ ВЛ-6 кВ Резерв яч.7</t>
  </si>
  <si>
    <t>0808090089</t>
  </si>
  <si>
    <t>https://fgis.gost.ru/fundmetrology/cm/results/1-88830824</t>
  </si>
  <si>
    <t xml:space="preserve">7953
</t>
  </si>
  <si>
    <t>02.11.2020</t>
  </si>
  <si>
    <t>https://fgis.gost.ru/fundmetrology/cm/results/1-32467946</t>
  </si>
  <si>
    <t>5730</t>
  </si>
  <si>
    <t>https://fgis.gost.ru/fundmetrology/cm/results/1-32467947</t>
  </si>
  <si>
    <t>0808090005</t>
  </si>
  <si>
    <t>https://fgis.gost.ru/fundmetrology/cm/results/1-88830825</t>
  </si>
  <si>
    <t xml:space="preserve">7913
</t>
  </si>
  <si>
    <t>05.11.2020</t>
  </si>
  <si>
    <t>https://fgis.gost.ru/fundmetrology/cm/results/1-32467948</t>
  </si>
  <si>
    <t>7911</t>
  </si>
  <si>
    <t>https://fgis.gost.ru/fundmetrology/cm/results/1-32467949</t>
  </si>
  <si>
    <t>0808090394</t>
  </si>
  <si>
    <t>https://fgis.gost.ru/fundmetrology/cm/results/1-88830586</t>
  </si>
  <si>
    <t xml:space="preserve">5211
</t>
  </si>
  <si>
    <t>https://fgis.gost.ru/fundmetrology/cm/results/1-32467950</t>
  </si>
  <si>
    <t>8255</t>
  </si>
  <si>
    <t>https://fgis.gost.ru/fundmetrology/cm/results/1-32467951</t>
  </si>
  <si>
    <t>0808090636</t>
  </si>
  <si>
    <t>https://fgis.gost.ru/fundmetrology/cm/results/1-88830589</t>
  </si>
  <si>
    <t xml:space="preserve">8354
</t>
  </si>
  <si>
    <t>https://fgis.gost.ru/fundmetrology/cm/results/1-32467952</t>
  </si>
  <si>
    <t>8184</t>
  </si>
  <si>
    <t>https://fgis.gost.ru/fundmetrology/cm/results/1-32467953</t>
  </si>
  <si>
    <t>СШ1 РУ-6кВ яч 5 ВЛ-6 кВ Ф-11</t>
  </si>
  <si>
    <t>0808090840</t>
  </si>
  <si>
    <t>https://fgis.gost.ru/fundmetrology/cm/results/1-88830592</t>
  </si>
  <si>
    <t xml:space="preserve">7898
</t>
  </si>
  <si>
    <t>10.11.2020</t>
  </si>
  <si>
    <t>https://fgis.gost.ru/fundmetrology/cm/results/1-32467954</t>
  </si>
  <si>
    <t>9143</t>
  </si>
  <si>
    <t>https://fgis.gost.ru/fundmetrology/cm/results/1-32467955</t>
  </si>
  <si>
    <t>0808090060</t>
  </si>
  <si>
    <t>https://fgis.gost.ru/fundmetrology/cm/results/1-88830718</t>
  </si>
  <si>
    <t xml:space="preserve">2830
</t>
  </si>
  <si>
    <t>https://fgis.gost.ru/fundmetrology/cm/results/1-32467956</t>
  </si>
  <si>
    <t>2240</t>
  </si>
  <si>
    <t>https://fgis.gost.ru/fundmetrology/cm/results/1-32467957</t>
  </si>
  <si>
    <t>0808090519</t>
  </si>
  <si>
    <t>https://fgis.gost.ru/fundmetrology/cm/results/1-88830827</t>
  </si>
  <si>
    <t xml:space="preserve">7633
</t>
  </si>
  <si>
    <t>23.11.2020</t>
  </si>
  <si>
    <t>https://fgis.gost.ru/fundmetrology/cm/results/1-32467958</t>
  </si>
  <si>
    <t>6655</t>
  </si>
  <si>
    <t>https://fgis.gost.ru/fundmetrology/cm/results/1-32467959</t>
  </si>
  <si>
    <t>0808090825</t>
  </si>
  <si>
    <t>https://fgis.gost.ru/fundmetrology/cm/results/1-88830750</t>
  </si>
  <si>
    <t xml:space="preserve">7992
</t>
  </si>
  <si>
    <t>https://fgis.gost.ru/fundmetrology/cm/results/1-32467964</t>
  </si>
  <si>
    <t>7868</t>
  </si>
  <si>
    <t>https://fgis.gost.ru/fundmetrology/cm/results/1-32467965</t>
  </si>
  <si>
    <t>0808090054</t>
  </si>
  <si>
    <t>https://fgis.gost.ru/fundmetrology/cm/results/1-88830828</t>
  </si>
  <si>
    <t xml:space="preserve">6637
</t>
  </si>
  <si>
    <t>https://fgis.gost.ru/fundmetrology/cm/results/1-32467960</t>
  </si>
  <si>
    <t>6631</t>
  </si>
  <si>
    <t>https://fgis.gost.ru/fundmetrology/cm/results/1-32467961</t>
  </si>
  <si>
    <t>СШ2 РУ-6кВ яч 11 ВЛ-6 кВ Ф-5</t>
  </si>
  <si>
    <t>0808090492</t>
  </si>
  <si>
    <t>https://fgis.gost.ru/fundmetrology/cm/results/1-88830720</t>
  </si>
  <si>
    <t xml:space="preserve">00984
</t>
  </si>
  <si>
    <t>https://fgis.gost.ru/fundmetrology/cm/results/1-32467962</t>
  </si>
  <si>
    <t>00488</t>
  </si>
  <si>
    <t>https://fgis.gost.ru/fundmetrology/cm/results/1-32467963</t>
  </si>
  <si>
    <t xml:space="preserve"> РУ-6кВ АВР ТСН 6 кВ яч.04</t>
  </si>
  <si>
    <t>0807091439</t>
  </si>
  <si>
    <t>https://fgis.gost.ru/fundmetrology/cm/results/1-80242394</t>
  </si>
  <si>
    <t xml:space="preserve">49828
</t>
  </si>
  <si>
    <t>06.12.2018</t>
  </si>
  <si>
    <t xml:space="preserve">49812
</t>
  </si>
  <si>
    <t>49820</t>
  </si>
  <si>
    <t>ПС 35/6-10 кВ УППГ-1</t>
  </si>
  <si>
    <t>0808090033</t>
  </si>
  <si>
    <t>https://fgis.gost.ru/fundmetrology/cm/results/1-88830829</t>
  </si>
  <si>
    <t xml:space="preserve">5028
</t>
  </si>
  <si>
    <t>09.11.2020</t>
  </si>
  <si>
    <t>https://fgis.gost.ru/fundmetrology/cm/results/1-32467966</t>
  </si>
  <si>
    <t>2110</t>
  </si>
  <si>
    <t>25.07.2022</t>
  </si>
  <si>
    <t>5036</t>
  </si>
  <si>
    <t>https://fgis.gost.ru/fundmetrology/cm/results/1-32467967</t>
  </si>
  <si>
    <t>0808090584</t>
  </si>
  <si>
    <t>https://fgis.gost.ru/fundmetrology/cm/results/1-88830752</t>
  </si>
  <si>
    <t xml:space="preserve">9128
</t>
  </si>
  <si>
    <t>https://fgis.gost.ru/fundmetrology/cm/results/1-32467968</t>
  </si>
  <si>
    <t>9218</t>
  </si>
  <si>
    <t>https://fgis.gost.ru/fundmetrology/cm/results/1-32467969</t>
  </si>
  <si>
    <t>0808090499</t>
  </si>
  <si>
    <t>https://fgis.gost.ru/fundmetrology/cm/results/1-88830753</t>
  </si>
  <si>
    <t xml:space="preserve">9135
</t>
  </si>
  <si>
    <t>https://fgis.gost.ru/fundmetrology/cm/results/1-32467970</t>
  </si>
  <si>
    <t>9152</t>
  </si>
  <si>
    <t>https://fgis.gost.ru/fundmetrology/cm/results/1-32467971</t>
  </si>
  <si>
    <t>СШ1 РУ-6кВ ВЛ-6 кВ Ф-7</t>
  </si>
  <si>
    <t>0808090723</t>
  </si>
  <si>
    <t>https://fgis.gost.ru/fundmetrology/cm/results/1-88830831</t>
  </si>
  <si>
    <t xml:space="preserve">0093
</t>
  </si>
  <si>
    <t>https://fgis.gost.ru/fundmetrology/cm/results/1-32467972</t>
  </si>
  <si>
    <t>0092</t>
  </si>
  <si>
    <t>https://fgis.gost.ru/fundmetrology/cm/results/1-32467973</t>
  </si>
  <si>
    <t>0808090679</t>
  </si>
  <si>
    <t>https://fgis.gost.ru/fundmetrology/cm/results/1-88830754</t>
  </si>
  <si>
    <t xml:space="preserve">0389
</t>
  </si>
  <si>
    <t>https://fgis.gost.ru/fundmetrology/cm/results/1-32467974</t>
  </si>
  <si>
    <t>0363</t>
  </si>
  <si>
    <t>https://fgis.gost.ru/fundmetrology/cm/results/1-32467975</t>
  </si>
  <si>
    <t>0808090660</t>
  </si>
  <si>
    <t>https://fgis.gost.ru/fundmetrology/cm/results/1-88830756</t>
  </si>
  <si>
    <t xml:space="preserve">9371
</t>
  </si>
  <si>
    <t>07.11.2020</t>
  </si>
  <si>
    <t>https://fgis.gost.ru/fundmetrology/cm/results/1-32467976</t>
  </si>
  <si>
    <t>1465</t>
  </si>
  <si>
    <t>9362</t>
  </si>
  <si>
    <t>https://fgis.gost.ru/fundmetrology/cm/results/1-32467977</t>
  </si>
  <si>
    <t>0808090714</t>
  </si>
  <si>
    <t>https://fgis.gost.ru/fundmetrology/cm/results/1-88830832</t>
  </si>
  <si>
    <t xml:space="preserve">9210
</t>
  </si>
  <si>
    <t>https://fgis.gost.ru/fundmetrology/cm/results/1-32467978</t>
  </si>
  <si>
    <t>9204</t>
  </si>
  <si>
    <t>https://fgis.gost.ru/fundmetrology/cm/results/1-32467979</t>
  </si>
  <si>
    <t>0808090648</t>
  </si>
  <si>
    <t>https://fgis.gost.ru/fundmetrology/cm/results/1-88830757</t>
  </si>
  <si>
    <t xml:space="preserve">0090
</t>
  </si>
  <si>
    <t>https://fgis.gost.ru/fundmetrology/cm/results/1-32467980</t>
  </si>
  <si>
    <t>0081</t>
  </si>
  <si>
    <t>https://fgis.gost.ru/fundmetrology/cm/results/1-32467982</t>
  </si>
  <si>
    <t>0808090604</t>
  </si>
  <si>
    <t>https://fgis.gost.ru/fundmetrology/cm/results/1-88830723</t>
  </si>
  <si>
    <t xml:space="preserve">0656
</t>
  </si>
  <si>
    <t>https://fgis.gost.ru/fundmetrology/cm/results/1-32467983</t>
  </si>
  <si>
    <t>2544</t>
  </si>
  <si>
    <t>https://fgis.gost.ru/fundmetrology/cm/results/1-32467984</t>
  </si>
  <si>
    <t>0808090674</t>
  </si>
  <si>
    <t>https://fgis.gost.ru/fundmetrology/cm/results/1-88830758</t>
  </si>
  <si>
    <t xml:space="preserve">0351
</t>
  </si>
  <si>
    <t>https://fgis.gost.ru/fundmetrology/cm/results/1-32467985</t>
  </si>
  <si>
    <t>3507</t>
  </si>
  <si>
    <t>https://fgis.gost.ru/fundmetrology/cm/results/1-32467986</t>
  </si>
  <si>
    <t>0807091336</t>
  </si>
  <si>
    <t>https://fgis.gost.ru/fundmetrology/cm/results/1-80242390</t>
  </si>
  <si>
    <t xml:space="preserve">9054253
</t>
  </si>
  <si>
    <t>14.10.2019</t>
  </si>
  <si>
    <t xml:space="preserve">9054347
</t>
  </si>
  <si>
    <t>9054242</t>
  </si>
  <si>
    <t>0807091472</t>
  </si>
  <si>
    <t>https://fgis.gost.ru/fundmetrology/cm/results/1-88830519</t>
  </si>
  <si>
    <t xml:space="preserve">9054574
</t>
  </si>
  <si>
    <t xml:space="preserve">9054538
</t>
  </si>
  <si>
    <t>9054508</t>
  </si>
  <si>
    <t>СШ1 РУ-10кВ ВЛ-10 кВ Ф-1</t>
  </si>
  <si>
    <t>0808090611</t>
  </si>
  <si>
    <t>https://fgis.gost.ru/fundmetrology/cm/results/1-88830760</t>
  </si>
  <si>
    <t xml:space="preserve">0460
</t>
  </si>
  <si>
    <t>https://fgis.gost.ru/fundmetrology/cm/results/1-32467987</t>
  </si>
  <si>
    <t>НТМИ-10</t>
  </si>
  <si>
    <t>1192</t>
  </si>
  <si>
    <t>4957</t>
  </si>
  <si>
    <t>https://fgis.gost.ru/fundmetrology/cm/results/1-32467988</t>
  </si>
  <si>
    <t>ПС 35/6-10 кВ УППГ-2</t>
  </si>
  <si>
    <t>0808090609</t>
  </si>
  <si>
    <t>https://fgis.gost.ru/fundmetrology/cm/results/1-88830523</t>
  </si>
  <si>
    <t xml:space="preserve">4953
</t>
  </si>
  <si>
    <t>https://fgis.gost.ru/fundmetrology/cm/results/1-32467923</t>
  </si>
  <si>
    <t>208</t>
  </si>
  <si>
    <t>28.11.2024</t>
  </si>
  <si>
    <t>https://fgis.gost.ru/fundmetrology/cm/results/1-390885434</t>
  </si>
  <si>
    <t>4958</t>
  </si>
  <si>
    <t>https://fgis.gost.ru/fundmetrology/cm/results/1-32467924</t>
  </si>
  <si>
    <t>0808090690</t>
  </si>
  <si>
    <t>https://fgis.gost.ru/fundmetrology/cm/results/1-88830762</t>
  </si>
  <si>
    <t xml:space="preserve">6653
</t>
  </si>
  <si>
    <t>https://fgis.gost.ru/fundmetrology/cm/results/1-32467925</t>
  </si>
  <si>
    <t>_5145</t>
  </si>
  <si>
    <t>https://fgis.gost.ru/fundmetrology/cm/results/1-32467926</t>
  </si>
  <si>
    <t>0808090683</t>
  </si>
  <si>
    <t>https://fgis.gost.ru/fundmetrology/cm/results/1-88830525</t>
  </si>
  <si>
    <t xml:space="preserve">_8120
</t>
  </si>
  <si>
    <t>5500</t>
  </si>
  <si>
    <t>https://fgis.gost.ru/fundmetrology/cm/results/1-32467928</t>
  </si>
  <si>
    <t>0808090706</t>
  </si>
  <si>
    <t>https://fgis.gost.ru/fundmetrology/cm/results/1-88830763</t>
  </si>
  <si>
    <t xml:space="preserve">0552
</t>
  </si>
  <si>
    <t>https://fgis.gost.ru/fundmetrology/cm/results/1-32467929</t>
  </si>
  <si>
    <t>0830</t>
  </si>
  <si>
    <t>https://fgis.gost.ru/fundmetrology/cm/results/1-32467930</t>
  </si>
  <si>
    <t>СШ1 РУ-6кВ Резерв яч.6</t>
  </si>
  <si>
    <t>0808090557</t>
  </si>
  <si>
    <t>https://fgis.gost.ru/fundmetrology/cm/results/1-88830528</t>
  </si>
  <si>
    <t xml:space="preserve">5121
</t>
  </si>
  <si>
    <t>https://fgis.gost.ru/fundmetrology/cm/results/1-32467931</t>
  </si>
  <si>
    <t>6722</t>
  </si>
  <si>
    <t>https://fgis.gost.ru/fundmetrology/cm/results/1-32467933</t>
  </si>
  <si>
    <t>0808090628</t>
  </si>
  <si>
    <t>https://fgis.gost.ru/fundmetrology/cm/results/1-88830721</t>
  </si>
  <si>
    <t xml:space="preserve">5149
</t>
  </si>
  <si>
    <t>10.12.2020</t>
  </si>
  <si>
    <t>https://fgis.gost.ru/fundmetrology/cm/results/1-32467934</t>
  </si>
  <si>
    <t>3945</t>
  </si>
  <si>
    <t>5146</t>
  </si>
  <si>
    <t>https://fgis.gost.ru/fundmetrology/cm/results/1-32467935</t>
  </si>
  <si>
    <t>0808090564</t>
  </si>
  <si>
    <t>https://fgis.gost.ru/fundmetrology/cm/results/1-88830531</t>
  </si>
  <si>
    <t xml:space="preserve">2307
</t>
  </si>
  <si>
    <t>https://fgis.gost.ru/fundmetrology/cm/results/1-32467936</t>
  </si>
  <si>
    <t>9867</t>
  </si>
  <si>
    <t>https://fgis.gost.ru/fundmetrology/cm/results/1-32467937</t>
  </si>
  <si>
    <t>0808090695</t>
  </si>
  <si>
    <t>https://fgis.gost.ru/fundmetrology/cm/results/1-88830534</t>
  </si>
  <si>
    <t xml:space="preserve">5152
</t>
  </si>
  <si>
    <t>https://fgis.gost.ru/fundmetrology/cm/results/1-32467938</t>
  </si>
  <si>
    <t>6827</t>
  </si>
  <si>
    <t>https://fgis.gost.ru/fundmetrology/cm/results/1-32467939</t>
  </si>
  <si>
    <t>0808090592</t>
  </si>
  <si>
    <t>https://fgis.gost.ru/fundmetrology/cm/results/1-88830764</t>
  </si>
  <si>
    <t>Ю56932</t>
  </si>
  <si>
    <t>https://fgis.gost.ru/fundmetrology/cm/results/1-208032985</t>
  </si>
  <si>
    <t>0097</t>
  </si>
  <si>
    <t>https://fgis.gost.ru/fundmetrology/cm/results/1-32467940</t>
  </si>
  <si>
    <t>0808090727</t>
  </si>
  <si>
    <t>https://fgis.gost.ru/fundmetrology/cm/results/1-88830766</t>
  </si>
  <si>
    <t xml:space="preserve">8272
</t>
  </si>
  <si>
    <t>https://fgis.gost.ru/fundmetrology/cm/results/1-32467941</t>
  </si>
  <si>
    <t>6358</t>
  </si>
  <si>
    <t>https://fgis.gost.ru/fundmetrology/cm/results/1-32467942</t>
  </si>
  <si>
    <t>0807091326</t>
  </si>
  <si>
    <t>https://fgis.gost.ru/fundmetrology/cm/results/1-80242397</t>
  </si>
  <si>
    <t xml:space="preserve">9054543
</t>
  </si>
  <si>
    <t xml:space="preserve">9054540
</t>
  </si>
  <si>
    <t>9054507</t>
  </si>
  <si>
    <t>0807091383</t>
  </si>
  <si>
    <t>https://fgis.gost.ru/fundmetrology/cm/results/1-80242398</t>
  </si>
  <si>
    <t xml:space="preserve">9054246
</t>
  </si>
  <si>
    <t xml:space="preserve">9054533
</t>
  </si>
  <si>
    <t>9054245</t>
  </si>
  <si>
    <t>0808090693</t>
  </si>
  <si>
    <t>https://fgis.gost.ru/fundmetrology/cm/results/1-88830537</t>
  </si>
  <si>
    <t xml:space="preserve">9198
</t>
  </si>
  <si>
    <t>https://fgis.gost.ru/fundmetrology/cm/results/1-32467944</t>
  </si>
  <si>
    <t>1389</t>
  </si>
  <si>
    <t>09.12.2022</t>
  </si>
  <si>
    <t>5037</t>
  </si>
  <si>
    <t>https://fgis.gost.ru/fundmetrology/cm/results/1-32467945</t>
  </si>
  <si>
    <t>ПС 35/10 кВ "Заводская"</t>
  </si>
  <si>
    <t>СШ1 РУ-10кВ Ввод №1 яч.2</t>
  </si>
  <si>
    <t>0808090681</t>
  </si>
  <si>
    <t>https://fgis.gost.ru/fundmetrology/cm/results/1-88830767</t>
  </si>
  <si>
    <t xml:space="preserve">9301
</t>
  </si>
  <si>
    <t>НАМИ-10-95УХЛ</t>
  </si>
  <si>
    <t>437</t>
  </si>
  <si>
    <t>https://fgis.gost.ru/fundmetrology/cm/results/1-259165762</t>
  </si>
  <si>
    <t>Сч ЮФ  ГПЭ,
ТТ и ТН ЮФ ГПЭ</t>
  </si>
  <si>
    <t>25249</t>
  </si>
  <si>
    <t>СШ1 РУ-10кВ яч 6 ВЛ-10 кВ Ф-6</t>
  </si>
  <si>
    <t>0808090651</t>
  </si>
  <si>
    <t>https://fgis.gost.ru/fundmetrology/cm/results/1-88830768</t>
  </si>
  <si>
    <t xml:space="preserve">13198
</t>
  </si>
  <si>
    <t xml:space="preserve">9302
</t>
  </si>
  <si>
    <t>9303</t>
  </si>
  <si>
    <t>СШ1 РУ-10кВ яч 8 ВЛ-10 кВ Ф-8</t>
  </si>
  <si>
    <t>0805090162</t>
  </si>
  <si>
    <t>01.06.2021</t>
  </si>
  <si>
    <t>https://fgis.gost.ru/fundmetrology/cm/results/1-75261816</t>
  </si>
  <si>
    <t xml:space="preserve">9304
</t>
  </si>
  <si>
    <t xml:space="preserve">9305
</t>
  </si>
  <si>
    <t>9306</t>
  </si>
  <si>
    <t>СШ2 РУ-10кВ ВЛ-10 кВ Ф-16</t>
  </si>
  <si>
    <t>0808090602</t>
  </si>
  <si>
    <t>https://fgis.gost.ru/fundmetrology/cm/results/1-88830540</t>
  </si>
  <si>
    <t xml:space="preserve">13321
</t>
  </si>
  <si>
    <t>104</t>
  </si>
  <si>
    <t>https://fgis.gost.ru/fundmetrology/cm/results/1-259165763</t>
  </si>
  <si>
    <t xml:space="preserve">13103
</t>
  </si>
  <si>
    <t>13210</t>
  </si>
  <si>
    <t>СШ2 РУ-10кВ ВЛ-10 кВ Ф-18</t>
  </si>
  <si>
    <t>0805090023</t>
  </si>
  <si>
    <t>https://fgis.gost.ru/fundmetrology/cm/results/1-80242395</t>
  </si>
  <si>
    <t>Ю56895</t>
  </si>
  <si>
    <t>https://fgis.gost.ru/fundmetrology/cm/results/1-206812394</t>
  </si>
  <si>
    <t>18686</t>
  </si>
  <si>
    <t>Ю56896</t>
  </si>
  <si>
    <t>https://fgis.gost.ru/fundmetrology/cm/results/1-206812395</t>
  </si>
  <si>
    <t>СШ2 РУ-10кВ Ввод №2 яч.12</t>
  </si>
  <si>
    <t>0808090903</t>
  </si>
  <si>
    <t>https://fgis.gost.ru/fundmetrology/cm/results/1-88830770</t>
  </si>
  <si>
    <t xml:space="preserve">15175
</t>
  </si>
  <si>
    <t>https://fgis.gost.ru/fundmetrology/cm/results/2-134166735</t>
  </si>
  <si>
    <t>https://fgis.gost.ru/fundmetrology/cm/results/2-134166734</t>
  </si>
  <si>
    <t>СШ2 РУ-10кВ КЛ-10 кВ Резерв яч.17</t>
  </si>
  <si>
    <t>0805090158</t>
  </si>
  <si>
    <t>https://fgis.gost.ru/fundmetrology/cm/results/1-80242399</t>
  </si>
  <si>
    <t xml:space="preserve">13091
</t>
  </si>
  <si>
    <t xml:space="preserve">24494
</t>
  </si>
  <si>
    <t>СШ2 РУ-10кВ КЛ-10 кВ Ф-15</t>
  </si>
  <si>
    <t>0805090163</t>
  </si>
  <si>
    <t>28.06.2021</t>
  </si>
  <si>
    <t>https://fgis.gost.ru/fundmetrology/cm/results/1-80242403</t>
  </si>
  <si>
    <t xml:space="preserve">9384
</t>
  </si>
  <si>
    <t xml:space="preserve">9307
</t>
  </si>
  <si>
    <t>9300</t>
  </si>
  <si>
    <t>СШ2 РУ-10кВ яч 14 ВЛ-10 кВ Ф-14</t>
  </si>
  <si>
    <t>0805090087</t>
  </si>
  <si>
    <t>https://fgis.gost.ru/fundmetrology/cm/results/1-75261817</t>
  </si>
  <si>
    <t xml:space="preserve">9440
</t>
  </si>
  <si>
    <t xml:space="preserve">3679
</t>
  </si>
  <si>
    <t>9454</t>
  </si>
  <si>
    <t xml:space="preserve"> РУ-10кВ ТСН-1-10 яч.1</t>
  </si>
  <si>
    <t>0808090134</t>
  </si>
  <si>
    <t>https://fgis.gost.ru/fundmetrology/cm/results/1-88830544</t>
  </si>
  <si>
    <t xml:space="preserve">52284
</t>
  </si>
  <si>
    <t>19.07.2018</t>
  </si>
  <si>
    <t xml:space="preserve">52475
</t>
  </si>
  <si>
    <t>52477</t>
  </si>
  <si>
    <t xml:space="preserve"> РУ-10кВ ТСН-2-10 яч.11</t>
  </si>
  <si>
    <t>0807091500</t>
  </si>
  <si>
    <t>https://fgis.gost.ru/fundmetrology/cm/results/1-88830724</t>
  </si>
  <si>
    <t xml:space="preserve">49458
</t>
  </si>
  <si>
    <t xml:space="preserve">52208
</t>
  </si>
  <si>
    <t>52528</t>
  </si>
  <si>
    <t>ПС 110/35/6 кВ «Подземное хранилище»</t>
  </si>
  <si>
    <t>СШ1 РУ-6кВ ВЛ-6 кВ Резерв яч.5</t>
  </si>
  <si>
    <t>0808090601</t>
  </si>
  <si>
    <t>https://fgis.gost.ru/fundmetrology/cm/results/1-88830771</t>
  </si>
  <si>
    <t xml:space="preserve">8495
</t>
  </si>
  <si>
    <t>15.12.2020</t>
  </si>
  <si>
    <t>10080</t>
  </si>
  <si>
    <t>5143</t>
  </si>
  <si>
    <t>0808090586</t>
  </si>
  <si>
    <t>https://fgis.gost.ru/fundmetrology/cm/results/1-88830547</t>
  </si>
  <si>
    <t xml:space="preserve">0556
</t>
  </si>
  <si>
    <t>3949</t>
  </si>
  <si>
    <t>СШ1 РУ-6кВ ВЛ-6 кВ Резерв яч.12</t>
  </si>
  <si>
    <t>0808090608</t>
  </si>
  <si>
    <t>https://fgis.gost.ru/fundmetrology/cm/results/1-88830553</t>
  </si>
  <si>
    <t xml:space="preserve">5145
</t>
  </si>
  <si>
    <t>1285</t>
  </si>
  <si>
    <t>0808090676</t>
  </si>
  <si>
    <t>https://fgis.gost.ru/fundmetrology/cm/results/1-88830773</t>
  </si>
  <si>
    <t xml:space="preserve">02690
</t>
  </si>
  <si>
    <t>02532</t>
  </si>
  <si>
    <t>СШ1 РУ-6кВ ВЛ-6 кВ Ф-3</t>
  </si>
  <si>
    <t>0808090691</t>
  </si>
  <si>
    <t>https://fgis.gost.ru/fundmetrology/cm/results/1-88830727</t>
  </si>
  <si>
    <t xml:space="preserve">2285
</t>
  </si>
  <si>
    <t>16.12.2020</t>
  </si>
  <si>
    <t>5075</t>
  </si>
  <si>
    <t>0808090622</t>
  </si>
  <si>
    <t>https://fgis.gost.ru/fundmetrology/cm/results/1-88830774</t>
  </si>
  <si>
    <t xml:space="preserve">00476
</t>
  </si>
  <si>
    <t>267</t>
  </si>
  <si>
    <t>СШ1 РУ-6кВ ВЛ-6 кВ Ф-10</t>
  </si>
  <si>
    <t>0808090607</t>
  </si>
  <si>
    <t>https://fgis.gost.ru/fundmetrology/cm/results/1-88830776</t>
  </si>
  <si>
    <t xml:space="preserve">0080
</t>
  </si>
  <si>
    <t>0086</t>
  </si>
  <si>
    <t>СШ1 РУ-6кВ ВЛ-6 кВ Ф-11</t>
  </si>
  <si>
    <t>0808090728</t>
  </si>
  <si>
    <t>https://fgis.gost.ru/fundmetrology/cm/results/1-88830654</t>
  </si>
  <si>
    <t xml:space="preserve">00131
</t>
  </si>
  <si>
    <t>00134</t>
  </si>
  <si>
    <t>СШ1 РУ-6кВ Ввод №1 6 кВ яч.8</t>
  </si>
  <si>
    <t>0808090579</t>
  </si>
  <si>
    <t>https://fgis.gost.ru/fundmetrology/cm/results/1-88830728</t>
  </si>
  <si>
    <t xml:space="preserve">7632
</t>
  </si>
  <si>
    <t>https://fgis.gost.ru/fundmetrology/cm/results/1-437700663</t>
  </si>
  <si>
    <t>https://fgis.gost.ru/fundmetrology/cm/results/1-437700664</t>
  </si>
  <si>
    <t>СШ2 РУ-6кВ ВЛ-6 кВ Резерв  яч.15</t>
  </si>
  <si>
    <t>0807091841</t>
  </si>
  <si>
    <t>https://fgis.gost.ru/fundmetrology/cm/results/1-80242404</t>
  </si>
  <si>
    <t xml:space="preserve">5004
</t>
  </si>
  <si>
    <t>17.12.2020</t>
  </si>
  <si>
    <t>11156</t>
  </si>
  <si>
    <t>1489</t>
  </si>
  <si>
    <t>0808090860</t>
  </si>
  <si>
    <t>https://fgis.gost.ru/fundmetrology/cm/results/1-88830777</t>
  </si>
  <si>
    <t xml:space="preserve">5562
</t>
  </si>
  <si>
    <t>8493</t>
  </si>
  <si>
    <t>СШ2 РУ-6кВ ВЛ-6 кВ Ф-17</t>
  </si>
  <si>
    <t>0804113347</t>
  </si>
  <si>
    <t>https://fgis.gost.ru/fundmetrology/cm/results/1-234909720</t>
  </si>
  <si>
    <t xml:space="preserve">5223
</t>
  </si>
  <si>
    <t>5297</t>
  </si>
  <si>
    <t>СШ2 РУ-6кВ ВЛ-6 кВ Ф-20</t>
  </si>
  <si>
    <t>0808090642</t>
  </si>
  <si>
    <t>https://fgis.gost.ru/fundmetrology/cm/results/1-88830818</t>
  </si>
  <si>
    <t xml:space="preserve">00576
</t>
  </si>
  <si>
    <t>00677</t>
  </si>
  <si>
    <t>СШ2 РУ-6кВ ВЛ-6 кВ Ф-21</t>
  </si>
  <si>
    <t>0808090761</t>
  </si>
  <si>
    <t>https://fgis.gost.ru/fundmetrology/cm/results/1-88830730</t>
  </si>
  <si>
    <t xml:space="preserve">1524
</t>
  </si>
  <si>
    <t>18.12.2020</t>
  </si>
  <si>
    <t>5244</t>
  </si>
  <si>
    <t>СШ2 РУ-6кВ ВЛ-6 кВ Ф-23</t>
  </si>
  <si>
    <t>0808090847</t>
  </si>
  <si>
    <t>https://fgis.gost.ru/fundmetrology/cm/results/1-88830614</t>
  </si>
  <si>
    <t xml:space="preserve">9160
</t>
  </si>
  <si>
    <t>8119</t>
  </si>
  <si>
    <t>СШ2 РУ-6кВ Ввод №2 6 кВ яч.19</t>
  </si>
  <si>
    <t>0808090588</t>
  </si>
  <si>
    <t>https://fgis.gost.ru/fundmetrology/cm/results/1-88830617</t>
  </si>
  <si>
    <t xml:space="preserve">ТЛМ-10-2
</t>
  </si>
  <si>
    <t xml:space="preserve">5273
</t>
  </si>
  <si>
    <t>https://fgis.gost.ru/fundmetrology/cm/results/1-437700661</t>
  </si>
  <si>
    <t>ТЛМ-10-2</t>
  </si>
  <si>
    <t>https://fgis.gost.ru/fundmetrology/cm/results/1-437700662</t>
  </si>
  <si>
    <t>0807091346</t>
  </si>
  <si>
    <t>https://fgis.gost.ru/fundmetrology/cm/results/1-80242400</t>
  </si>
  <si>
    <t xml:space="preserve">9054251
</t>
  </si>
  <si>
    <t xml:space="preserve">9054541
</t>
  </si>
  <si>
    <t>9054548</t>
  </si>
  <si>
    <t>СШ1 РУ-35кВ ВЛ-35 кВ "ПХ-1"</t>
  </si>
  <si>
    <t>35 кВ</t>
  </si>
  <si>
    <t>0808090846</t>
  </si>
  <si>
    <t>https://fgis.gost.ru/fundmetrology/cm/results/1-88830655</t>
  </si>
  <si>
    <t xml:space="preserve">ТФЗМ-35
</t>
  </si>
  <si>
    <t xml:space="preserve">27183
</t>
  </si>
  <si>
    <t>https://fgis.gost.ru/fundmetrology/cm/results/1-179500483</t>
  </si>
  <si>
    <t xml:space="preserve">ЗНОМ-35
</t>
  </si>
  <si>
    <t>35000/100</t>
  </si>
  <si>
    <t xml:space="preserve">1261640
</t>
  </si>
  <si>
    <t>02.12.2022</t>
  </si>
  <si>
    <t xml:space="preserve">1307530
</t>
  </si>
  <si>
    <t>ТФЗМ-35</t>
  </si>
  <si>
    <t>https://fgis.gost.ru/fundmetrology/cm/results/1-179500484</t>
  </si>
  <si>
    <t>ЗНОМ-35</t>
  </si>
  <si>
    <t>1307451</t>
  </si>
  <si>
    <t>СШ1 РУ-35кВ ВЛ-35 кВ "ПХ-4"</t>
  </si>
  <si>
    <t>0808090909</t>
  </si>
  <si>
    <t>https://fgis.gost.ru/fundmetrology/cm/results/1-88830567</t>
  </si>
  <si>
    <t xml:space="preserve">24318
</t>
  </si>
  <si>
    <t>https://fgis.gost.ru/fundmetrology/cm/results/1-179500485</t>
  </si>
  <si>
    <t>https://fgis.gost.ru/fundmetrology/cm/results/1-179500486</t>
  </si>
  <si>
    <t>СШ1 РУ-35кВ Ввод №1 35 кВ</t>
  </si>
  <si>
    <t>0808090527</t>
  </si>
  <si>
    <t>https://fgis.gost.ru/fundmetrology/cm/results/1-88830731</t>
  </si>
  <si>
    <t xml:space="preserve">35399
</t>
  </si>
  <si>
    <t>35387</t>
  </si>
  <si>
    <t>15.03.2022</t>
  </si>
  <si>
    <t>СШ2 РУ-35кВ ВЛ-35 кВ "ПХ-2"</t>
  </si>
  <si>
    <t>0808090533</t>
  </si>
  <si>
    <t>https://fgis.gost.ru/fundmetrology/cm/results/1-88830657</t>
  </si>
  <si>
    <t xml:space="preserve">ТФЗМ 35Б-I
</t>
  </si>
  <si>
    <t xml:space="preserve">35390
</t>
  </si>
  <si>
    <t xml:space="preserve">ЗНОЛ-35
</t>
  </si>
  <si>
    <t xml:space="preserve">1833
</t>
  </si>
  <si>
    <t>12.11.2018</t>
  </si>
  <si>
    <t xml:space="preserve">1836
</t>
  </si>
  <si>
    <t>ТФЗМ 35Б-I</t>
  </si>
  <si>
    <t>https://fgis.gost.ru/fundmetrology/cm/results/1-160785505</t>
  </si>
  <si>
    <t>ЗНОЛ-35</t>
  </si>
  <si>
    <t>2066</t>
  </si>
  <si>
    <t>СШ2 РУ-35кВ ВЛ-35 кВ "ПХ-3"</t>
  </si>
  <si>
    <t>0808090576</t>
  </si>
  <si>
    <t>https://fgis.gost.ru/fundmetrology/cm/results/1-88830732</t>
  </si>
  <si>
    <t xml:space="preserve">23645
</t>
  </si>
  <si>
    <t>12.12.2022</t>
  </si>
  <si>
    <t>23641</t>
  </si>
  <si>
    <t>СШ2 РУ-35кВ Ввод №2 35 кВ</t>
  </si>
  <si>
    <t>0808090570</t>
  </si>
  <si>
    <t>https://fgis.gost.ru/fundmetrology/cm/results/1-88830623</t>
  </si>
  <si>
    <t xml:space="preserve">35400
</t>
  </si>
  <si>
    <t>35382</t>
  </si>
  <si>
    <t>ЦРП 10 кВ №1</t>
  </si>
  <si>
    <t>СШ1 ЦРП-10кВ ВЛ-10 кВ, Ф-1</t>
  </si>
  <si>
    <t>0808090599</t>
  </si>
  <si>
    <t>https://fgis.gost.ru/fundmetrology/cm/results/1-88830658</t>
  </si>
  <si>
    <t xml:space="preserve">620
</t>
  </si>
  <si>
    <t>215</t>
  </si>
  <si>
    <t>https://fgis.gost.ru/fundmetrology/cm/results/1-356791735</t>
  </si>
  <si>
    <t>621</t>
  </si>
  <si>
    <t>СШ1 ЦРП-10кВ ВЛ-10 кВ, Ф-2</t>
  </si>
  <si>
    <t>0808090638</t>
  </si>
  <si>
    <t>https://fgis.gost.ru/fundmetrology/cm/results/1-88830625</t>
  </si>
  <si>
    <t xml:space="preserve">4630
</t>
  </si>
  <si>
    <t>4751</t>
  </si>
  <si>
    <t>СШ1 ЦРП-10кВ ВЛ-10 кВ, Ф-3</t>
  </si>
  <si>
    <t>0808090653</t>
  </si>
  <si>
    <t>https://fgis.gost.ru/fundmetrology/cm/results/1-88830628</t>
  </si>
  <si>
    <t xml:space="preserve">1695
</t>
  </si>
  <si>
    <t>1697</t>
  </si>
  <si>
    <t>СШ1 ЦРП-10кВ ВЛ-10 кВ, Ф-5</t>
  </si>
  <si>
    <t>0808090620</t>
  </si>
  <si>
    <t>https://fgis.gost.ru/fundmetrology/cm/results/1-88830659</t>
  </si>
  <si>
    <t xml:space="preserve">2602
</t>
  </si>
  <si>
    <t>1095</t>
  </si>
  <si>
    <t>СШ1 ЦРП-10кВ Ввод яч.7</t>
  </si>
  <si>
    <t>0808090707</t>
  </si>
  <si>
    <t>https://fgis.gost.ru/fundmetrology/cm/results/1-88830630</t>
  </si>
  <si>
    <t xml:space="preserve">1731
</t>
  </si>
  <si>
    <t>1492</t>
  </si>
  <si>
    <t xml:space="preserve"> ЦРП-10кВ ТСН-1-10</t>
  </si>
  <si>
    <t>0808090169</t>
  </si>
  <si>
    <t>https://fgis.gost.ru/fundmetrology/cm/results/1-88830660</t>
  </si>
  <si>
    <t xml:space="preserve">50358
</t>
  </si>
  <si>
    <t xml:space="preserve">54550
</t>
  </si>
  <si>
    <t>54687</t>
  </si>
  <si>
    <t>ЦРП 10 кВ №2</t>
  </si>
  <si>
    <t>СШ1 ЦРП-10кВ ВЛ-10 кВ, Резерв яч.19</t>
  </si>
  <si>
    <t>0808090722</t>
  </si>
  <si>
    <t>https://fgis.gost.ru/fundmetrology/cm/results/1-88830662</t>
  </si>
  <si>
    <t xml:space="preserve">6294
</t>
  </si>
  <si>
    <t>216</t>
  </si>
  <si>
    <t>https://fgis.gost.ru/fundmetrology/cm/results/1-356791728</t>
  </si>
  <si>
    <t>6296</t>
  </si>
  <si>
    <t>СШ1 ЦРП-10кВ ВЛ-10 кВ, Ф-7</t>
  </si>
  <si>
    <t>0808090627</t>
  </si>
  <si>
    <t>https://fgis.gost.ru/fundmetrology/cm/results/1-88830632</t>
  </si>
  <si>
    <t xml:space="preserve">1727
</t>
  </si>
  <si>
    <t>https://fgis.gost.ru/fundmetrology/cm/results/1-32467876</t>
  </si>
  <si>
    <t>https://fgis.gost.ru/fundmetrology/cm/results/1-32467875</t>
  </si>
  <si>
    <t>СШ1 ЦРП-10кВ ВЛ-10 кВ, Ф-11</t>
  </si>
  <si>
    <t>0808090704</t>
  </si>
  <si>
    <t>https://fgis.gost.ru/fundmetrology/cm/results/1-88830663</t>
  </si>
  <si>
    <t xml:space="preserve">8408
</t>
  </si>
  <si>
    <t>4932</t>
  </si>
  <si>
    <t>СШ1 ЦРП-10кВ Ввод №1 яч.13</t>
  </si>
  <si>
    <t>0808090711</t>
  </si>
  <si>
    <t>https://fgis.gost.ru/fundmetrology/cm/results/1-88830636</t>
  </si>
  <si>
    <t xml:space="preserve">57496
</t>
  </si>
  <si>
    <t>34078</t>
  </si>
  <si>
    <t>СШ2 ЦРП-10кВ ВЛ-10 кВ, Ф-14</t>
  </si>
  <si>
    <t>0808090700</t>
  </si>
  <si>
    <t>https://fgis.gost.ru/fundmetrology/cm/results/1-88830666</t>
  </si>
  <si>
    <t xml:space="preserve">1738
</t>
  </si>
  <si>
    <t>205</t>
  </si>
  <si>
    <t>https://fgis.gost.ru/fundmetrology/cm/results/1-356791731</t>
  </si>
  <si>
    <t>1741</t>
  </si>
  <si>
    <t>02.12.2020</t>
  </si>
  <si>
    <t>СШ2 ЦРП-10кВ Ввод №2 яч.6</t>
  </si>
  <si>
    <t>0808090718</t>
  </si>
  <si>
    <t>https://fgis.gost.ru/fundmetrology/cm/results/1-88830667</t>
  </si>
  <si>
    <t xml:space="preserve">40272
</t>
  </si>
  <si>
    <t>40260</t>
  </si>
  <si>
    <t xml:space="preserve"> ЦРП-10кВ АВР ТСН 10 кВ</t>
  </si>
  <si>
    <t>0808090176</t>
  </si>
  <si>
    <t>https://fgis.gost.ru/fundmetrology/cm/results/1-88830638</t>
  </si>
  <si>
    <t xml:space="preserve">49905
</t>
  </si>
  <si>
    <t xml:space="preserve">50000
</t>
  </si>
  <si>
    <t>50057</t>
  </si>
  <si>
    <t>ЦРП 10 кВ №3</t>
  </si>
  <si>
    <t>СШ1 РУ-10кВ ВЛ-10 кВ Резерв яч.9</t>
  </si>
  <si>
    <t>0808090696</t>
  </si>
  <si>
    <t>https://fgis.gost.ru/fundmetrology/cm/results/1-88830668</t>
  </si>
  <si>
    <t>206</t>
  </si>
  <si>
    <t>https://fgis.gost.ru/fundmetrology/cm/results/1-356791732</t>
  </si>
  <si>
    <t>1694</t>
  </si>
  <si>
    <t>СШ1 РУ-10кВ ВЛ-10 кВ Ф-15</t>
  </si>
  <si>
    <t>0808090644</t>
  </si>
  <si>
    <t>https://fgis.gost.ru/fundmetrology/cm/results/1-88830725</t>
  </si>
  <si>
    <t xml:space="preserve">1490
</t>
  </si>
  <si>
    <t>1488</t>
  </si>
  <si>
    <t>СШ1 РУ-10кВ ВЛ-10 кВ Ф-21</t>
  </si>
  <si>
    <t>0808090421</t>
  </si>
  <si>
    <t>https://fgis.gost.ru/fundmetrology/cm/results/1-88830670</t>
  </si>
  <si>
    <t xml:space="preserve">1800
</t>
  </si>
  <si>
    <t>1799</t>
  </si>
  <si>
    <t>СШ1 РУ-10кВ Ввод №1 яч.13</t>
  </si>
  <si>
    <t>0807091025</t>
  </si>
  <si>
    <t>https://fgis.gost.ru/fundmetrology/cm/results/1-88830640</t>
  </si>
  <si>
    <t xml:space="preserve">1539
</t>
  </si>
  <si>
    <t>1542</t>
  </si>
  <si>
    <t>СШ1 РУ-10кВ КЛ-10 кВ Ф-19</t>
  </si>
  <si>
    <t>0808090833</t>
  </si>
  <si>
    <t>https://fgis.gost.ru/fundmetrology/cm/results/1-88830671</t>
  </si>
  <si>
    <t xml:space="preserve">1693
</t>
  </si>
  <si>
    <t>15.08.2022</t>
  </si>
  <si>
    <t>1696</t>
  </si>
  <si>
    <t>СШ2 РУ-10кВ АВР ТСН 10 кВ яч.16</t>
  </si>
  <si>
    <t>0807091290</t>
  </si>
  <si>
    <t>https://fgis.gost.ru/fundmetrology/cm/results/1-80242402</t>
  </si>
  <si>
    <t xml:space="preserve">50333
</t>
  </si>
  <si>
    <t xml:space="preserve">55322
</t>
  </si>
  <si>
    <t>52095</t>
  </si>
  <si>
    <t>СШ2 РУ-10кВ ВЛ-10 кВ Ф-4</t>
  </si>
  <si>
    <t>0808090724</t>
  </si>
  <si>
    <t>https://fgis.gost.ru/fundmetrology/cm/results/1-88830734</t>
  </si>
  <si>
    <t xml:space="preserve">1489
</t>
  </si>
  <si>
    <t>05.12.2022</t>
  </si>
  <si>
    <t>207</t>
  </si>
  <si>
    <t>https://fgis.gost.ru/fundmetrology/cm/results/1-356791733</t>
  </si>
  <si>
    <t>1491</t>
  </si>
  <si>
    <t>СШ2 РУ-10кВ ВЛ-10 кВ Ф-6</t>
  </si>
  <si>
    <t>0808090680</t>
  </si>
  <si>
    <t>https://fgis.gost.ru/fundmetrology/cm/results/1-88830739</t>
  </si>
  <si>
    <t xml:space="preserve">49261
</t>
  </si>
  <si>
    <t>48958</t>
  </si>
  <si>
    <t>СШ2 РУ-10кВ ВЛ-10 кВ Ф-22</t>
  </si>
  <si>
    <t>0807090969</t>
  </si>
  <si>
    <t>https://fgis.gost.ru/fundmetrology/cm/results/1-88830741</t>
  </si>
  <si>
    <t xml:space="preserve">1593
</t>
  </si>
  <si>
    <t>2326</t>
  </si>
  <si>
    <t>0808090675</t>
  </si>
  <si>
    <t>https://fgis.gost.ru/fundmetrology/cm/results/1-88830641</t>
  </si>
  <si>
    <t xml:space="preserve">47611
</t>
  </si>
  <si>
    <t>326</t>
  </si>
  <si>
    <t>РП 10 кВ №4</t>
  </si>
  <si>
    <t>СШ1 РУ-10кВ ВЛ-10 кВ Ф-4</t>
  </si>
  <si>
    <t>0808090597</t>
  </si>
  <si>
    <t>https://fgis.gost.ru/fundmetrology/cm/results/1-88830742</t>
  </si>
  <si>
    <t xml:space="preserve">8781
</t>
  </si>
  <si>
    <t>https://fgis.gost.ru/fundmetrology/cm/results/1-179500491</t>
  </si>
  <si>
    <t>671</t>
  </si>
  <si>
    <t>https://fgis.gost.ru/fundmetrology/cm/results/1-356791736</t>
  </si>
  <si>
    <t>https://fgis.gost.ru/fundmetrology/cm/results/1-179500490</t>
  </si>
  <si>
    <t>СШ1 РУ-10кВ ВЛ-10 кВ Ф-18 "Заводская" яч.8</t>
  </si>
  <si>
    <t>0808090589</t>
  </si>
  <si>
    <t>https://fgis.gost.ru/fundmetrology/cm/results/1-88830643</t>
  </si>
  <si>
    <t xml:space="preserve">115
</t>
  </si>
  <si>
    <t>https://fgis.gost.ru/fundmetrology/cm/results/1-169638069</t>
  </si>
  <si>
    <t>https://fgis.gost.ru/fundmetrology/cm/results/1-169638051</t>
  </si>
  <si>
    <t>СШ1 РУ-10кВ Ввод №1 яч.11</t>
  </si>
  <si>
    <t>0808090688</t>
  </si>
  <si>
    <t>https://fgis.gost.ru/fundmetrology/cm/results/1-88830743</t>
  </si>
  <si>
    <t xml:space="preserve">19809
</t>
  </si>
  <si>
    <t>https://fgis.gost.ru/fundmetrology/cm/results/1-169638055</t>
  </si>
  <si>
    <t>https://fgis.gost.ru/fundmetrology/cm/results/1-169638054</t>
  </si>
  <si>
    <t>СШ1 РУ-10кВ КЛ-10 кВ Ф-3</t>
  </si>
  <si>
    <t>0805090461</t>
  </si>
  <si>
    <t>16.07.2021</t>
  </si>
  <si>
    <t>https://fgis.gost.ru/fundmetrology/cm/results/1-75261818</t>
  </si>
  <si>
    <t xml:space="preserve">7928
</t>
  </si>
  <si>
    <t>https://fgis.gost.ru/fundmetrology/cm/results/1-179500489</t>
  </si>
  <si>
    <t>https://fgis.gost.ru/fundmetrology/cm/results/1-179500488</t>
  </si>
  <si>
    <t>СШ2 РУ-10кВ ВЛ-10 кВ Ф-19</t>
  </si>
  <si>
    <t>0808090634</t>
  </si>
  <si>
    <t>https://fgis.gost.ru/fundmetrology/cm/results/1-88830745</t>
  </si>
  <si>
    <t xml:space="preserve">1073
</t>
  </si>
  <si>
    <t>https://fgis.gost.ru/fundmetrology/cm/results/1-179500487</t>
  </si>
  <si>
    <t>НТМИ-10-66</t>
  </si>
  <si>
    <t>412</t>
  </si>
  <si>
    <t>https://fgis.gost.ru/fundmetrology/cm/results/1-356791783</t>
  </si>
  <si>
    <t>https://fgis.gost.ru/fundmetrology/cm/results/1-179500479</t>
  </si>
  <si>
    <t>СШ2 РУ-10кВ ВЛ-10 кВ Ф-21</t>
  </si>
  <si>
    <t>0808090563</t>
  </si>
  <si>
    <t>https://fgis.gost.ru/fundmetrology/cm/results/1-88830644</t>
  </si>
  <si>
    <t xml:space="preserve">2247
</t>
  </si>
  <si>
    <t>https://fgis.gost.ru/fundmetrology/cm/results/1-169638046</t>
  </si>
  <si>
    <t>https://fgis.gost.ru/fundmetrology/cm/results/1-169638052</t>
  </si>
  <si>
    <t>0808090697</t>
  </si>
  <si>
    <t>https://fgis.gost.ru/fundmetrology/cm/results/1-88830746</t>
  </si>
  <si>
    <t xml:space="preserve">10920
</t>
  </si>
  <si>
    <t>https://fgis.gost.ru/fundmetrology/cm/results/1-179500493</t>
  </si>
  <si>
    <t>https://fgis.gost.ru/fundmetrology/cm/results/1-179500478</t>
  </si>
  <si>
    <t>СШ2 РУ-10кВ Ввод №2 яч.14</t>
  </si>
  <si>
    <t>0808090067</t>
  </si>
  <si>
    <t>https://fgis.gost.ru/fundmetrology/cm/results/1-88830645</t>
  </si>
  <si>
    <t xml:space="preserve">ТПОЛ-10
</t>
  </si>
  <si>
    <t xml:space="preserve">21041
</t>
  </si>
  <si>
    <t>ТПОЛ-10</t>
  </si>
  <si>
    <t>19861</t>
  </si>
  <si>
    <t>СШ2 РУ-10кВ КЛ-10 кВ Ф-20</t>
  </si>
  <si>
    <t>0808090581</t>
  </si>
  <si>
    <t>https://fgis.gost.ru/fundmetrology/cm/results/1-88830646</t>
  </si>
  <si>
    <t>https://fgis.gost.ru/fundmetrology/cm/results/1-179500492</t>
  </si>
  <si>
    <t>https://fgis.gost.ru/fundmetrology/cm/results/1-179500494</t>
  </si>
  <si>
    <t xml:space="preserve"> РУ-10кВ ТСН-1-10 яч.10</t>
  </si>
  <si>
    <t>0808090717</t>
  </si>
  <si>
    <t>https://fgis.gost.ru/fundmetrology/cm/results/1-88830735</t>
  </si>
  <si>
    <t xml:space="preserve">3467
</t>
  </si>
  <si>
    <t>https://fgis.gost.ru/fundmetrology/cm/results/1-179500495</t>
  </si>
  <si>
    <t>https://fgis.gost.ru/fundmetrology/cm/results/1-179500496</t>
  </si>
  <si>
    <t xml:space="preserve"> РУ-10кВ ТСН-2-10 яч.15</t>
  </si>
  <si>
    <t>0808090791</t>
  </si>
  <si>
    <t>https://fgis.gost.ru/fundmetrology/cm/results/1-88830747</t>
  </si>
  <si>
    <t xml:space="preserve">1793
</t>
  </si>
  <si>
    <t>https://fgis.gost.ru/fundmetrology/cm/results/1-179500481</t>
  </si>
  <si>
    <t>https://fgis.gost.ru/fundmetrology/cm/results/1-179500482</t>
  </si>
  <si>
    <t>ЦРП 10 кВ №5</t>
  </si>
  <si>
    <t>СШ1 РУ-10кВ ВЛ-10 кВ Ф-1 яч. №1</t>
  </si>
  <si>
    <t>0808090875</t>
  </si>
  <si>
    <t>https://fgis.gost.ru/fundmetrology/cm/results/1-88830648</t>
  </si>
  <si>
    <t xml:space="preserve">1692
</t>
  </si>
  <si>
    <t>https://fgis.gost.ru/fundmetrology/cm/results/1-356791782</t>
  </si>
  <si>
    <t>1070</t>
  </si>
  <si>
    <t>СШ1 РУ-10кВ Ввод №1 яч.4</t>
  </si>
  <si>
    <t>0808090629</t>
  </si>
  <si>
    <t>https://fgis.gost.ru/fundmetrology/cm/results/1-88830649</t>
  </si>
  <si>
    <t xml:space="preserve">14734
</t>
  </si>
  <si>
    <t>14690</t>
  </si>
  <si>
    <t>СШ2 РУ-10кВ ВЛ-10 кВ Ф-11 яч. №11</t>
  </si>
  <si>
    <t>0808090553</t>
  </si>
  <si>
    <t>https://fgis.gost.ru/fundmetrology/cm/results/1-88830651</t>
  </si>
  <si>
    <t xml:space="preserve">ТКС-12
</t>
  </si>
  <si>
    <t xml:space="preserve">00707
</t>
  </si>
  <si>
    <t>НАМИТ-10</t>
  </si>
  <si>
    <t>2812</t>
  </si>
  <si>
    <t>https://fgis.gost.ru/fundmetrology/cm/results/1-356791729</t>
  </si>
  <si>
    <t>ТКС-12</t>
  </si>
  <si>
    <t>00702</t>
  </si>
  <si>
    <t>СШ2 РУ-10кВ Ввод №2 яч.9</t>
  </si>
  <si>
    <t>0808090689</t>
  </si>
  <si>
    <t>https://fgis.gost.ru/fundmetrology/cm/results/1-88830737</t>
  </si>
  <si>
    <t>б/н</t>
  </si>
  <si>
    <t>25.06.2009</t>
  </si>
  <si>
    <t>СШ2 РУ-10кВ ТСН-1-10 яч.10</t>
  </si>
  <si>
    <t>0807091612</t>
  </si>
  <si>
    <t>https://fgis.gost.ru/fundmetrology/cm/results/1-88830749</t>
  </si>
  <si>
    <t xml:space="preserve">50488
</t>
  </si>
  <si>
    <t xml:space="preserve">50473
</t>
  </si>
  <si>
    <t>50446</t>
  </si>
  <si>
    <t>ЦРП 10 кВ №6</t>
  </si>
  <si>
    <t>СШ1 РУ-10кВ ВЛ-10 кВ Ф-5 яч. №5</t>
  </si>
  <si>
    <t>0808090694</t>
  </si>
  <si>
    <t>https://fgis.gost.ru/fundmetrology/cm/results/1-88830652</t>
  </si>
  <si>
    <t xml:space="preserve">ТЛК-СТ-10-ТЛМ1(1)УЗ
</t>
  </si>
  <si>
    <t xml:space="preserve">0668180000003
</t>
  </si>
  <si>
    <t>12.03.2018</t>
  </si>
  <si>
    <t>3035</t>
  </si>
  <si>
    <t>https://fgis.gost.ru/fundmetrology/cm/results/1-259165761</t>
  </si>
  <si>
    <t>ТЛК-СТ-10-ТЛМ1(1)УЗ</t>
  </si>
  <si>
    <t>0668180000001</t>
  </si>
  <si>
    <t>СШ1 РУ-10кВ Ввод №1 яч.3</t>
  </si>
  <si>
    <t>0808090560</t>
  </si>
  <si>
    <t>https://fgis.gost.ru/fundmetrology/cm/results/1-88830738</t>
  </si>
  <si>
    <t xml:space="preserve">233
</t>
  </si>
  <si>
    <t>4950</t>
  </si>
  <si>
    <t>СШ2 РУ-10кВ ВЛ-10 кВ Резерв яч.4</t>
  </si>
  <si>
    <t>0805090232</t>
  </si>
  <si>
    <t>https://fgis.gost.ru/fundmetrology/cm/results/1-80242401</t>
  </si>
  <si>
    <t xml:space="preserve">59749
</t>
  </si>
  <si>
    <t>672</t>
  </si>
  <si>
    <t>https://fgis.gost.ru/fundmetrology/cm/results/1-288002619</t>
  </si>
  <si>
    <t>60218</t>
  </si>
  <si>
    <t>СШ2 РУ-10кВ ВЛ-10 кВ Ф-10 яч.10</t>
  </si>
  <si>
    <t>0808090639</t>
  </si>
  <si>
    <t>https://fgis.gost.ru/fundmetrology/cm/results/1-88830609</t>
  </si>
  <si>
    <t xml:space="preserve">0668180000002
</t>
  </si>
  <si>
    <t>0668180000004</t>
  </si>
  <si>
    <t>СШ2 РУ-10кВ Ввод №2 яч.2</t>
  </si>
  <si>
    <t>0808090686</t>
  </si>
  <si>
    <t>https://fgis.gost.ru/fundmetrology/cm/results/1-88830653</t>
  </si>
  <si>
    <t xml:space="preserve">1126
</t>
  </si>
  <si>
    <t>4933</t>
  </si>
  <si>
    <t xml:space="preserve"> РУ-10кВ АВР ТСН 10 кВ яч.16</t>
  </si>
  <si>
    <t>0808090148</t>
  </si>
  <si>
    <t>https://fgis.gost.ru/fundmetrology/cm/results/1-88830612</t>
  </si>
  <si>
    <t xml:space="preserve">45253
</t>
  </si>
  <si>
    <t xml:space="preserve">45279
</t>
  </si>
  <si>
    <t>52252</t>
  </si>
  <si>
    <t>Правила заполнения:</t>
  </si>
  <si>
    <t>1.</t>
  </si>
  <si>
    <t>Столбец 5 - указывается полное наименование присоединений согласно описания типа АИИС КУЭ. Для точек измерений, не входящих в состав описания типа АИИС КУЭ указывается согласно правил присвоения наименований точкам поставки (приложение 1.1), например, ПС 220 кВ Давыдовская,  ЗРУ-10 кВ КЦ Уренгой-Центр-1 КС Давыдовская, 1 СШ 10 кВ, яч.5</t>
  </si>
  <si>
    <t>2.</t>
  </si>
  <si>
    <t xml:space="preserve">Столбец 7 - указывается признак учета: </t>
  </si>
  <si>
    <t>К – коммерческий учет;</t>
  </si>
  <si>
    <t xml:space="preserve">Т – технический учет; </t>
  </si>
  <si>
    <t xml:space="preserve">К/ОТ – коммерческий учет, измерительный канал входит в состав описания типа АИИС КУЭ; </t>
  </si>
  <si>
    <t xml:space="preserve">Т/ОТ – технический учет, измерительный канал входит в состав описания типа АИИС КУЭ; </t>
  </si>
  <si>
    <t xml:space="preserve">ОРЭМ – измерительный канал входит в состав описания типа АИИС КУЭ и участвует в расчетных операциях на ОРЭМ; 
</t>
  </si>
  <si>
    <t>К (Т)/уОРЭМ– измерительный канал принадлежит к коммерческому или техническому учету и планируется к выводу на ОРЭМ (условный ОРЭМ).</t>
  </si>
  <si>
    <t>3.</t>
  </si>
  <si>
    <t>Столбец 11-13, 19-21, 27-29 - указыватся даты поверки в формате ДД.ММ.ГГГГ.</t>
  </si>
  <si>
    <t xml:space="preserve">Сведения о количестве средств измерений </t>
  </si>
  <si>
    <t>(АИИС КУЭ, УСПД, УССВ)</t>
  </si>
  <si>
    <t xml:space="preserve"> в составе основных средств, эксплуатируемых</t>
  </si>
  <si>
    <t>Устройство сбора и передачи данных</t>
  </si>
  <si>
    <t>Устройство синхронизации системного времени
(при наличии средства измерений утв. типа)</t>
  </si>
  <si>
    <t>АИИС КУЭ</t>
  </si>
  <si>
    <t>Номер в ФБР</t>
  </si>
  <si>
    <t>Номер в гос. реестре</t>
  </si>
  <si>
    <t>Примечание</t>
  </si>
  <si>
    <t>Сведения о системе</t>
  </si>
  <si>
    <t>Тип RTU</t>
  </si>
  <si>
    <t>Тип УССВ</t>
  </si>
  <si>
    <t>Кол-во ИК</t>
  </si>
  <si>
    <t>Система автоматизированная информационно-измерительная коммерческого учета электроэнергии ООО «Газпром энерго» Астраханский газоперерабатывающий завод</t>
  </si>
  <si>
    <t>RTU-325</t>
  </si>
  <si>
    <t>001068</t>
  </si>
  <si>
    <t>2005</t>
  </si>
  <si>
    <t>25.12.2020</t>
  </si>
  <si>
    <t>24.12.2026</t>
  </si>
  <si>
    <t>35HVS</t>
  </si>
  <si>
    <t>000468</t>
  </si>
  <si>
    <t xml:space="preserve">  -</t>
  </si>
  <si>
    <t xml:space="preserve"> -</t>
  </si>
  <si>
    <t>88758-23</t>
  </si>
  <si>
    <t>ФР.1.34.2009.06408</t>
  </si>
  <si>
    <t>41357-09</t>
  </si>
  <si>
    <t>001083</t>
  </si>
  <si>
    <t>04.12.2017</t>
  </si>
  <si>
    <t>03.12.2023</t>
  </si>
  <si>
    <t>ГПП-3</t>
  </si>
  <si>
    <t>005664</t>
  </si>
  <si>
    <t>2010</t>
  </si>
  <si>
    <t>03.11.2020</t>
  </si>
  <si>
    <t>02.11.2026</t>
  </si>
  <si>
    <t>16HVS</t>
  </si>
  <si>
    <t>(вычислители, расходомеры, датчики давления, датчики температуры)</t>
  </si>
  <si>
    <t xml:space="preserve">Инженерно-техническим центром ООО "Газпром энерго" </t>
  </si>
  <si>
    <t>Наименование узла учета</t>
  </si>
  <si>
    <t>Наличие паспорта на узел учета</t>
  </si>
  <si>
    <t>Средство измерения</t>
  </si>
  <si>
    <t xml:space="preserve">(Фланец/ Сэндвич </t>
  </si>
  <si>
    <t>Тип, длина чувствительного элемента датчика температуры/диапазон измерения датчика давления</t>
  </si>
  <si>
    <t xml:space="preserve">Тип </t>
  </si>
  <si>
    <t>Диаметр Ду, мм</t>
  </si>
  <si>
    <t>ВОС-2</t>
  </si>
  <si>
    <t>ВОС-2 НС№1 (правая нитка)</t>
  </si>
  <si>
    <t>ЭРСВ-310</t>
  </si>
  <si>
    <t>ВОС-2 НС№2 (левая нитка)</t>
  </si>
  <si>
    <t>ВОС-2 питьевая вода НС№1 (правая нитка)</t>
  </si>
  <si>
    <t xml:space="preserve"> +</t>
  </si>
  <si>
    <t>УРСВ510Ц</t>
  </si>
  <si>
    <t>ИУ</t>
  </si>
  <si>
    <t>ВОС-2 питьевая вода НС№1 (левая нитка)</t>
  </si>
  <si>
    <t>ИУ2715</t>
  </si>
  <si>
    <t>ВОС-2 питьевая вода НС№2 (правая нитка)</t>
  </si>
  <si>
    <t>УРСВ-520Ц</t>
  </si>
  <si>
    <t>ИУ14111</t>
  </si>
  <si>
    <t xml:space="preserve"> 07.12.2021</t>
  </si>
  <si>
    <t xml:space="preserve"> 07.12.2025</t>
  </si>
  <si>
    <t>ВОС-2 питьевая вода НС№2 (левая нитка)</t>
  </si>
  <si>
    <t>УРСВ-520ц</t>
  </si>
  <si>
    <t>ИУ14153</t>
  </si>
  <si>
    <t xml:space="preserve"> 16.11.2021</t>
  </si>
  <si>
    <t xml:space="preserve"> 16.11.2026</t>
  </si>
  <si>
    <t>ВОС-2 микрофильтрованная вода НС№1 (правая нитка)</t>
  </si>
  <si>
    <t>УРСВ-522П</t>
  </si>
  <si>
    <t xml:space="preserve">ИУ-042 </t>
  </si>
  <si>
    <t>ВОС-2 микрофильтрованная вода НС№1 (левая нитка)</t>
  </si>
  <si>
    <t>ВОС-2 микрофильтрованная вода НС№2 (правая нитка)</t>
  </si>
  <si>
    <t>УРСВ-530Ц</t>
  </si>
  <si>
    <t>ВОС-2 микрофильтрованная вода НС№2 (левая нитка)</t>
  </si>
  <si>
    <t xml:space="preserve"> 22.09.2020</t>
  </si>
  <si>
    <t xml:space="preserve"> 22.09.2025</t>
  </si>
  <si>
    <t>КОС-2</t>
  </si>
  <si>
    <t>КОС-2 ПС АГПЗ-1 (третья нитка)</t>
  </si>
  <si>
    <t>УРСВ-010М</t>
  </si>
  <si>
    <t>Измерительный участок 
 ИУ-011 Ду500</t>
  </si>
  <si>
    <t>ИУ2732</t>
  </si>
  <si>
    <t>КОС-2 ПС АГПЗ-1 (левая нитка)</t>
  </si>
  <si>
    <t>УРСВ-510П</t>
  </si>
  <si>
    <t>ИУ-011</t>
  </si>
  <si>
    <t>КОС-2 ПС АГПЗ-1 (правая нитка)</t>
  </si>
  <si>
    <t>УРСВ-510</t>
  </si>
  <si>
    <t xml:space="preserve"> 01.09.2023</t>
  </si>
  <si>
    <t xml:space="preserve"> 01.09.2027</t>
  </si>
  <si>
    <t>040327</t>
  </si>
  <si>
    <t>КОС-2 ПС АГПЗ-2 (левая нитка)</t>
  </si>
  <si>
    <t xml:space="preserve"> 12.12.2022</t>
  </si>
  <si>
    <t xml:space="preserve"> 12.12.2026</t>
  </si>
  <si>
    <t>ИУ-012</t>
  </si>
  <si>
    <t xml:space="preserve"> 20.07.2023</t>
  </si>
  <si>
    <t xml:space="preserve"> 20.07.2027</t>
  </si>
  <si>
    <t>КОС-2 ПС АГПЗ-2 (правая нитка)</t>
  </si>
  <si>
    <t>КОС-2 с КОС-1 (правая нитка)</t>
  </si>
  <si>
    <t>УРСВ-540Ц</t>
  </si>
  <si>
    <t>1701516 (2 канал)</t>
  </si>
  <si>
    <t xml:space="preserve"> 26.10.2023</t>
  </si>
  <si>
    <t xml:space="preserve"> 26.10.2027</t>
  </si>
  <si>
    <t>КОС-2 ПДС АГПЗ-1 (левая нитка)</t>
  </si>
  <si>
    <t>Взлет ТЭР</t>
  </si>
  <si>
    <t>ИВК-ТЭР</t>
  </si>
  <si>
    <t>КОС-2 ПДС АГПЗ-1 (правая нитка)</t>
  </si>
  <si>
    <t>КОС-2 ПДС АГПЗ-2 (левая нитка)</t>
  </si>
  <si>
    <t>ИУ308521</t>
  </si>
  <si>
    <t>КОС-2 ПДС АГПЗ-2 (правая нитка)</t>
  </si>
  <si>
    <t>КОС-2 Бытовые стоки АГПЗ левая нитка</t>
  </si>
  <si>
    <t>1701516 (3 канал)</t>
  </si>
  <si>
    <t xml:space="preserve"> 25.10.2023</t>
  </si>
  <si>
    <t xml:space="preserve"> 25.10.2027</t>
  </si>
  <si>
    <t>КОС-2 Бытовые стоки АГПЗ правая нитка</t>
  </si>
  <si>
    <t>1701516 (4 канал)</t>
  </si>
  <si>
    <t xml:space="preserve"> </t>
  </si>
  <si>
    <t xml:space="preserve"> 24.10.2023</t>
  </si>
  <si>
    <t xml:space="preserve"> 24.10.2027</t>
  </si>
  <si>
    <t>Пусковая котельная</t>
  </si>
  <si>
    <t>РФВ на водоблок (1 нитка)</t>
  </si>
  <si>
    <t xml:space="preserve"> ПРОФИ-322 БВИ № 800740</t>
  </si>
  <si>
    <t xml:space="preserve"> 06.02.2023</t>
  </si>
  <si>
    <t xml:space="preserve"> 06.02.2027</t>
  </si>
  <si>
    <t>РФВ на водоблок (2 нитка)</t>
  </si>
  <si>
    <t xml:space="preserve"> ПРОФИ-322 БВИ № 800528</t>
  </si>
  <si>
    <t>Узел учета ГВС</t>
  </si>
  <si>
    <t>Тепловычислитель Взлет ТСРВ-024М</t>
  </si>
  <si>
    <t>Датчик давления "Коммуналец" СДВ-И-2,5-1,6-1,6МПа-М-4-20мА</t>
  </si>
  <si>
    <t>14854</t>
  </si>
  <si>
    <t>Термометр сопротивления ВЗЛЕТ ТПС</t>
  </si>
  <si>
    <t>Датчик давления "Коммуналец" СДВ-И-2,5-1,6-1,0МПа-М-4-20мА</t>
  </si>
  <si>
    <t>107161</t>
  </si>
  <si>
    <t>912522</t>
  </si>
  <si>
    <t>Расходомер УРСВ-510</t>
  </si>
  <si>
    <t>107228</t>
  </si>
  <si>
    <t>Измерительный участок
ИУ-011</t>
  </si>
  <si>
    <t>Узел учета ТЭГВ на отопление</t>
  </si>
  <si>
    <t>Тепловычислитель Взлет ТСРВ-024</t>
  </si>
  <si>
    <t>901014</t>
  </si>
  <si>
    <t>Расходомер УРСВ-542П</t>
  </si>
  <si>
    <t>Измерительный участок ИУ-042</t>
  </si>
  <si>
    <t xml:space="preserve"> 29.06.2023</t>
  </si>
  <si>
    <t xml:space="preserve"> 29.06.2025</t>
  </si>
  <si>
    <t>Термопреобразователь ВЗЛЕТ ТПС 223мм</t>
  </si>
  <si>
    <t>909131/1</t>
  </si>
  <si>
    <t>909146/2</t>
  </si>
  <si>
    <t>Расходомер УРСВ-510П</t>
  </si>
  <si>
    <t>Измерительный участок 
ИУ-042</t>
  </si>
  <si>
    <t>909136/1</t>
  </si>
  <si>
    <t>909142/1</t>
  </si>
  <si>
    <t>909136/2</t>
  </si>
  <si>
    <t>РП 39 кгс/см2 на АГПЗ нитка №1</t>
  </si>
  <si>
    <t>ДКС-10 D20=229,4мм изм. участок №4261</t>
  </si>
  <si>
    <t>Контроллер 
FloBoss 103</t>
  </si>
  <si>
    <t>Датчик давления 
Rosemount 3051</t>
  </si>
  <si>
    <t>Термопреобразователь сопротивления Элемер ТС-1088/1</t>
  </si>
  <si>
    <t>РП 39 кгс/см2 на АГПЗ нитка №2</t>
  </si>
  <si>
    <t>Диафрагма ДКС-400
d20=230,38 мм
 изм. участок №4112</t>
  </si>
  <si>
    <t xml:space="preserve"> 28.06.2023</t>
  </si>
  <si>
    <t xml:space="preserve"> 28.06.2024</t>
  </si>
  <si>
    <t xml:space="preserve"> 27.07.2022</t>
  </si>
  <si>
    <t xml:space="preserve"> 27.07.2025</t>
  </si>
  <si>
    <t>Термопреобразователь сопротивления Элемер ТС-1088 В</t>
  </si>
  <si>
    <t>РП 6 кгс/см2 на АГПЗ нитка №1</t>
  </si>
  <si>
    <t xml:space="preserve"> 22.12.2022</t>
  </si>
  <si>
    <t xml:space="preserve"> 22.12.2024</t>
  </si>
  <si>
    <t>Термопреобразователь ТС-1088В/1</t>
  </si>
  <si>
    <t>РП 6 кгс/см2 на АГПЗ нитка №2</t>
  </si>
  <si>
    <t>Узел учета ХОВ на ГПЗ (нитка 1)</t>
  </si>
  <si>
    <t>Расходомер ПРОФИ-322 Ду100 БВИ № 800814</t>
  </si>
  <si>
    <t>Узел учета ХОВ на ГПЗ (нитка 2)</t>
  </si>
  <si>
    <t>Расходомер ПРОФИ-322 Ду100 БВИ № 1201353</t>
  </si>
  <si>
    <t>Узел учета ХОВ на ГПЗ (нитка 3)</t>
  </si>
  <si>
    <t>Расходомер ПРОФИ-322 Ду100 БВИ № 1201133</t>
  </si>
  <si>
    <t>Узел учета ХОВ на ГПЗ (нитка 4)</t>
  </si>
  <si>
    <t>Расходомер ПРОФИ-322 Ду100 БВИ № 800707</t>
  </si>
  <si>
    <t>Узел учета ХОВ на ГПЗ (нитка 5)</t>
  </si>
  <si>
    <t>Расходомер ПРОФИ-322 Ду100 БВИ № 1200839</t>
  </si>
  <si>
    <t>Узел учета ХОВ на ГПЗ (нитка 6)</t>
  </si>
  <si>
    <t>Расходомер ПРОФИ-322 Ду100 БВИ № 800666</t>
  </si>
  <si>
    <t>Подпитка тепловой сети п.230</t>
  </si>
  <si>
    <t>Расходомер УРСВ-540П</t>
  </si>
  <si>
    <t xml:space="preserve"> 09.12.2022</t>
  </si>
  <si>
    <t>не годен</t>
  </si>
  <si>
    <t>Измерительный участок 
ИУ-012 Ду100 нефтьэкор</t>
  </si>
  <si>
    <t>Подпитка тепловой сети п.230А</t>
  </si>
  <si>
    <t>Счетчики</t>
  </si>
  <si>
    <t>ТТ</t>
  </si>
  <si>
    <t>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</si>
</sst>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</font>
    <font>
      <sz val="10"/>
      <color theme="1"/>
      <name val="Arial Cyr"/>
    </font>
    <font>
      <u/>
      <sz val="11"/>
      <color theme="10"/>
      <name val="Calibri"/>
    </font>
    <font>
      <sz val="10"/>
      <color theme="1"/>
      <name val="Times New Roman"/>
    </font>
    <font>
      <sz val="12"/>
      <color theme="1"/>
      <name val="Times New Roman"/>
    </font>
    <font>
      <sz val="10"/>
      <name val="Times New Roman"/>
    </font>
    <font>
      <sz val="14"/>
      <color theme="1"/>
      <name val="Times New Roman"/>
    </font>
    <font>
      <b/>
      <sz val="9"/>
      <name val="Tahoma"/>
    </font>
    <font>
      <sz val="9"/>
      <name val="Tahoma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indexed="26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Border="0" applyProtection="0"/>
  </cellStyleXfs>
  <cellXfs count="64">
    <xf numFmtId="0" fontId="0" fillId="0" borderId="0" xfId="0"/>
    <xf numFmtId="0" fontId="3" fillId="0" borderId="0" xfId="0" applyFont="1" applyAlignment="1" applyProtection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49" fontId="3" fillId="0" borderId="2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top" wrapText="1"/>
    </xf>
    <xf numFmtId="14" fontId="3" fillId="0" borderId="1" xfId="0" applyNumberFormat="1" applyFont="1" applyBorder="1" applyAlignment="1" applyProtection="1">
      <alignment horizontal="center" vertical="top" wrapText="1"/>
    </xf>
    <xf numFmtId="0" fontId="2" fillId="0" borderId="1" xfId="14" applyFont="1" applyBorder="1" applyAlignment="1" applyProtection="1">
      <alignment horizontal="center" vertical="center" wrapText="1"/>
    </xf>
    <xf numFmtId="14" fontId="2" fillId="0" borderId="1" xfId="14" applyNumberFormat="1" applyFont="1" applyBorder="1" applyAlignment="1" applyProtection="1">
      <alignment horizontal="center" vertical="top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top" wrapText="1"/>
    </xf>
    <xf numFmtId="14" fontId="3" fillId="3" borderId="1" xfId="0" applyNumberFormat="1" applyFont="1" applyFill="1" applyBorder="1" applyAlignment="1" applyProtection="1">
      <alignment horizontal="center" vertical="top" wrapText="1"/>
    </xf>
    <xf numFmtId="0" fontId="3" fillId="3" borderId="1" xfId="0" applyFont="1" applyFill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 vertical="top" wrapText="1"/>
    </xf>
    <xf numFmtId="14" fontId="3" fillId="2" borderId="1" xfId="0" applyNumberFormat="1" applyFont="1" applyFill="1" applyBorder="1" applyAlignment="1" applyProtection="1">
      <alignment horizontal="center" vertical="top" wrapText="1"/>
    </xf>
    <xf numFmtId="0" fontId="2" fillId="0" borderId="1" xfId="14" applyFont="1" applyBorder="1" applyAlignment="1" applyProtection="1">
      <alignment horizontal="center" vertical="top" wrapText="1"/>
    </xf>
    <xf numFmtId="14" fontId="3" fillId="0" borderId="0" xfId="0" applyNumberFormat="1" applyFont="1" applyAlignment="1" applyProtection="1">
      <alignment horizontal="center" vertical="top" wrapText="1"/>
    </xf>
    <xf numFmtId="14" fontId="3" fillId="0" borderId="5" xfId="0" applyNumberFormat="1" applyFont="1" applyBorder="1" applyAlignment="1" applyProtection="1">
      <alignment horizontal="center" vertical="top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vertical="center"/>
    </xf>
    <xf numFmtId="0" fontId="4" fillId="0" borderId="0" xfId="0" applyFont="1" applyAlignment="1" applyProtection="1">
      <alignment vertical="center" wrapText="1"/>
    </xf>
    <xf numFmtId="0" fontId="5" fillId="0" borderId="0" xfId="0" applyFont="1" applyAlignment="1" applyProtection="1">
      <alignment horizontal="left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/>
    </xf>
    <xf numFmtId="14" fontId="3" fillId="4" borderId="1" xfId="0" applyNumberFormat="1" applyFont="1" applyFill="1" applyBorder="1" applyAlignment="1" applyProtection="1">
      <alignment horizontal="center" vertical="center" wrapText="1"/>
    </xf>
    <xf numFmtId="14" fontId="3" fillId="4" borderId="1" xfId="0" applyNumberFormat="1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4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49" fontId="3" fillId="0" borderId="3" xfId="0" applyNumberFormat="1" applyFont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49" fontId="3" fillId="0" borderId="4" xfId="0" applyNumberFormat="1" applyFont="1" applyBorder="1" applyAlignment="1" applyProtection="1">
      <alignment horizontal="center" vertical="center" wrapText="1"/>
    </xf>
    <xf numFmtId="14" fontId="3" fillId="0" borderId="3" xfId="0" applyNumberFormat="1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0" fontId="2" fillId="0" borderId="1" xfId="14" applyFont="1" applyBorder="1" applyAlignment="1" applyProtection="1">
      <alignment horizontal="center" vertical="center" wrapText="1"/>
    </xf>
    <xf numFmtId="14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6" fillId="0" borderId="0" xfId="0" applyFont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</xf>
    <xf numFmtId="0" fontId="2" fillId="0" borderId="3" xfId="14" applyBorder="1" applyProtection="1"/>
  </cellXfs>
  <cellStyles count="15">
    <cellStyle name="Гиперссылка" xfId="14" builtinId="8"/>
    <cellStyle name="Обычный" xfId="0" builtinId="0"/>
    <cellStyle name="Обычный 11" xfId="1"/>
    <cellStyle name="Обычный 12" xfId="2"/>
    <cellStyle name="Обычный 13" xfId="3"/>
    <cellStyle name="Обычный 14" xfId="4"/>
    <cellStyle name="Обычный 16" xfId="5"/>
    <cellStyle name="Обычный 17" xfId="6"/>
    <cellStyle name="Обычный 2" xfId="7"/>
    <cellStyle name="Обычный 4" xfId="8"/>
    <cellStyle name="Обычный 5" xfId="9"/>
    <cellStyle name="Обычный 6" xfId="10"/>
    <cellStyle name="Обычный 7" xfId="11"/>
    <cellStyle name="Обычный 8" xfId="12"/>
    <cellStyle name="Обычный 9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.nazareva" id="{6480449A-79BA-90FA-5268-7A96C15E799A}" userId="n.nazareva" providerId="Teamlab"/>
  <person displayName="&lt;анонимный&gt;" id="{137790E7-6E97-773F-0301-3D68575D0B3D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3" dT="2026-04-30T06:29:24.12Z" personId="{6480449A-79BA-90FA-5268-7A96C15E799A}" id="{16C040DF-0186-79F7-E944-0F265CF5A275}" done="0">
    <text xml:space="preserve">27.04.2026 Замена ЕА01111473
</text>
  </threadedComment>
  <threadedComment ref="I14" dT="2025-12-24T11:09:28.21Z" personId="{6480449A-79BA-90FA-5268-7A96C15E799A}" id="{35319893-0DD2-2A78-D3B4-178865CF9CB0}" done="0">
    <text xml:space="preserve">20.10.2025 Замена ЕА 1111037
</text>
  </threadedComment>
  <threadedComment ref="I148" personId="{137790E7-6E97-773F-0301-3D68575D0B3D}" id="{00BA0064-00E3-4A27-8779-00D10078005B}" done="0">
    <text xml:space="preserve">Автор:
18.10.2023
Замена ЕвроАльфа 01173673
</text>
  </threadedComment>
  <threadedComment ref="N256" personId="{137790E7-6E97-773F-0301-3D68575D0B3D}" id="{00B800D0-00D7-4C18-9BC3-00CA00EC00DD}" done="0">
    <text xml:space="preserve">Автор:
Св-во о поверке в АРМ-Метролог
</text>
  </threadedComment>
  <threadedComment ref="N259" personId="{137790E7-6E97-773F-0301-3D68575D0B3D}" id="{00090013-0019-402C-B0D8-0013003D00F7}" done="0">
    <text xml:space="preserve">Автор:
Св-во о поверке в АРМ-Метролог
</text>
  </threadedComment>
  <threadedComment ref="I262" personId="{137790E7-6E97-773F-0301-3D68575D0B3D}" id="{00600039-00D4-4E05-889F-00BE004E00D7}" done="0">
    <text xml:space="preserve">Автор:
Замена ЕА 1110428 16.03.2023
</text>
  </threadedComment>
  <threadedComment ref="N265" personId="{137790E7-6E97-773F-0301-3D68575D0B3D}" id="{00CB002D-002E-4DED-8D14-00CA000A004C}" done="0">
    <text xml:space="preserve">Автор:
Св-во о поверке в АРМ-Метролог
</text>
  </threadedComment>
  <threadedComment ref="N268" personId="{137790E7-6E97-773F-0301-3D68575D0B3D}" id="{00C700EC-00D2-40CF-816C-000200F8001B}" done="0">
    <text xml:space="preserve">Автор:
Св-во о поверке в АРМ-Метролог
</text>
  </threadedComment>
  <threadedComment ref="I271" personId="{137790E7-6E97-773F-0301-3D68575D0B3D}" id="{00EF0045-0064-4118-93F9-005100FF000F}" done="0">
    <text xml:space="preserve">Автор:
Замена ЕА 1110432 16.03.2023
</text>
  </threadedComment>
  <threadedComment ref="I277" personId="{137790E7-6E97-773F-0301-3D68575D0B3D}" id="{00230018-0066-47D7-ABE5-002C000300B2}" done="0">
    <text xml:space="preserve">Автор:
Замена ЕА 1110427 16.03.2023
</text>
  </threadedComment>
  <threadedComment ref="N292" personId="{137790E7-6E97-773F-0301-3D68575D0B3D}" id="{002B0029-00C4-4B10-80D3-009700E20070}" done="0">
    <text xml:space="preserve">Автор:
Св-во о поверке в АРМ-Метролог
</text>
  </threadedComment>
  <threadedComment ref="I294" dT="2025-12-24T11:07:27.43Z" personId="{6480449A-79BA-90FA-5268-7A96C15E799A}" id="{9229334F-40BE-A4B1-7EEC-4EDEB51DE348}" done="0">
    <text xml:space="preserve">14.10.2025 Замена ЕА 1110911
</text>
  </threadedComment>
  <threadedComment ref="I307" personId="{137790E7-6E97-773F-0301-3D68575D0B3D}" id="{000D0053-004B-42FE-957E-005F002B00BC}" done="0">
    <text xml:space="preserve">Автор:
Замена ЕА 1110503  16.03.2023
</text>
  </threadedComment>
  <threadedComment ref="N322" personId="{137790E7-6E97-773F-0301-3D68575D0B3D}" id="{00BA0052-008E-4C08-805B-004900A4004A}" done="0">
    <text xml:space="preserve">Автор:
Св-во о поверке в АРМ-Метролог
</text>
  </threadedComment>
  <threadedComment ref="N325" personId="{137790E7-6E97-773F-0301-3D68575D0B3D}" id="{0055008B-0089-42E4-9870-0071007E0091}" done="0">
    <text xml:space="preserve">Автор:
Св-во о поверке в АРМ-Метролог
</text>
  </threadedComment>
  <threadedComment ref="N328" personId="{137790E7-6E97-773F-0301-3D68575D0B3D}" id="{00A300A7-00DC-41E7-BCA4-00B30022006B}" done="0">
    <text xml:space="preserve">Автор:
Св-во о поверке в АРМ-Метролог
</text>
  </threadedComment>
  <threadedComment ref="N340" personId="{137790E7-6E97-773F-0301-3D68575D0B3D}" id="{009B0013-0082-4C51-8DED-002F00060007}" done="0">
    <text xml:space="preserve">Автор:
Св-во о поверке в АРМ-Метролог
</text>
  </threadedComment>
  <threadedComment ref="Q35" personId="{137790E7-6E97-773F-0301-3D68575D0B3D}" id="{007B00E8-0050-4FEA-96FD-00FE005C0026}" done="0">
    <text xml:space="preserve">Автор:
Планируется поверка в 4 кв.2024
</text>
  </threadedComment>
  <threadedComment ref="N343" personId="{137790E7-6E97-773F-0301-3D68575D0B3D}" id="{004F0008-006E-40E3-8C9C-00E3005A00CE}" done="0">
    <text xml:space="preserve">Автор:
Св-во о поверке в АРМ-Метролог
</text>
  </threadedComment>
  <threadedComment ref="N346" personId="{137790E7-6E97-773F-0301-3D68575D0B3D}" id="{009E001B-0072-4197-9837-00CB00BB0091}" done="0">
    <text xml:space="preserve">Автор:
Св-во о поверке в АРМ-Метролог
</text>
  </threadedComment>
  <threadedComment ref="N349" personId="{137790E7-6E97-773F-0301-3D68575D0B3D}" id="{00F40066-00B7-4CCD-9457-00A4004B0079}" done="0">
    <text xml:space="preserve">Автор:
Св-во о поверке в АРМ-Метролог
</text>
  </threadedComment>
  <threadedComment ref="N352" personId="{137790E7-6E97-773F-0301-3D68575D0B3D}" id="{00820078-000B-40B4-B497-002200640013}" done="0">
    <text xml:space="preserve">Автор:
Св-во о поверке в АРМ-Метролог
</text>
  </threadedComment>
  <threadedComment ref="N355" personId="{137790E7-6E97-773F-0301-3D68575D0B3D}" id="{005A0097-003D-41C9-9532-0035005B0065}" done="0">
    <text xml:space="preserve">Автор:
Св-во о поверке в АРМ-Метролог
</text>
  </threadedComment>
  <threadedComment ref="N358" personId="{137790E7-6E97-773F-0301-3D68575D0B3D}" id="{004E002E-00EE-49D5-863E-00D2006200F8}" done="0">
    <text xml:space="preserve">Автор:
Св-во о поверке в АРМ-Метролог
</text>
  </threadedComment>
  <threadedComment ref="N361" personId="{137790E7-6E97-773F-0301-3D68575D0B3D}" id="{009C00FA-007E-4789-8F6B-001800D20039}" done="0">
    <text xml:space="preserve">Автор:
Св-во о поверке в АРМ-Метролог
</text>
  </threadedComment>
  <threadedComment ref="N364" personId="{137790E7-6E97-773F-0301-3D68575D0B3D}" id="{008D0019-0011-4D28-A6CE-0099001D00E2}" done="0">
    <text xml:space="preserve">Автор:
Св-во о поверке в АРМ-Метролог
</text>
  </threadedComment>
  <threadedComment ref="N367" personId="{137790E7-6E97-773F-0301-3D68575D0B3D}" id="{00840090-006D-4C8C-8F89-00D5004E006C}" done="0">
    <text xml:space="preserve">Автор:
Св-во о поверке в АРМ-Метролог
</text>
  </threadedComment>
  <threadedComment ref="I370" personId="{137790E7-6E97-773F-0301-3D68575D0B3D}" id="{008900F2-0042-4450-AA2E-0014006200CF}" done="0">
    <text xml:space="preserve">Автор:
Замена ЕА 1110500 16.03.2023
</text>
  </threadedComment>
  <threadedComment ref="N373" personId="{137790E7-6E97-773F-0301-3D68575D0B3D}" id="{006C0039-008A-4E89-B884-0090000B0014}" done="0">
    <text xml:space="preserve">Автор:
Св-во о поверке в АРМ-Метролог
</text>
  </threadedComment>
  <threadedComment ref="N376" personId="{137790E7-6E97-773F-0301-3D68575D0B3D}" id="{004F005C-001B-4FE3-8030-000200D200A7}" done="0">
    <text xml:space="preserve">Автор:
Св-во о поверке в АРМ-Метролог
</text>
  </threadedComment>
  <threadedComment ref="N379" personId="{137790E7-6E97-773F-0301-3D68575D0B3D}" id="{006E007A-0014-4A9F-AD11-00840032006A}" done="0">
    <text xml:space="preserve">Автор:
Св-во о поверке в АРМ-Метролог
</text>
  </threadedComment>
  <threadedComment ref="N382" personId="{137790E7-6E97-773F-0301-3D68575D0B3D}" id="{00E40051-0005-42D0-9FA1-0013008E0077}" done="0">
    <text xml:space="preserve">Автор:
Св-во о поверке в АРМ-Метролог
</text>
  </threadedComment>
  <threadedComment ref="I382" personId="{137790E7-6E97-773F-0301-3D68575D0B3D}" id="{00130006-00BA-426B-AA0F-008100E10010}" done="0">
    <text xml:space="preserve">Автор:
09.12.2024 замена ЕвроАльфа 01110770
</text>
  </threadedComment>
  <threadedComment ref="N385" personId="{137790E7-6E97-773F-0301-3D68575D0B3D}" id="{008E00BE-003F-4524-9009-00E20008008C}" done="0">
    <text xml:space="preserve">Автор:
Св-во о поверке в АРМ-Метролог
</text>
  </threadedComment>
  <threadedComment ref="N388" personId="{137790E7-6E97-773F-0301-3D68575D0B3D}" id="{00CE007E-00FE-4C57-AEA9-008400430071}" done="0">
    <text xml:space="preserve">Автор:
Св-во о поверке в АРМ-Метролог
</text>
  </threadedComment>
  <threadedComment ref="I403" personId="{137790E7-6E97-773F-0301-3D68575D0B3D}" id="{00A70042-00E7-4697-8D3E-00960091008D}" done="0">
    <text xml:space="preserve">Автор:
Замена ЕА 1110531 16.03.2023
</text>
  </threadedComment>
  <threadedComment ref="N406" personId="{137790E7-6E97-773F-0301-3D68575D0B3D}" id="{000A0046-0047-437E-B643-004100C300C8}" done="0">
    <text xml:space="preserve">Автор:
Св-во о поверке в АРМ-Метролог
</text>
  </threadedComment>
  <threadedComment ref="N409" personId="{137790E7-6E97-773F-0301-3D68575D0B3D}" id="{00D90002-0038-4268-8DDB-007A00290050}" done="0">
    <text xml:space="preserve">Автор:
Св-во о поверке в АРМ-Метролог
</text>
  </threadedComment>
  <threadedComment ref="N412" personId="{137790E7-6E97-773F-0301-3D68575D0B3D}" id="{001100A1-0067-4084-8E51-00E90086007B}" done="0">
    <text xml:space="preserve">Автор:
Св-во о поверке в АРМ-Метролог
</text>
  </threadedComment>
  <threadedComment ref="I413" dT="2025-12-24T11:03:27.97Z" personId="{6480449A-79BA-90FA-5268-7A96C15E799A}" id="{9D3C7761-D809-8246-5774-E4B35DDD05CB}" done="0">
    <text xml:space="preserve">06.11.2025 Замена ЕА 01110948
</text>
  </threadedComment>
  <threadedComment ref="N415" personId="{137790E7-6E97-773F-0301-3D68575D0B3D}" id="{00E60037-00B1-4D1E-8A03-006F003700F9}" done="0">
    <text xml:space="preserve">Автор:
Св-во о поверке в АРМ-Метролог
</text>
  </threadedComment>
  <threadedComment ref="N421" personId="{137790E7-6E97-773F-0301-3D68575D0B3D}" id="{001000FD-0060-4BC0-8963-001A00790074}" done="0">
    <text xml:space="preserve">Автор:
Св-во о поверке в АРМ-Метролог
</text>
  </threadedComment>
  <threadedComment ref="N427" personId="{137790E7-6E97-773F-0301-3D68575D0B3D}" id="{002B00CA-0086-45AF-AFA4-008400770089}" done="0">
    <text xml:space="preserve">Автор:
Св-во о поверке в АРМ-Метролог
</text>
  </threadedComment>
  <threadedComment ref="H427" personId="{137790E7-6E97-773F-0301-3D68575D0B3D}" id="{001400A2-009F-421B-B028-00FE00B3000C}" done="0">
    <text xml:space="preserve">31.07.2025 Замена ЕА № 01110749
</text>
  </threadedComment>
  <threadedComment ref="N430" personId="{137790E7-6E97-773F-0301-3D68575D0B3D}" id="{003700DC-00DB-49C2-8AA1-00A4001100D7}" done="0">
    <text xml:space="preserve">Автор:
Св-во о поверке в АРМ-Метролог
</text>
  </threadedComment>
  <threadedComment ref="N433" personId="{137790E7-6E97-773F-0301-3D68575D0B3D}" id="{00E00025-0026-4356-8134-002900F60054}" done="0">
    <text xml:space="preserve">Автор:
Св-во о поверке в АРМ-Метролог
</text>
  </threadedComment>
  <threadedComment ref="N436" personId="{137790E7-6E97-773F-0301-3D68575D0B3D}" id="{003D0078-009C-4630-9F5F-00D100AA009D}" done="0">
    <text xml:space="preserve">Автор:
Св-во о поверке в АРМ-Метролог
</text>
  </threadedComment>
  <threadedComment ref="I439" personId="{137790E7-6E97-773F-0301-3D68575D0B3D}" id="{00EC007E-0070-4615-8CBC-00CE0076004F}" done="0">
    <text xml:space="preserve">Автор:
Замена ЕА 1110431 16.03.2023
</text>
  </threadedComment>
  <threadedComment ref="N445" personId="{137790E7-6E97-773F-0301-3D68575D0B3D}" id="{0052007B-00BE-43FE-B867-00E200220082}" done="0">
    <text xml:space="preserve">Автор:
Св-во о поверке в АРМ-Метролог
</text>
  </threadedComment>
  <threadedComment ref="N454" personId="{137790E7-6E97-773F-0301-3D68575D0B3D}" id="{006900EA-008D-40CB-842D-006700A500B4}" done="0">
    <text xml:space="preserve">Автор:
Св-во о поверке в АРМ-Метролог
</text>
  </threadedComment>
  <threadedComment ref="N469" personId="{137790E7-6E97-773F-0301-3D68575D0B3D}" id="{00A700A4-002E-4A58-8A97-00B600BC0037}" done="0">
    <text xml:space="preserve">Автор:
Св-во о поверке в АРМ-Метролог
</text>
  </threadedComment>
  <threadedComment ref="I472" personId="{137790E7-6E97-773F-0301-3D68575D0B3D}" id="{006500A6-0090-48E3-BA59-0012007200A4}" done="0">
    <text xml:space="preserve">Автор:
Замена ЕА 1134351 
16.03.2023
</text>
  </threadedComment>
  <threadedComment ref="M502" personId="{137790E7-6E97-773F-0301-3D68575D0B3D}" id="{00FA0003-0025-4946-BECC-00A9008800B3}" done="0">
    <text xml:space="preserve">Автор:
Поверен. Св-во в АРМ Метролог.
</text>
  </threadedComment>
  <threadedComment ref="M505" personId="{137790E7-6E97-773F-0301-3D68575D0B3D}" id="{002F00FE-00EF-4DF8-B9F0-0004006B00CA}" done="0">
    <text xml:space="preserve">Автор:
Поверен. Св-во в АРМ Метролог.
</text>
  </threadedComment>
  <threadedComment ref="I622" personId="{137790E7-6E97-773F-0301-3D68575D0B3D}" id="{008600AA-003B-4CE2-8835-009600B400AB}" done="0">
    <text xml:space="preserve">Автор:
29.08.2024 
Замена счетчика ЕА №01111044
</text>
  </threadedComment>
  <threadedComment ref="I627" dT="2026-04-30T07:05:42.59Z" personId="{6480449A-79BA-90FA-5268-7A96C15E799A}" id="{5847E690-F348-BD6F-0AC1-E85F47336E03}" done="0">
    <text xml:space="preserve">17.03.2026 Замена ЕА 01111451
</text>
  </threadedComment>
  <threadedComment ref="I646" personId="{137790E7-6E97-773F-0301-3D68575D0B3D}" id="{000000F5-00E6-4D4D-B4FA-004000BC00AD}" done="0">
    <text xml:space="preserve">Автор:
Замена счетчика ЕА №01110964
</text>
  </threadedComment>
  <threadedComment ref="I660" dT="2026-04-30T07:02:45.35Z" personId="{6480449A-79BA-90FA-5268-7A96C15E799A}" id="{61C66733-22C6-1016-6771-DE13B0EB523A}" done="0">
    <text xml:space="preserve">20.02.2026 Замена ЕА 01173710
17.03.2026 Замена Меркурий 48302515
</text>
  </threadedComment>
  <threadedComment ref="I670" personId="{137790E7-6E97-773F-0301-3D68575D0B3D}" id="{008E00AE-00B4-49C4-8ADF-00B1009F006E}" done="0">
    <text xml:space="preserve">Автор:
06.06.2024 Замена ЕА 01110852
</text>
  </threadedComment>
  <threadedComment ref="I683" dT="2026-04-30T06:52:03.47Z" personId="{6480449A-79BA-90FA-5268-7A96C15E799A}" id="{D8AA94E8-A4A6-61E6-3A0C-6856292444B7}" done="0">
    <text xml:space="preserve">30.04.2026 Замена ЕА01173705
</text>
  </threadedComment>
  <threadedComment ref="I688" personId="{137790E7-6E97-773F-0301-3D68575D0B3D}" id="{004C0046-0022-4BA1-8FC5-002300B2001F}" done="0">
    <text xml:space="preserve">Автор:
23.12.2024 замена ЕвроАльфа 01110824
</text>
  </threadedComment>
  <threadedComment ref="I89" dT="2026-04-30T06:15:45.10Z" personId="{6480449A-79BA-90FA-5268-7A96C15E799A}" id="{C47A90A4-6145-ACC3-A912-BBDCF7A960D5}" done="0">
    <text xml:space="preserve">24.04.2024 Замена ЕА 0111088
</text>
  </threadedComment>
  <threadedComment ref="I10" dT="2025-12-24T11:09:28.21Z" personId="{6480449A-79BA-90FA-5268-7A96C15E799A}" id="{5C30D8B3-0C0E-222D-08FB-F03485798BC6}" done="0">
    <text xml:space="preserve">06.04.2026 Замена ЕА 01110775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personId="{137790E7-6E97-773F-0301-3D68575D0B3D}" id="{00C5003F-00FA-4D18-A551-004F00DD00D6}" done="0">
    <text xml:space="preserve">Автор:
RTU-325 исключены из описания типа 
</text>
  </threadedComment>
  <threadedComment ref="F12" personId="{137790E7-6E97-773F-0301-3D68575D0B3D}" id="{00D30003-004B-4365-AEC6-0056007F00B6}" done="0">
    <text xml:space="preserve">Автор:
RTU-325 исключены из описания типа 
</text>
  </threadedComment>
  <threadedComment ref="F10" personId="{137790E7-6E97-773F-0301-3D68575D0B3D}" id="{0088003C-0035-4D69-B4C2-008700B400EA}" done="0">
    <text xml:space="preserve">Автор:
RTU-325 исключены из описания типа 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2" personId="{137790E7-6E97-773F-0301-3D68575D0B3D}" id="{005800D6-00E6-4A82-9AD6-00A0006000E8}" done="0">
    <text xml:space="preserve">Автор:
Замена прибора
</text>
  </threadedComment>
  <threadedComment ref="J23" personId="{137790E7-6E97-773F-0301-3D68575D0B3D}" id="{00D600A1-0051-431F-830B-0011002500C3}" done="0">
    <text xml:space="preserve">Автор:
Замена ИУ
</text>
  </threadedComment>
  <threadedComment ref="J38" personId="{137790E7-6E97-773F-0301-3D68575D0B3D}" id="{002D0009-00DD-4B42-ACBF-00D900F700D0}" done="0">
    <text xml:space="preserve">Автор:
Замена прибора
</text>
  </threadedComment>
  <threadedComment ref="J39" personId="{137790E7-6E97-773F-0301-3D68575D0B3D}" id="{00AE0083-0018-4EC6-B4D2-00DB00910091}" done="0">
    <text xml:space="preserve">Автор:
Замена ИУ
</text>
  </threadedComment>
  <threadedComment ref="J43" personId="{137790E7-6E97-773F-0301-3D68575D0B3D}" id="{00CD0052-000E-4709-A161-003800230078}" done="0">
    <text xml:space="preserve">Автор:
ПУ неисправен
</text>
  </threadedComment>
  <threadedComment ref="M61" personId="{137790E7-6E97-773F-0301-3D68575D0B3D}" id="{00850029-0049-49B5-A2D1-00A800640033}" done="0">
    <text xml:space="preserve">Автор:
Данные соответствуют АС "АРМ-Метролог"
</text>
  </threadedComment>
  <threadedComment ref="M70" personId="{137790E7-6E97-773F-0301-3D68575D0B3D}" id="{007100B0-00C5-4FDF-820D-00BB00020040}" done="0">
    <text xml:space="preserve">Автор:
Поверен. Св-во на оформлении в ЦСМ
</text>
  </threadedComment>
  <threadedComment ref="M73" personId="{137790E7-6E97-773F-0301-3D68575D0B3D}" id="{001B00CB-00EE-4CA3-B29D-006B008B0056}" done="0">
    <text xml:space="preserve">Автор:
Поверен. Св-во на оформлении в ЦСМ
</text>
  </threadedComment>
  <threadedComment ref="M77" personId="{137790E7-6E97-773F-0301-3D68575D0B3D}" id="{004400E8-0068-4C11-8E36-001500030011}" done="0">
    <text xml:space="preserve">Автор:
Поверен. Св-во на оформлении в ЦСМ
</text>
  </threadedComment>
  <threadedComment ref="M81" personId="{137790E7-6E97-773F-0301-3D68575D0B3D}" id="{001A0006-00C0-46DA-90D4-0097009000CC}" done="0">
    <text xml:space="preserve">Автор:
Поверен. Св-во на оформлении в ЦСМ
</text>
  </threadedComment>
  <threadedComment ref="M84" personId="{137790E7-6E97-773F-0301-3D68575D0B3D}" id="{00DD0013-004D-4D87-9C17-009D00C200C3}" done="0">
    <text xml:space="preserve">Автор:
Поверен. Св-во на оформлении в ЦСМ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gis.gost.ru/fundmetrology/cm/results/1-208033145" TargetMode="External"/><Relationship Id="rId671" Type="http://schemas.openxmlformats.org/officeDocument/2006/relationships/hyperlink" Target="https://fgis.gost.ru/fundmetrology/cm/results/1-32467877" TargetMode="External"/><Relationship Id="rId769" Type="http://schemas.openxmlformats.org/officeDocument/2006/relationships/hyperlink" Target="https://fgis.gost.ru/fundmetrology/cm/results/1-88830589" TargetMode="External"/><Relationship Id="rId976" Type="http://schemas.openxmlformats.org/officeDocument/2006/relationships/hyperlink" Target="https://fgis.gost.ru/fundmetrology/cm/results/1-32467876" TargetMode="External"/><Relationship Id="rId21" Type="http://schemas.openxmlformats.org/officeDocument/2006/relationships/hyperlink" Target="https://fgis.gost.ru/fundmetrology/cm/results/1-25798594" TargetMode="External"/><Relationship Id="rId324" Type="http://schemas.openxmlformats.org/officeDocument/2006/relationships/hyperlink" Target="https://fgis.gost.ru/fundmetrology/cm/results/1-244530104" TargetMode="External"/><Relationship Id="rId531" Type="http://schemas.openxmlformats.org/officeDocument/2006/relationships/hyperlink" Target="https://fgis.gost.ru/fundmetrology/cm/results/1-336341789" TargetMode="External"/><Relationship Id="rId629" Type="http://schemas.openxmlformats.org/officeDocument/2006/relationships/hyperlink" Target="https://fgis.gost.ru/fundmetrology/cm/results/1-32467890" TargetMode="External"/><Relationship Id="rId170" Type="http://schemas.openxmlformats.org/officeDocument/2006/relationships/hyperlink" Target="https://fgis.gost.ru/fundmetrology/cm/results/1-179500501" TargetMode="External"/><Relationship Id="rId836" Type="http://schemas.openxmlformats.org/officeDocument/2006/relationships/hyperlink" Target="https://fgis.gost.ru/fundmetrology/cm/results/1-32467926" TargetMode="External"/><Relationship Id="rId1021" Type="http://schemas.openxmlformats.org/officeDocument/2006/relationships/hyperlink" Target="https://fgis.gost.ru/fundmetrology/cm/results/1-356791733" TargetMode="External"/><Relationship Id="rId1119" Type="http://schemas.openxmlformats.org/officeDocument/2006/relationships/hyperlink" Target="https://fgis.gost.ru/fundmetrology/cm/results/1-259165761" TargetMode="External"/><Relationship Id="rId268" Type="http://schemas.openxmlformats.org/officeDocument/2006/relationships/hyperlink" Target="https://fgis.gost.ru/fundmetrology/cm/results/1-244530105" TargetMode="External"/><Relationship Id="rId475" Type="http://schemas.openxmlformats.org/officeDocument/2006/relationships/hyperlink" Target="https://fgis.gost.ru/fundmetrology/cm/results/1-335125775" TargetMode="External"/><Relationship Id="rId682" Type="http://schemas.openxmlformats.org/officeDocument/2006/relationships/hyperlink" Target="https://fgis.gost.ru/fundmetrology/cm/results/1-80242391" TargetMode="External"/><Relationship Id="rId903" Type="http://schemas.openxmlformats.org/officeDocument/2006/relationships/hyperlink" Target="https://fgis.gost.ru/fundmetrology/cm/results/1-259165763" TargetMode="External"/><Relationship Id="rId32" Type="http://schemas.openxmlformats.org/officeDocument/2006/relationships/hyperlink" Target="https://fgis.gost.ru/fundmetrology/cm/results/1-208033129" TargetMode="External"/><Relationship Id="rId128" Type="http://schemas.openxmlformats.org/officeDocument/2006/relationships/hyperlink" Target="https://fgis.gost.ru/fundmetrology/cm/results/1-258871758" TargetMode="External"/><Relationship Id="rId335" Type="http://schemas.openxmlformats.org/officeDocument/2006/relationships/hyperlink" Target="https://fgis.gost.ru/fundmetrology/cm/results/1-256311278" TargetMode="External"/><Relationship Id="rId542" Type="http://schemas.openxmlformats.org/officeDocument/2006/relationships/hyperlink" Target="https://fgis.gost.ru/fundmetrology/cm/results/1-337163966" TargetMode="External"/><Relationship Id="rId987" Type="http://schemas.openxmlformats.org/officeDocument/2006/relationships/hyperlink" Target="https://fgis.gost.ru/fundmetrology/cm/results/1-356791728" TargetMode="External"/><Relationship Id="rId181" Type="http://schemas.openxmlformats.org/officeDocument/2006/relationships/hyperlink" Target="https://fgis.gost.ru/fundmetrology/cm/results/1-179500515" TargetMode="External"/><Relationship Id="rId402" Type="http://schemas.openxmlformats.org/officeDocument/2006/relationships/hyperlink" Target="https://fgis.gost.ru/fundmetrology/cm/results/1-158558395" TargetMode="External"/><Relationship Id="rId847" Type="http://schemas.openxmlformats.org/officeDocument/2006/relationships/hyperlink" Target="https://fgis.gost.ru/fundmetrology/cm/results/1-390885434" TargetMode="External"/><Relationship Id="rId1032" Type="http://schemas.openxmlformats.org/officeDocument/2006/relationships/hyperlink" Target="https://fgis.gost.ru/fundmetrology/cm/results/1-356791733" TargetMode="External"/><Relationship Id="rId279" Type="http://schemas.openxmlformats.org/officeDocument/2006/relationships/hyperlink" Target="https://fgis.gost.ru/fundmetrology/cm/results/1-25798629" TargetMode="External"/><Relationship Id="rId486" Type="http://schemas.openxmlformats.org/officeDocument/2006/relationships/hyperlink" Target="https://fgis.gost.ru/fundmetrology/cm/results/1-335125758" TargetMode="External"/><Relationship Id="rId693" Type="http://schemas.openxmlformats.org/officeDocument/2006/relationships/hyperlink" Target="https://fgis.gost.ru/fundmetrology/cm/results/1-396720633" TargetMode="External"/><Relationship Id="rId707" Type="http://schemas.openxmlformats.org/officeDocument/2006/relationships/hyperlink" Target="https://fgis.gost.ru/fundmetrology/cm/results/1-256311794" TargetMode="External"/><Relationship Id="rId914" Type="http://schemas.openxmlformats.org/officeDocument/2006/relationships/hyperlink" Target="https://fgis.gost.ru/fundmetrology/cm/results/1-259165763" TargetMode="External"/><Relationship Id="rId43" Type="http://schemas.openxmlformats.org/officeDocument/2006/relationships/hyperlink" Target="https://fgis.gost.ru/fundmetrology/cm/results/1-25798596" TargetMode="External"/><Relationship Id="rId139" Type="http://schemas.openxmlformats.org/officeDocument/2006/relationships/hyperlink" Target="https://fgis.gost.ru/fundmetrology/cm/results/1-258871759" TargetMode="External"/><Relationship Id="rId346" Type="http://schemas.openxmlformats.org/officeDocument/2006/relationships/hyperlink" Target="https://fgis.gost.ru/fundmetrology/cm/results/1-244530108" TargetMode="External"/><Relationship Id="rId553" Type="http://schemas.openxmlformats.org/officeDocument/2006/relationships/hyperlink" Target="https://fgis.gost.ru/fundmetrology/cm/results/1-337163970" TargetMode="External"/><Relationship Id="rId760" Type="http://schemas.openxmlformats.org/officeDocument/2006/relationships/hyperlink" Target="https://fgis.gost.ru/fundmetrology/cm/results/1-88830824" TargetMode="External"/><Relationship Id="rId998" Type="http://schemas.openxmlformats.org/officeDocument/2006/relationships/hyperlink" Target="https://fgis.gost.ru/fundmetrology/cm/results/1-88830668" TargetMode="External"/><Relationship Id="rId192" Type="http://schemas.openxmlformats.org/officeDocument/2006/relationships/hyperlink" Target="https://fgis.gost.ru/fundmetrology/cm/results/1-256311306" TargetMode="External"/><Relationship Id="rId206" Type="http://schemas.openxmlformats.org/officeDocument/2006/relationships/hyperlink" Target="https://fgis.gost.ru/fundmetrology/cm/results/1-244530106" TargetMode="External"/><Relationship Id="rId413" Type="http://schemas.openxmlformats.org/officeDocument/2006/relationships/hyperlink" Target="https://fgis.gost.ru/fundmetrology/cm/results/1-158558454" TargetMode="External"/><Relationship Id="rId858" Type="http://schemas.openxmlformats.org/officeDocument/2006/relationships/hyperlink" Target="https://fgis.gost.ru/fundmetrology/cm/results/1-32467935" TargetMode="External"/><Relationship Id="rId1043" Type="http://schemas.openxmlformats.org/officeDocument/2006/relationships/hyperlink" Target="https://fgis.gost.ru/fundmetrology/cm/results/1-356791736" TargetMode="External"/><Relationship Id="rId497" Type="http://schemas.openxmlformats.org/officeDocument/2006/relationships/hyperlink" Target="https://fgis.gost.ru/fundmetrology/cm/results/1-256311778" TargetMode="External"/><Relationship Id="rId620" Type="http://schemas.openxmlformats.org/officeDocument/2006/relationships/hyperlink" Target="https://fgis.gost.ru/fundmetrology/cm/results/2-177330663" TargetMode="External"/><Relationship Id="rId718" Type="http://schemas.openxmlformats.org/officeDocument/2006/relationships/hyperlink" Target="https://fgis.gost.ru/fundmetrology/cm/results/1-169638062" TargetMode="External"/><Relationship Id="rId925" Type="http://schemas.openxmlformats.org/officeDocument/2006/relationships/hyperlink" Target="https://fgis.gost.ru/fundmetrology/cm/results/1-88830654" TargetMode="External"/><Relationship Id="rId357" Type="http://schemas.openxmlformats.org/officeDocument/2006/relationships/hyperlink" Target="https://fgis.gost.ru/fundmetrology/cm/results/1-256311264" TargetMode="External"/><Relationship Id="rId1110" Type="http://schemas.openxmlformats.org/officeDocument/2006/relationships/hyperlink" Target="https://fgis.gost.ru/fundmetrology/cm/results/1-356791729" TargetMode="External"/><Relationship Id="rId54" Type="http://schemas.openxmlformats.org/officeDocument/2006/relationships/hyperlink" Target="https://fgis.gost.ru/fundmetrology/cm/results/1-383156899" TargetMode="External"/><Relationship Id="rId217" Type="http://schemas.openxmlformats.org/officeDocument/2006/relationships/hyperlink" Target="https://fgis.gost.ru/fundmetrology/cm/results/1-256311315" TargetMode="External"/><Relationship Id="rId564" Type="http://schemas.openxmlformats.org/officeDocument/2006/relationships/hyperlink" Target="https://fgis.gost.ru/fundmetrology/cm/results/1-337164238" TargetMode="External"/><Relationship Id="rId771" Type="http://schemas.openxmlformats.org/officeDocument/2006/relationships/hyperlink" Target="https://fgis.gost.ru/fundmetrology/cm/results/1-32467953" TargetMode="External"/><Relationship Id="rId869" Type="http://schemas.openxmlformats.org/officeDocument/2006/relationships/hyperlink" Target="https://fgis.gost.ru/fundmetrology/cm/results/1-32467941" TargetMode="External"/><Relationship Id="rId424" Type="http://schemas.openxmlformats.org/officeDocument/2006/relationships/hyperlink" Target="https://fgis.gost.ru/fundmetrology/cm/results/1-207651691" TargetMode="External"/><Relationship Id="rId631" Type="http://schemas.openxmlformats.org/officeDocument/2006/relationships/hyperlink" Target="https://fgis.gost.ru/fundmetrology/cm/results/1-158558477" TargetMode="External"/><Relationship Id="rId729" Type="http://schemas.openxmlformats.org/officeDocument/2006/relationships/hyperlink" Target="https://fgis.gost.ru/fundmetrology/cm/results/1-88830569" TargetMode="External"/><Relationship Id="rId1054" Type="http://schemas.openxmlformats.org/officeDocument/2006/relationships/hyperlink" Target="https://fgis.gost.ru/fundmetrology/cm/results/1-179500489" TargetMode="External"/><Relationship Id="rId270" Type="http://schemas.openxmlformats.org/officeDocument/2006/relationships/hyperlink" Target="https://fgis.gost.ru/fundmetrology/cm/results/1-256311287" TargetMode="External"/><Relationship Id="rId936" Type="http://schemas.openxmlformats.org/officeDocument/2006/relationships/hyperlink" Target="https://fgis.gost.ru/fundmetrology/cm/results/1-437700661" TargetMode="External"/><Relationship Id="rId1121" Type="http://schemas.openxmlformats.org/officeDocument/2006/relationships/hyperlink" Target="https://fgis.gost.ru/fundmetrology/cm/results/1-259165761" TargetMode="External"/><Relationship Id="rId65" Type="http://schemas.openxmlformats.org/officeDocument/2006/relationships/hyperlink" Target="https://fgis.gost.ru/fundmetrology/cm/results/1-208033154" TargetMode="External"/><Relationship Id="rId130" Type="http://schemas.openxmlformats.org/officeDocument/2006/relationships/hyperlink" Target="https://fgis.gost.ru/fundmetrology/cm/results/1-256311826" TargetMode="External"/><Relationship Id="rId368" Type="http://schemas.openxmlformats.org/officeDocument/2006/relationships/hyperlink" Target="https://fgis.gost.ru/fundmetrology/cm/results/1-208032999" TargetMode="External"/><Relationship Id="rId575" Type="http://schemas.openxmlformats.org/officeDocument/2006/relationships/hyperlink" Target="https://fgis.gost.ru/fundmetrology/cm/results/1-207651687" TargetMode="External"/><Relationship Id="rId782" Type="http://schemas.openxmlformats.org/officeDocument/2006/relationships/hyperlink" Target="https://fgis.gost.ru/fundmetrology/cm/results/1-32467964" TargetMode="External"/><Relationship Id="rId228" Type="http://schemas.openxmlformats.org/officeDocument/2006/relationships/hyperlink" Target="https://fgis.gost.ru/fundmetrology/cm/results/1-244530105" TargetMode="External"/><Relationship Id="rId435" Type="http://schemas.openxmlformats.org/officeDocument/2006/relationships/hyperlink" Target="https://fgis.gost.ru/fundmetrology/cm/results/1-288002651" TargetMode="External"/><Relationship Id="rId642" Type="http://schemas.openxmlformats.org/officeDocument/2006/relationships/hyperlink" Target="https://fgis.gost.ru/fundmetrology/cm/results/1-158558476" TargetMode="External"/><Relationship Id="rId1065" Type="http://schemas.openxmlformats.org/officeDocument/2006/relationships/hyperlink" Target="https://fgis.gost.ru/fundmetrology/cm/results/1-88830644" TargetMode="External"/><Relationship Id="rId281" Type="http://schemas.openxmlformats.org/officeDocument/2006/relationships/hyperlink" Target="https://fgis.gost.ru/fundmetrology/cm/results/1-244530107" TargetMode="External"/><Relationship Id="rId502" Type="http://schemas.openxmlformats.org/officeDocument/2006/relationships/hyperlink" Target="https://fgis.gost.ru/fundmetrology/cm/results/1-336341805" TargetMode="External"/><Relationship Id="rId947" Type="http://schemas.openxmlformats.org/officeDocument/2006/relationships/hyperlink" Target="https://fgis.gost.ru/fundmetrology/cm/results/1-160785505" TargetMode="External"/><Relationship Id="rId1132" Type="http://schemas.openxmlformats.org/officeDocument/2006/relationships/hyperlink" Target="https://fgis.gost.ru/fundmetrology/cm/results/1-88830653" TargetMode="External"/><Relationship Id="rId76" Type="http://schemas.openxmlformats.org/officeDocument/2006/relationships/hyperlink" Target="https://fgis.gost.ru/fundmetrology/cm/results/1-258871760" TargetMode="External"/><Relationship Id="rId141" Type="http://schemas.openxmlformats.org/officeDocument/2006/relationships/hyperlink" Target="https://fgis.gost.ru/fundmetrology/cm/results/1-208033134" TargetMode="External"/><Relationship Id="rId379" Type="http://schemas.openxmlformats.org/officeDocument/2006/relationships/hyperlink" Target="https://fgis.gost.ru/fundmetrology/cm/results/1-208032992" TargetMode="External"/><Relationship Id="rId586" Type="http://schemas.openxmlformats.org/officeDocument/2006/relationships/hyperlink" Target="https://fgis.gost.ru/fundmetrology/cm/results/1-337163617" TargetMode="External"/><Relationship Id="rId793" Type="http://schemas.openxmlformats.org/officeDocument/2006/relationships/hyperlink" Target="https://fgis.gost.ru/fundmetrology/cm/results/1-32467967" TargetMode="External"/><Relationship Id="rId807" Type="http://schemas.openxmlformats.org/officeDocument/2006/relationships/hyperlink" Target="https://fgis.gost.ru/fundmetrology/cm/results/1-32467976" TargetMode="External"/><Relationship Id="rId7" Type="http://schemas.openxmlformats.org/officeDocument/2006/relationships/hyperlink" Target="https://fgis.gost.ru/fundmetrology/cm/results/1-258871763" TargetMode="External"/><Relationship Id="rId239" Type="http://schemas.openxmlformats.org/officeDocument/2006/relationships/hyperlink" Target="https://fgis.gost.ru/fundmetrology/cm/results/1-244530109" TargetMode="External"/><Relationship Id="rId446" Type="http://schemas.openxmlformats.org/officeDocument/2006/relationships/hyperlink" Target="https://fgis.gost.ru/fundmetrology/cm/results/1-334719759" TargetMode="External"/><Relationship Id="rId653" Type="http://schemas.openxmlformats.org/officeDocument/2006/relationships/hyperlink" Target="https://fgis.gost.ru/fundmetrology/cm/results/2-177330650" TargetMode="External"/><Relationship Id="rId1076" Type="http://schemas.openxmlformats.org/officeDocument/2006/relationships/hyperlink" Target="https://fgis.gost.ru/fundmetrology/cm/results/1-356791783" TargetMode="External"/><Relationship Id="rId292" Type="http://schemas.openxmlformats.org/officeDocument/2006/relationships/hyperlink" Target="https://fgis.gost.ru/fundmetrology/cm/results/1-256311280" TargetMode="External"/><Relationship Id="rId306" Type="http://schemas.openxmlformats.org/officeDocument/2006/relationships/hyperlink" Target="https://fgis.gost.ru/fundmetrology/cm/results/1-244530108" TargetMode="External"/><Relationship Id="rId860" Type="http://schemas.openxmlformats.org/officeDocument/2006/relationships/hyperlink" Target="https://fgis.gost.ru/fundmetrology/cm/results/1-32467936" TargetMode="External"/><Relationship Id="rId958" Type="http://schemas.openxmlformats.org/officeDocument/2006/relationships/hyperlink" Target="https://fgis.gost.ru/fundmetrology/cm/results/1-88830628" TargetMode="External"/><Relationship Id="rId87" Type="http://schemas.openxmlformats.org/officeDocument/2006/relationships/hyperlink" Target="https://fgis.gost.ru/fundmetrology/cm/results/1-208032986" TargetMode="External"/><Relationship Id="rId513" Type="http://schemas.openxmlformats.org/officeDocument/2006/relationships/hyperlink" Target="https://fgis.gost.ru/fundmetrology/cm/results/1-207651690" TargetMode="External"/><Relationship Id="rId597" Type="http://schemas.openxmlformats.org/officeDocument/2006/relationships/hyperlink" Target="https://fgis.gost.ru/fundmetrology/cm/results/1-337163611" TargetMode="External"/><Relationship Id="rId720" Type="http://schemas.openxmlformats.org/officeDocument/2006/relationships/hyperlink" Target="https://fgis.gost.ru/fundmetrology/cm/results/1-88830716" TargetMode="External"/><Relationship Id="rId818" Type="http://schemas.openxmlformats.org/officeDocument/2006/relationships/hyperlink" Target="https://fgis.gost.ru/fundmetrology/cm/results/1-88830758" TargetMode="External"/><Relationship Id="rId152" Type="http://schemas.openxmlformats.org/officeDocument/2006/relationships/hyperlink" Target="https://fgis.gost.ru/fundmetrology/cm/results/1-256311826" TargetMode="External"/><Relationship Id="rId457" Type="http://schemas.openxmlformats.org/officeDocument/2006/relationships/hyperlink" Target="https://fgis.gost.ru/fundmetrology/cm/results/1-335125777" TargetMode="External"/><Relationship Id="rId1003" Type="http://schemas.openxmlformats.org/officeDocument/2006/relationships/hyperlink" Target="https://fgis.gost.ru/fundmetrology/cm/results/1-356791732" TargetMode="External"/><Relationship Id="rId1087" Type="http://schemas.openxmlformats.org/officeDocument/2006/relationships/hyperlink" Target="https://fgis.gost.ru/fundmetrology/cm/results/1-88830735" TargetMode="External"/><Relationship Id="rId664" Type="http://schemas.openxmlformats.org/officeDocument/2006/relationships/hyperlink" Target="https://fgis.gost.ru/fundmetrology/cm/results/2-177330645" TargetMode="External"/><Relationship Id="rId871" Type="http://schemas.openxmlformats.org/officeDocument/2006/relationships/hyperlink" Target="https://fgis.gost.ru/fundmetrology/cm/results/1-80242397" TargetMode="External"/><Relationship Id="rId969" Type="http://schemas.openxmlformats.org/officeDocument/2006/relationships/hyperlink" Target="https://fgis.gost.ru/fundmetrology/cm/results/1-356791735" TargetMode="External"/><Relationship Id="rId14" Type="http://schemas.openxmlformats.org/officeDocument/2006/relationships/hyperlink" Target="https://fgis.gost.ru/fundmetrology/cm/results/1-258871763" TargetMode="External"/><Relationship Id="rId317" Type="http://schemas.openxmlformats.org/officeDocument/2006/relationships/hyperlink" Target="https://fgis.gost.ru/fundmetrology/cm/results/1-256311285" TargetMode="External"/><Relationship Id="rId524" Type="http://schemas.openxmlformats.org/officeDocument/2006/relationships/hyperlink" Target="https://fgis.gost.ru/fundmetrology/cm/results/1-336341783" TargetMode="External"/><Relationship Id="rId731" Type="http://schemas.openxmlformats.org/officeDocument/2006/relationships/hyperlink" Target="https://fgis.gost.ru/fundmetrology/cm/results/1-32467904" TargetMode="External"/><Relationship Id="rId98" Type="http://schemas.openxmlformats.org/officeDocument/2006/relationships/hyperlink" Target="https://fgis.gost.ru/fundmetrology/cm/results/1-258871766" TargetMode="External"/><Relationship Id="rId163" Type="http://schemas.openxmlformats.org/officeDocument/2006/relationships/hyperlink" Target="https://fgis.gost.ru/fundmetrology/cm/results/1-179500497" TargetMode="External"/><Relationship Id="rId370" Type="http://schemas.openxmlformats.org/officeDocument/2006/relationships/hyperlink" Target="https://fgis.gost.ru/fundmetrology/cm/results/1-208032991" TargetMode="External"/><Relationship Id="rId829" Type="http://schemas.openxmlformats.org/officeDocument/2006/relationships/hyperlink" Target="https://fgis.gost.ru/fundmetrology/cm/results/1-390885434" TargetMode="External"/><Relationship Id="rId1014" Type="http://schemas.openxmlformats.org/officeDocument/2006/relationships/hyperlink" Target="https://fgis.gost.ru/fundmetrology/cm/results/1-88830671" TargetMode="External"/><Relationship Id="rId230" Type="http://schemas.openxmlformats.org/officeDocument/2006/relationships/hyperlink" Target="https://fgis.gost.ru/fundmetrology/cm/results/1-256311303" TargetMode="External"/><Relationship Id="rId468" Type="http://schemas.openxmlformats.org/officeDocument/2006/relationships/hyperlink" Target="https://fgis.gost.ru/fundmetrology/cm/results/1-256311765" TargetMode="External"/><Relationship Id="rId675" Type="http://schemas.openxmlformats.org/officeDocument/2006/relationships/hyperlink" Target="https://fgis.gost.ru/fundmetrology/cm/results/1-158558630" TargetMode="External"/><Relationship Id="rId882" Type="http://schemas.openxmlformats.org/officeDocument/2006/relationships/hyperlink" Target="https://fgis.gost.ru/fundmetrology/cm/results/1-259165762" TargetMode="External"/><Relationship Id="rId1098" Type="http://schemas.openxmlformats.org/officeDocument/2006/relationships/hyperlink" Target="https://fgis.gost.ru/fundmetrology/cm/results/1-356791783" TargetMode="External"/><Relationship Id="rId25" Type="http://schemas.openxmlformats.org/officeDocument/2006/relationships/hyperlink" Target="https://fgis.gost.ru/fundmetrology/cm/results/1-208033172" TargetMode="External"/><Relationship Id="rId328" Type="http://schemas.openxmlformats.org/officeDocument/2006/relationships/hyperlink" Target="https://fgis.gost.ru/fundmetrology/cm/results/1-244530107" TargetMode="External"/><Relationship Id="rId535" Type="http://schemas.openxmlformats.org/officeDocument/2006/relationships/hyperlink" Target="https://fgis.gost.ru/fundmetrology/cm/results/1-336341777" TargetMode="External"/><Relationship Id="rId742" Type="http://schemas.openxmlformats.org/officeDocument/2006/relationships/hyperlink" Target="https://fgis.gost.ru/fundmetrology/cm/results/1-32467912" TargetMode="External"/><Relationship Id="rId174" Type="http://schemas.openxmlformats.org/officeDocument/2006/relationships/hyperlink" Target="https://fgis.gost.ru/fundmetrology/cm/results/1-179500509" TargetMode="External"/><Relationship Id="rId381" Type="http://schemas.openxmlformats.org/officeDocument/2006/relationships/hyperlink" Target="https://fgis.gost.ru/fundmetrology/cm/results/1-158558423" TargetMode="External"/><Relationship Id="rId602" Type="http://schemas.openxmlformats.org/officeDocument/2006/relationships/hyperlink" Target="https://fgis.gost.ru/fundmetrology/cm/results/1-337163609" TargetMode="External"/><Relationship Id="rId1025" Type="http://schemas.openxmlformats.org/officeDocument/2006/relationships/hyperlink" Target="https://fgis.gost.ru/fundmetrology/cm/results/1-356791733" TargetMode="External"/><Relationship Id="rId241" Type="http://schemas.openxmlformats.org/officeDocument/2006/relationships/hyperlink" Target="https://fgis.gost.ru/fundmetrology/cm/results/1-244530106" TargetMode="External"/><Relationship Id="rId479" Type="http://schemas.openxmlformats.org/officeDocument/2006/relationships/hyperlink" Target="https://fgis.gost.ru/fundmetrology/cm/results/1-288002655" TargetMode="External"/><Relationship Id="rId686" Type="http://schemas.openxmlformats.org/officeDocument/2006/relationships/hyperlink" Target="https://fgis.gost.ru/fundmetrology/cm/results/1-396720627" TargetMode="External"/><Relationship Id="rId893" Type="http://schemas.openxmlformats.org/officeDocument/2006/relationships/hyperlink" Target="https://fgis.gost.ru/fundmetrology/cm/results/1-206812394" TargetMode="External"/><Relationship Id="rId907" Type="http://schemas.openxmlformats.org/officeDocument/2006/relationships/hyperlink" Target="https://fgis.gost.ru/fundmetrology/cm/results/1-259165763" TargetMode="External"/><Relationship Id="rId36" Type="http://schemas.openxmlformats.org/officeDocument/2006/relationships/hyperlink" Target="https://fgis.gost.ru/fundmetrology/cm/results/1-208033131" TargetMode="External"/><Relationship Id="rId339" Type="http://schemas.openxmlformats.org/officeDocument/2006/relationships/hyperlink" Target="https://fgis.gost.ru/fundmetrology/cm/results/1-244530104" TargetMode="External"/><Relationship Id="rId546" Type="http://schemas.openxmlformats.org/officeDocument/2006/relationships/hyperlink" Target="https://fgis.gost.ru/fundmetrology/cm/results/1-207651692" TargetMode="External"/><Relationship Id="rId753" Type="http://schemas.openxmlformats.org/officeDocument/2006/relationships/hyperlink" Target="https://fgis.gost.ru/fundmetrology/cm/results/1-88830822" TargetMode="External"/><Relationship Id="rId101" Type="http://schemas.openxmlformats.org/officeDocument/2006/relationships/hyperlink" Target="https://fgis.gost.ru/fundmetrology/cm/results/1-258871761" TargetMode="External"/><Relationship Id="rId185" Type="http://schemas.openxmlformats.org/officeDocument/2006/relationships/hyperlink" Target="https://fgis.gost.ru/fundmetrology/cm/results/1-25798623" TargetMode="External"/><Relationship Id="rId406" Type="http://schemas.openxmlformats.org/officeDocument/2006/relationships/hyperlink" Target="https://fgis.gost.ru/fundmetrology/cm/results/1-158558462" TargetMode="External"/><Relationship Id="rId960" Type="http://schemas.openxmlformats.org/officeDocument/2006/relationships/hyperlink" Target="https://fgis.gost.ru/fundmetrology/cm/results/1-356791735" TargetMode="External"/><Relationship Id="rId1036" Type="http://schemas.openxmlformats.org/officeDocument/2006/relationships/hyperlink" Target="https://fgis.gost.ru/fundmetrology/cm/results/1-179500491" TargetMode="External"/><Relationship Id="rId392" Type="http://schemas.openxmlformats.org/officeDocument/2006/relationships/hyperlink" Target="https://fgis.gost.ru/fundmetrology/cm/results/1-158558450" TargetMode="External"/><Relationship Id="rId613" Type="http://schemas.openxmlformats.org/officeDocument/2006/relationships/hyperlink" Target="https://fgis.gost.ru/fundmetrology/cm/results/2-177330669" TargetMode="External"/><Relationship Id="rId697" Type="http://schemas.openxmlformats.org/officeDocument/2006/relationships/hyperlink" Target="https://fgis.gost.ru/fundmetrology/cm/results/1-256311794" TargetMode="External"/><Relationship Id="rId820" Type="http://schemas.openxmlformats.org/officeDocument/2006/relationships/hyperlink" Target="https://fgis.gost.ru/fundmetrology/cm/results/1-32467986" TargetMode="External"/><Relationship Id="rId918" Type="http://schemas.openxmlformats.org/officeDocument/2006/relationships/hyperlink" Target="https://fgis.gost.ru/fundmetrology/cm/results/1-88830771" TargetMode="External"/><Relationship Id="rId252" Type="http://schemas.openxmlformats.org/officeDocument/2006/relationships/hyperlink" Target="https://fgis.gost.ru/fundmetrology/cm/results/1-256311288" TargetMode="External"/><Relationship Id="rId1103" Type="http://schemas.openxmlformats.org/officeDocument/2006/relationships/hyperlink" Target="https://fgis.gost.ru/fundmetrology/cm/results/1-88830649" TargetMode="External"/><Relationship Id="rId47" Type="http://schemas.openxmlformats.org/officeDocument/2006/relationships/hyperlink" Target="https://fgis.gost.ru/fundmetrology/cm/results/1-208033161" TargetMode="External"/><Relationship Id="rId112" Type="http://schemas.openxmlformats.org/officeDocument/2006/relationships/hyperlink" Target="https://fgis.gost.ru/fundmetrology/cm/results/1-258871761" TargetMode="External"/><Relationship Id="rId557" Type="http://schemas.openxmlformats.org/officeDocument/2006/relationships/hyperlink" Target="https://fgis.gost.ru/fundmetrology/cm/results/1-337164294" TargetMode="External"/><Relationship Id="rId764" Type="http://schemas.openxmlformats.org/officeDocument/2006/relationships/hyperlink" Target="https://fgis.gost.ru/fundmetrology/cm/results/1-32467948" TargetMode="External"/><Relationship Id="rId971" Type="http://schemas.openxmlformats.org/officeDocument/2006/relationships/hyperlink" Target="https://fgis.gost.ru/fundmetrology/cm/results/1-88830662" TargetMode="External"/><Relationship Id="rId196" Type="http://schemas.openxmlformats.org/officeDocument/2006/relationships/hyperlink" Target="https://fgis.gost.ru/fundmetrology/cm/results/1-244530106" TargetMode="External"/><Relationship Id="rId417" Type="http://schemas.openxmlformats.org/officeDocument/2006/relationships/hyperlink" Target="https://fgis.gost.ru/fundmetrology/cm/results/1-169638080" TargetMode="External"/><Relationship Id="rId624" Type="http://schemas.openxmlformats.org/officeDocument/2006/relationships/hyperlink" Target="https://fgis.gost.ru/fundmetrology/cm/results/1-383156900" TargetMode="External"/><Relationship Id="rId831" Type="http://schemas.openxmlformats.org/officeDocument/2006/relationships/hyperlink" Target="https://fgis.gost.ru/fundmetrology/cm/results/1-390885434" TargetMode="External"/><Relationship Id="rId1047" Type="http://schemas.openxmlformats.org/officeDocument/2006/relationships/hyperlink" Target="https://fgis.gost.ru/fundmetrology/cm/results/1-88830743" TargetMode="External"/><Relationship Id="rId263" Type="http://schemas.openxmlformats.org/officeDocument/2006/relationships/hyperlink" Target="https://fgis.gost.ru/fundmetrology/cm/results/1-244530105" TargetMode="External"/><Relationship Id="rId470" Type="http://schemas.openxmlformats.org/officeDocument/2006/relationships/hyperlink" Target="https://fgis.gost.ru/fundmetrology/cm/results/1-335125757" TargetMode="External"/><Relationship Id="rId929" Type="http://schemas.openxmlformats.org/officeDocument/2006/relationships/hyperlink" Target="https://fgis.gost.ru/fundmetrology/cm/results/1-80242404" TargetMode="External"/><Relationship Id="rId1114" Type="http://schemas.openxmlformats.org/officeDocument/2006/relationships/hyperlink" Target="https://fgis.gost.ru/fundmetrology/cm/results/1-356791729" TargetMode="External"/><Relationship Id="rId58" Type="http://schemas.openxmlformats.org/officeDocument/2006/relationships/hyperlink" Target="https://fgis.gost.ru/fundmetrology/cm/results/1-258871762" TargetMode="External"/><Relationship Id="rId123" Type="http://schemas.openxmlformats.org/officeDocument/2006/relationships/hyperlink" Target="https://fgis.gost.ru/fundmetrology/cm/results/1-258871761" TargetMode="External"/><Relationship Id="rId330" Type="http://schemas.openxmlformats.org/officeDocument/2006/relationships/hyperlink" Target="https://fgis.gost.ru/fundmetrology/cm/results/1-256311304" TargetMode="External"/><Relationship Id="rId568" Type="http://schemas.openxmlformats.org/officeDocument/2006/relationships/hyperlink" Target="https://fgis.gost.ru/fundmetrology/cm/results/1-337163965" TargetMode="External"/><Relationship Id="rId775" Type="http://schemas.openxmlformats.org/officeDocument/2006/relationships/hyperlink" Target="https://fgis.gost.ru/fundmetrology/cm/results/1-88830718" TargetMode="External"/><Relationship Id="rId982" Type="http://schemas.openxmlformats.org/officeDocument/2006/relationships/hyperlink" Target="https://fgis.gost.ru/fundmetrology/cm/results/1-356791728" TargetMode="External"/><Relationship Id="rId428" Type="http://schemas.openxmlformats.org/officeDocument/2006/relationships/hyperlink" Target="https://fgis.gost.ru/fundmetrology/cm/results/1-304290178" TargetMode="External"/><Relationship Id="rId635" Type="http://schemas.openxmlformats.org/officeDocument/2006/relationships/hyperlink" Target="https://fgis.gost.ru/fundmetrology/cm/results/2-177330656" TargetMode="External"/><Relationship Id="rId842" Type="http://schemas.openxmlformats.org/officeDocument/2006/relationships/hyperlink" Target="https://fgis.gost.ru/fundmetrology/cm/results/1-32467928" TargetMode="External"/><Relationship Id="rId1058" Type="http://schemas.openxmlformats.org/officeDocument/2006/relationships/hyperlink" Target="https://fgis.gost.ru/fundmetrology/cm/results/1-356791736" TargetMode="External"/><Relationship Id="rId274" Type="http://schemas.openxmlformats.org/officeDocument/2006/relationships/hyperlink" Target="https://fgis.gost.ru/fundmetrology/cm/results/1-244530105" TargetMode="External"/><Relationship Id="rId481" Type="http://schemas.openxmlformats.org/officeDocument/2006/relationships/hyperlink" Target="https://fgis.gost.ru/fundmetrology/cm/results/1-335125771" TargetMode="External"/><Relationship Id="rId702" Type="http://schemas.openxmlformats.org/officeDocument/2006/relationships/hyperlink" Target="https://fgis.gost.ru/fundmetrology/cm/results/1-88830560" TargetMode="External"/><Relationship Id="rId1125" Type="http://schemas.openxmlformats.org/officeDocument/2006/relationships/hyperlink" Target="https://fgis.gost.ru/fundmetrology/cm/results/1-288002619" TargetMode="External"/><Relationship Id="rId69" Type="http://schemas.openxmlformats.org/officeDocument/2006/relationships/hyperlink" Target="https://fgis.gost.ru/fundmetrology/cm/results/1-258871762" TargetMode="External"/><Relationship Id="rId134" Type="http://schemas.openxmlformats.org/officeDocument/2006/relationships/hyperlink" Target="https://fgis.gost.ru/fundmetrology/cm/results/1-208033164" TargetMode="External"/><Relationship Id="rId579" Type="http://schemas.openxmlformats.org/officeDocument/2006/relationships/hyperlink" Target="https://fgis.gost.ru/fundmetrology/cm/results/1-207651685" TargetMode="External"/><Relationship Id="rId786" Type="http://schemas.openxmlformats.org/officeDocument/2006/relationships/hyperlink" Target="https://fgis.gost.ru/fundmetrology/cm/results/1-32467961" TargetMode="External"/><Relationship Id="rId993" Type="http://schemas.openxmlformats.org/officeDocument/2006/relationships/hyperlink" Target="https://fgis.gost.ru/fundmetrology/cm/results/1-88830667" TargetMode="External"/><Relationship Id="rId341" Type="http://schemas.openxmlformats.org/officeDocument/2006/relationships/hyperlink" Target="https://fgis.gost.ru/fundmetrology/cm/results/1-244530108" TargetMode="External"/><Relationship Id="rId439" Type="http://schemas.openxmlformats.org/officeDocument/2006/relationships/hyperlink" Target="https://fgis.gost.ru/fundmetrology/cm/results/1-334719760" TargetMode="External"/><Relationship Id="rId646" Type="http://schemas.openxmlformats.org/officeDocument/2006/relationships/hyperlink" Target="https://fgis.gost.ru/fundmetrology/cm/results/2-177330654" TargetMode="External"/><Relationship Id="rId1069" Type="http://schemas.openxmlformats.org/officeDocument/2006/relationships/hyperlink" Target="https://fgis.gost.ru/fundmetrology/cm/results/1-169638052" TargetMode="External"/><Relationship Id="rId201" Type="http://schemas.openxmlformats.org/officeDocument/2006/relationships/hyperlink" Target="https://fgis.gost.ru/fundmetrology/cm/results/1-244530106" TargetMode="External"/><Relationship Id="rId285" Type="http://schemas.openxmlformats.org/officeDocument/2006/relationships/hyperlink" Target="https://fgis.gost.ru/fundmetrology/cm/results/1-244530108" TargetMode="External"/><Relationship Id="rId506" Type="http://schemas.openxmlformats.org/officeDocument/2006/relationships/hyperlink" Target="https://fgis.gost.ru/fundmetrology/cm/results/1-336341796" TargetMode="External"/><Relationship Id="rId853" Type="http://schemas.openxmlformats.org/officeDocument/2006/relationships/hyperlink" Target="https://fgis.gost.ru/fundmetrology/cm/results/1-390885434" TargetMode="External"/><Relationship Id="rId1136" Type="http://schemas.openxmlformats.org/officeDocument/2006/relationships/hyperlink" Target="https://fgis.gost.ru/fundmetrology/cm/results/1-88830612" TargetMode="External"/><Relationship Id="rId492" Type="http://schemas.openxmlformats.org/officeDocument/2006/relationships/hyperlink" Target="https://fgis.gost.ru/fundmetrology/cm/results/1-179500521" TargetMode="External"/><Relationship Id="rId713" Type="http://schemas.openxmlformats.org/officeDocument/2006/relationships/hyperlink" Target="https://fgis.gost.ru/fundmetrology/cm/results/1-208032983" TargetMode="External"/><Relationship Id="rId797" Type="http://schemas.openxmlformats.org/officeDocument/2006/relationships/hyperlink" Target="https://fgis.gost.ru/fundmetrology/cm/results/1-88830753" TargetMode="External"/><Relationship Id="rId920" Type="http://schemas.openxmlformats.org/officeDocument/2006/relationships/hyperlink" Target="https://fgis.gost.ru/fundmetrology/cm/results/1-88830553" TargetMode="External"/><Relationship Id="rId145" Type="http://schemas.openxmlformats.org/officeDocument/2006/relationships/hyperlink" Target="https://fgis.gost.ru/fundmetrology/cm/results/1-258871758" TargetMode="External"/><Relationship Id="rId352" Type="http://schemas.openxmlformats.org/officeDocument/2006/relationships/hyperlink" Target="https://fgis.gost.ru/fundmetrology/cm/results/1-256311294" TargetMode="External"/><Relationship Id="rId212" Type="http://schemas.openxmlformats.org/officeDocument/2006/relationships/hyperlink" Target="https://fgis.gost.ru/fundmetrology/cm/results/1-256311304" TargetMode="External"/><Relationship Id="rId657" Type="http://schemas.openxmlformats.org/officeDocument/2006/relationships/hyperlink" Target="https://fgis.gost.ru/fundmetrology/cm/results/1-201268322" TargetMode="External"/><Relationship Id="rId864" Type="http://schemas.openxmlformats.org/officeDocument/2006/relationships/hyperlink" Target="https://fgis.gost.ru/fundmetrology/cm/results/1-32467939" TargetMode="External"/><Relationship Id="rId296" Type="http://schemas.openxmlformats.org/officeDocument/2006/relationships/hyperlink" Target="https://fgis.gost.ru/fundmetrology/cm/results/1-244530108" TargetMode="External"/><Relationship Id="rId517" Type="http://schemas.openxmlformats.org/officeDocument/2006/relationships/hyperlink" Target="https://fgis.gost.ru/fundmetrology/cm/results/1-207651688" TargetMode="External"/><Relationship Id="rId724" Type="http://schemas.openxmlformats.org/officeDocument/2006/relationships/hyperlink" Target="https://fgis.gost.ru/fundmetrology/cm/results/1-80242393" TargetMode="External"/><Relationship Id="rId931" Type="http://schemas.openxmlformats.org/officeDocument/2006/relationships/hyperlink" Target="https://fgis.gost.ru/fundmetrology/cm/results/1-234909720" TargetMode="External"/><Relationship Id="rId60" Type="http://schemas.openxmlformats.org/officeDocument/2006/relationships/hyperlink" Target="https://fgis.gost.ru/fundmetrology/cm/results/1-258871760" TargetMode="External"/><Relationship Id="rId156" Type="http://schemas.openxmlformats.org/officeDocument/2006/relationships/hyperlink" Target="https://fgis.gost.ru/fundmetrology/cm/results/1-179500516" TargetMode="External"/><Relationship Id="rId363" Type="http://schemas.openxmlformats.org/officeDocument/2006/relationships/hyperlink" Target="https://fgis.gost.ru/fundmetrology/cm/results/1-208033001" TargetMode="External"/><Relationship Id="rId570" Type="http://schemas.openxmlformats.org/officeDocument/2006/relationships/hyperlink" Target="https://fgis.gost.ru/fundmetrology/cm/results/1-337164227" TargetMode="External"/><Relationship Id="rId1007" Type="http://schemas.openxmlformats.org/officeDocument/2006/relationships/hyperlink" Target="https://fgis.gost.ru/fundmetrology/cm/results/1-356791732" TargetMode="External"/><Relationship Id="rId223" Type="http://schemas.openxmlformats.org/officeDocument/2006/relationships/hyperlink" Target="https://fgis.gost.ru/fundmetrology/cm/results/1-244530105" TargetMode="External"/><Relationship Id="rId430" Type="http://schemas.openxmlformats.org/officeDocument/2006/relationships/hyperlink" Target="https://fgis.gost.ru/fundmetrology/cm/results/1-334719772" TargetMode="External"/><Relationship Id="rId668" Type="http://schemas.openxmlformats.org/officeDocument/2006/relationships/hyperlink" Target="https://fgis.gost.ru/fundmetrology/cm/results/2-177330642" TargetMode="External"/><Relationship Id="rId875" Type="http://schemas.openxmlformats.org/officeDocument/2006/relationships/hyperlink" Target="https://fgis.gost.ru/fundmetrology/cm/results/1-32467945" TargetMode="External"/><Relationship Id="rId1060" Type="http://schemas.openxmlformats.org/officeDocument/2006/relationships/hyperlink" Target="https://fgis.gost.ru/fundmetrology/cm/results/1-179500487" TargetMode="External"/><Relationship Id="rId18" Type="http://schemas.openxmlformats.org/officeDocument/2006/relationships/hyperlink" Target="https://fgis.gost.ru/fundmetrology/cm/results/1-256311832" TargetMode="External"/><Relationship Id="rId528" Type="http://schemas.openxmlformats.org/officeDocument/2006/relationships/hyperlink" Target="https://fgis.gost.ru/fundmetrology/cm/results/1-336341800" TargetMode="External"/><Relationship Id="rId735" Type="http://schemas.openxmlformats.org/officeDocument/2006/relationships/hyperlink" Target="https://fgis.gost.ru/fundmetrology/cm/results/1-88830572" TargetMode="External"/><Relationship Id="rId942" Type="http://schemas.openxmlformats.org/officeDocument/2006/relationships/hyperlink" Target="https://fgis.gost.ru/fundmetrology/cm/results/1-88830567" TargetMode="External"/><Relationship Id="rId167" Type="http://schemas.openxmlformats.org/officeDocument/2006/relationships/hyperlink" Target="https://fgis.gost.ru/fundmetrology/cm/results/1-25798618" TargetMode="External"/><Relationship Id="rId374" Type="http://schemas.openxmlformats.org/officeDocument/2006/relationships/hyperlink" Target="https://fgis.gost.ru/fundmetrology/cm/results/1-208033008" TargetMode="External"/><Relationship Id="rId581" Type="http://schemas.openxmlformats.org/officeDocument/2006/relationships/hyperlink" Target="https://fgis.gost.ru/fundmetrology/cm/results/1-337163968" TargetMode="External"/><Relationship Id="rId1018" Type="http://schemas.openxmlformats.org/officeDocument/2006/relationships/hyperlink" Target="https://fgis.gost.ru/fundmetrology/cm/results/1-80242402" TargetMode="External"/><Relationship Id="rId71" Type="http://schemas.openxmlformats.org/officeDocument/2006/relationships/hyperlink" Target="https://fgis.gost.ru/fundmetrology/cm/results/1-258871760" TargetMode="External"/><Relationship Id="rId234" Type="http://schemas.openxmlformats.org/officeDocument/2006/relationships/hyperlink" Target="https://fgis.gost.ru/fundmetrology/cm/results/1-244530109" TargetMode="External"/><Relationship Id="rId679" Type="http://schemas.openxmlformats.org/officeDocument/2006/relationships/hyperlink" Target="https://fgis.gost.ru/fundmetrology/cm/results/1-207651697" TargetMode="External"/><Relationship Id="rId802" Type="http://schemas.openxmlformats.org/officeDocument/2006/relationships/hyperlink" Target="https://fgis.gost.ru/fundmetrology/cm/results/1-32467973" TargetMode="External"/><Relationship Id="rId886" Type="http://schemas.openxmlformats.org/officeDocument/2006/relationships/hyperlink" Target="https://fgis.gost.ru/fundmetrology/cm/results/1-259165762" TargetMode="External"/><Relationship Id="rId2" Type="http://schemas.openxmlformats.org/officeDocument/2006/relationships/hyperlink" Target="https://fgis.gost.ru/fundmetrology/cm/results/1-256311335" TargetMode="External"/><Relationship Id="rId29" Type="http://schemas.openxmlformats.org/officeDocument/2006/relationships/hyperlink" Target="https://fgis.gost.ru/fundmetrology/cm/results/1-256311832" TargetMode="External"/><Relationship Id="rId441" Type="http://schemas.openxmlformats.org/officeDocument/2006/relationships/hyperlink" Target="https://fgis.gost.ru/fundmetrology/cm/results/1-334719761" TargetMode="External"/><Relationship Id="rId539" Type="http://schemas.openxmlformats.org/officeDocument/2006/relationships/hyperlink" Target="https://fgis.gost.ru/fundmetrology/cm/results/1-337164252" TargetMode="External"/><Relationship Id="rId746" Type="http://schemas.openxmlformats.org/officeDocument/2006/relationships/hyperlink" Target="https://fgis.gost.ru/fundmetrology/cm/results/1-32467916" TargetMode="External"/><Relationship Id="rId1071" Type="http://schemas.openxmlformats.org/officeDocument/2006/relationships/hyperlink" Target="https://fgis.gost.ru/fundmetrology/cm/results/1-88830746" TargetMode="External"/><Relationship Id="rId178" Type="http://schemas.openxmlformats.org/officeDocument/2006/relationships/hyperlink" Target="https://fgis.gost.ru/fundmetrology/cm/results/1-179500513" TargetMode="External"/><Relationship Id="rId301" Type="http://schemas.openxmlformats.org/officeDocument/2006/relationships/hyperlink" Target="https://fgis.gost.ru/fundmetrology/cm/results/1-244530108" TargetMode="External"/><Relationship Id="rId953" Type="http://schemas.openxmlformats.org/officeDocument/2006/relationships/hyperlink" Target="https://fgis.gost.ru/fundmetrology/cm/results/1-356791735" TargetMode="External"/><Relationship Id="rId1029" Type="http://schemas.openxmlformats.org/officeDocument/2006/relationships/hyperlink" Target="https://fgis.gost.ru/fundmetrology/cm/results/1-356791733" TargetMode="External"/><Relationship Id="rId82" Type="http://schemas.openxmlformats.org/officeDocument/2006/relationships/hyperlink" Target="https://fgis.gost.ru/fundmetrology/cm/results/1-25798599" TargetMode="External"/><Relationship Id="rId385" Type="http://schemas.openxmlformats.org/officeDocument/2006/relationships/hyperlink" Target="https://fgis.gost.ru/fundmetrology/cm/results/1-158558447" TargetMode="External"/><Relationship Id="rId592" Type="http://schemas.openxmlformats.org/officeDocument/2006/relationships/hyperlink" Target="https://fgis.gost.ru/fundmetrology/cm/results/1-337163614" TargetMode="External"/><Relationship Id="rId606" Type="http://schemas.openxmlformats.org/officeDocument/2006/relationships/hyperlink" Target="https://fgis.gost.ru/fundmetrology/cm/results/2-177330672" TargetMode="External"/><Relationship Id="rId813" Type="http://schemas.openxmlformats.org/officeDocument/2006/relationships/hyperlink" Target="https://fgis.gost.ru/fundmetrology/cm/results/1-32467980" TargetMode="External"/><Relationship Id="rId245" Type="http://schemas.openxmlformats.org/officeDocument/2006/relationships/hyperlink" Target="https://fgis.gost.ru/fundmetrology/cm/results/1-256311298" TargetMode="External"/><Relationship Id="rId452" Type="http://schemas.openxmlformats.org/officeDocument/2006/relationships/hyperlink" Target="https://fgis.gost.ru/fundmetrology/cm/results/1-304290180" TargetMode="External"/><Relationship Id="rId897" Type="http://schemas.openxmlformats.org/officeDocument/2006/relationships/hyperlink" Target="https://fgis.gost.ru/fundmetrology/cm/results/1-259165763" TargetMode="External"/><Relationship Id="rId1082" Type="http://schemas.openxmlformats.org/officeDocument/2006/relationships/hyperlink" Target="https://fgis.gost.ru/fundmetrology/cm/results/1-179500492" TargetMode="External"/><Relationship Id="rId105" Type="http://schemas.openxmlformats.org/officeDocument/2006/relationships/hyperlink" Target="https://fgis.gost.ru/fundmetrology/cm/results/1-258871764" TargetMode="External"/><Relationship Id="rId312" Type="http://schemas.openxmlformats.org/officeDocument/2006/relationships/hyperlink" Target="https://fgis.gost.ru/fundmetrology/cm/results/1-256311291" TargetMode="External"/><Relationship Id="rId757" Type="http://schemas.openxmlformats.org/officeDocument/2006/relationships/hyperlink" Target="https://fgis.gost.ru/fundmetrology/cm/results/1-179500524" TargetMode="External"/><Relationship Id="rId964" Type="http://schemas.openxmlformats.org/officeDocument/2006/relationships/hyperlink" Target="https://fgis.gost.ru/fundmetrology/cm/results/1-356791735" TargetMode="External"/><Relationship Id="rId93" Type="http://schemas.openxmlformats.org/officeDocument/2006/relationships/hyperlink" Target="https://fgis.gost.ru/fundmetrology/cm/results/1-258871764" TargetMode="External"/><Relationship Id="rId189" Type="http://schemas.openxmlformats.org/officeDocument/2006/relationships/hyperlink" Target="https://fgis.gost.ru/fundmetrology/cm/results/1-244530109" TargetMode="External"/><Relationship Id="rId396" Type="http://schemas.openxmlformats.org/officeDocument/2006/relationships/hyperlink" Target="https://fgis.gost.ru/fundmetrology/cm/results/1-158558471" TargetMode="External"/><Relationship Id="rId617" Type="http://schemas.openxmlformats.org/officeDocument/2006/relationships/hyperlink" Target="https://fgis.gost.ru/fundmetrology/cm/results/2-177330665" TargetMode="External"/><Relationship Id="rId824" Type="http://schemas.openxmlformats.org/officeDocument/2006/relationships/hyperlink" Target="https://fgis.gost.ru/fundmetrology/cm/results/1-32467987" TargetMode="External"/><Relationship Id="rId256" Type="http://schemas.openxmlformats.org/officeDocument/2006/relationships/hyperlink" Target="https://fgis.gost.ru/fundmetrology/cm/results/1-244530106" TargetMode="External"/><Relationship Id="rId463" Type="http://schemas.openxmlformats.org/officeDocument/2006/relationships/hyperlink" Target="https://fgis.gost.ru/fundmetrology/cm/results/1-335125768" TargetMode="External"/><Relationship Id="rId670" Type="http://schemas.openxmlformats.org/officeDocument/2006/relationships/hyperlink" Target="https://fgis.gost.ru/fundmetrology/cm/results/1-32467878" TargetMode="External"/><Relationship Id="rId1093" Type="http://schemas.openxmlformats.org/officeDocument/2006/relationships/hyperlink" Target="https://fgis.gost.ru/fundmetrology/cm/results/1-88830747" TargetMode="External"/><Relationship Id="rId1107" Type="http://schemas.openxmlformats.org/officeDocument/2006/relationships/hyperlink" Target="https://fgis.gost.ru/fundmetrology/cm/results/1-88830651" TargetMode="External"/><Relationship Id="rId116" Type="http://schemas.openxmlformats.org/officeDocument/2006/relationships/hyperlink" Target="https://fgis.gost.ru/fundmetrology/cm/results/1-258871764" TargetMode="External"/><Relationship Id="rId323" Type="http://schemas.openxmlformats.org/officeDocument/2006/relationships/hyperlink" Target="https://fgis.gost.ru/fundmetrology/cm/results/1-244530107" TargetMode="External"/><Relationship Id="rId530" Type="http://schemas.openxmlformats.org/officeDocument/2006/relationships/hyperlink" Target="https://fgis.gost.ru/fundmetrology/cm/results/1-336341785" TargetMode="External"/><Relationship Id="rId768" Type="http://schemas.openxmlformats.org/officeDocument/2006/relationships/hyperlink" Target="https://fgis.gost.ru/fundmetrology/cm/results/1-32467951" TargetMode="External"/><Relationship Id="rId975" Type="http://schemas.openxmlformats.org/officeDocument/2006/relationships/hyperlink" Target="https://fgis.gost.ru/fundmetrology/cm/results/1-88830632" TargetMode="External"/><Relationship Id="rId20" Type="http://schemas.openxmlformats.org/officeDocument/2006/relationships/hyperlink" Target="https://fgis.gost.ru/fundmetrology/cm/results/1-258871763" TargetMode="External"/><Relationship Id="rId628" Type="http://schemas.openxmlformats.org/officeDocument/2006/relationships/hyperlink" Target="https://fgis.gost.ru/fundmetrology/cm/results/1-32467891" TargetMode="External"/><Relationship Id="rId835" Type="http://schemas.openxmlformats.org/officeDocument/2006/relationships/hyperlink" Target="https://fgis.gost.ru/fundmetrology/cm/results/1-390885434" TargetMode="External"/><Relationship Id="rId267" Type="http://schemas.openxmlformats.org/officeDocument/2006/relationships/hyperlink" Target="https://fgis.gost.ru/fundmetrology/cm/results/1-256311329" TargetMode="External"/><Relationship Id="rId474" Type="http://schemas.openxmlformats.org/officeDocument/2006/relationships/hyperlink" Target="https://fgis.gost.ru/fundmetrology/cm/results/1-335125769" TargetMode="External"/><Relationship Id="rId1020" Type="http://schemas.openxmlformats.org/officeDocument/2006/relationships/hyperlink" Target="https://fgis.gost.ru/fundmetrology/cm/results/1-356791733" TargetMode="External"/><Relationship Id="rId1118" Type="http://schemas.openxmlformats.org/officeDocument/2006/relationships/hyperlink" Target="https://fgis.gost.ru/fundmetrology/cm/results/1-259165761" TargetMode="External"/><Relationship Id="rId127" Type="http://schemas.openxmlformats.org/officeDocument/2006/relationships/hyperlink" Target="https://fgis.gost.ru/fundmetrology/cm/results/1-208032995" TargetMode="External"/><Relationship Id="rId681" Type="http://schemas.openxmlformats.org/officeDocument/2006/relationships/hyperlink" Target="https://fgis.gost.ru/fundmetrology/cm/results/1-208032956" TargetMode="External"/><Relationship Id="rId779" Type="http://schemas.openxmlformats.org/officeDocument/2006/relationships/hyperlink" Target="https://fgis.gost.ru/fundmetrology/cm/results/1-32467958" TargetMode="External"/><Relationship Id="rId902" Type="http://schemas.openxmlformats.org/officeDocument/2006/relationships/hyperlink" Target="https://fgis.gost.ru/fundmetrology/cm/results/2-134166734" TargetMode="External"/><Relationship Id="rId986" Type="http://schemas.openxmlformats.org/officeDocument/2006/relationships/hyperlink" Target="https://fgis.gost.ru/fundmetrology/cm/results/1-356791728" TargetMode="External"/><Relationship Id="rId31" Type="http://schemas.openxmlformats.org/officeDocument/2006/relationships/hyperlink" Target="https://fgis.gost.ru/fundmetrology/cm/results/1-258871763" TargetMode="External"/><Relationship Id="rId73" Type="http://schemas.openxmlformats.org/officeDocument/2006/relationships/hyperlink" Target="https://fgis.gost.ru/fundmetrology/cm/results/1-258871765" TargetMode="External"/><Relationship Id="rId169" Type="http://schemas.openxmlformats.org/officeDocument/2006/relationships/hyperlink" Target="https://fgis.gost.ru/fundmetrology/cm/results/1-179500529" TargetMode="External"/><Relationship Id="rId334" Type="http://schemas.openxmlformats.org/officeDocument/2006/relationships/hyperlink" Target="https://fgis.gost.ru/fundmetrology/cm/results/1-244530104" TargetMode="External"/><Relationship Id="rId376" Type="http://schemas.openxmlformats.org/officeDocument/2006/relationships/hyperlink" Target="https://fgis.gost.ru/fundmetrology/cm/results/1-208033011" TargetMode="External"/><Relationship Id="rId541" Type="http://schemas.openxmlformats.org/officeDocument/2006/relationships/hyperlink" Target="https://fgis.gost.ru/fundmetrology/cm/results/1-256311776" TargetMode="External"/><Relationship Id="rId583" Type="http://schemas.openxmlformats.org/officeDocument/2006/relationships/hyperlink" Target="https://fgis.gost.ru/fundmetrology/cm/results/1-256311767" TargetMode="External"/><Relationship Id="rId639" Type="http://schemas.openxmlformats.org/officeDocument/2006/relationships/hyperlink" Target="https://fgis.gost.ru/fundmetrology/cm/results/1-32467887" TargetMode="External"/><Relationship Id="rId790" Type="http://schemas.openxmlformats.org/officeDocument/2006/relationships/hyperlink" Target="https://fgis.gost.ru/fundmetrology/cm/results/1-80242394" TargetMode="External"/><Relationship Id="rId804" Type="http://schemas.openxmlformats.org/officeDocument/2006/relationships/hyperlink" Target="https://fgis.gost.ru/fundmetrology/cm/results/1-32467974" TargetMode="External"/><Relationship Id="rId4" Type="http://schemas.openxmlformats.org/officeDocument/2006/relationships/hyperlink" Target="https://fgis.gost.ru/fundmetrology/cm/results/1-256311336" TargetMode="External"/><Relationship Id="rId180" Type="http://schemas.openxmlformats.org/officeDocument/2006/relationships/hyperlink" Target="https://fgis.gost.ru/fundmetrology/cm/results/1-179500514" TargetMode="External"/><Relationship Id="rId236" Type="http://schemas.openxmlformats.org/officeDocument/2006/relationships/hyperlink" Target="https://fgis.gost.ru/fundmetrology/cm/results/1-244530106" TargetMode="External"/><Relationship Id="rId278" Type="http://schemas.openxmlformats.org/officeDocument/2006/relationships/hyperlink" Target="https://fgis.gost.ru/fundmetrology/cm/results/1-244530106" TargetMode="External"/><Relationship Id="rId401" Type="http://schemas.openxmlformats.org/officeDocument/2006/relationships/hyperlink" Target="https://fgis.gost.ru/fundmetrology/cm/results/1-158558394" TargetMode="External"/><Relationship Id="rId443" Type="http://schemas.openxmlformats.org/officeDocument/2006/relationships/hyperlink" Target="https://fgis.gost.ru/fundmetrology/cm/results/1-334719762" TargetMode="External"/><Relationship Id="rId650" Type="http://schemas.openxmlformats.org/officeDocument/2006/relationships/hyperlink" Target="https://fgis.gost.ru/fundmetrology/cm/results/2-177330652" TargetMode="External"/><Relationship Id="rId846" Type="http://schemas.openxmlformats.org/officeDocument/2006/relationships/hyperlink" Target="https://fgis.gost.ru/fundmetrology/cm/results/1-390885434" TargetMode="External"/><Relationship Id="rId888" Type="http://schemas.openxmlformats.org/officeDocument/2006/relationships/hyperlink" Target="https://fgis.gost.ru/fundmetrology/cm/results/1-88830540" TargetMode="External"/><Relationship Id="rId1031" Type="http://schemas.openxmlformats.org/officeDocument/2006/relationships/hyperlink" Target="https://fgis.gost.ru/fundmetrology/cm/results/1-88830641" TargetMode="External"/><Relationship Id="rId1073" Type="http://schemas.openxmlformats.org/officeDocument/2006/relationships/hyperlink" Target="https://fgis.gost.ru/fundmetrology/cm/results/1-356791783" TargetMode="External"/><Relationship Id="rId1129" Type="http://schemas.openxmlformats.org/officeDocument/2006/relationships/hyperlink" Target="https://fgis.gost.ru/fundmetrology/cm/results/1-288002619" TargetMode="External"/><Relationship Id="rId303" Type="http://schemas.openxmlformats.org/officeDocument/2006/relationships/hyperlink" Target="https://fgis.gost.ru/fundmetrology/cm/results/1-244530107" TargetMode="External"/><Relationship Id="rId485" Type="http://schemas.openxmlformats.org/officeDocument/2006/relationships/hyperlink" Target="https://fgis.gost.ru/fundmetrology/cm/results/1-335125781" TargetMode="External"/><Relationship Id="rId692" Type="http://schemas.openxmlformats.org/officeDocument/2006/relationships/hyperlink" Target="https://fgis.gost.ru/fundmetrology/cm/results/1-396720632" TargetMode="External"/><Relationship Id="rId706" Type="http://schemas.openxmlformats.org/officeDocument/2006/relationships/hyperlink" Target="https://fgis.gost.ru/fundmetrology/cm/results/1-88830600" TargetMode="External"/><Relationship Id="rId748" Type="http://schemas.openxmlformats.org/officeDocument/2006/relationships/hyperlink" Target="https://fgis.gost.ru/fundmetrology/cm/results/1-32467917" TargetMode="External"/><Relationship Id="rId913" Type="http://schemas.openxmlformats.org/officeDocument/2006/relationships/hyperlink" Target="https://fgis.gost.ru/fundmetrology/cm/results/1-259165763" TargetMode="External"/><Relationship Id="rId955" Type="http://schemas.openxmlformats.org/officeDocument/2006/relationships/hyperlink" Target="https://fgis.gost.ru/fundmetrology/cm/results/1-356791735" TargetMode="External"/><Relationship Id="rId42" Type="http://schemas.openxmlformats.org/officeDocument/2006/relationships/hyperlink" Target="https://fgis.gost.ru/fundmetrology/cm/results/1-258871763" TargetMode="External"/><Relationship Id="rId84" Type="http://schemas.openxmlformats.org/officeDocument/2006/relationships/hyperlink" Target="https://fgis.gost.ru/fundmetrology/cm/results/1-258871766" TargetMode="External"/><Relationship Id="rId138" Type="http://schemas.openxmlformats.org/officeDocument/2006/relationships/hyperlink" Target="https://fgis.gost.ru/fundmetrology/cm/results/1-208033162" TargetMode="External"/><Relationship Id="rId345" Type="http://schemas.openxmlformats.org/officeDocument/2006/relationships/hyperlink" Target="https://fgis.gost.ru/fundmetrology/cm/results/1-256311274" TargetMode="External"/><Relationship Id="rId387" Type="http://schemas.openxmlformats.org/officeDocument/2006/relationships/hyperlink" Target="https://fgis.gost.ru/fundmetrology/cm/results/1-158558436" TargetMode="External"/><Relationship Id="rId510" Type="http://schemas.openxmlformats.org/officeDocument/2006/relationships/hyperlink" Target="https://fgis.gost.ru/fundmetrology/cm/results/1-336341799" TargetMode="External"/><Relationship Id="rId552" Type="http://schemas.openxmlformats.org/officeDocument/2006/relationships/hyperlink" Target="https://fgis.gost.ru/fundmetrology/cm/results/1-337164233" TargetMode="External"/><Relationship Id="rId594" Type="http://schemas.openxmlformats.org/officeDocument/2006/relationships/hyperlink" Target="https://fgis.gost.ru/fundmetrology/cm/results/1-337163620" TargetMode="External"/><Relationship Id="rId608" Type="http://schemas.openxmlformats.org/officeDocument/2006/relationships/hyperlink" Target="https://fgis.gost.ru/fundmetrology/cm/results/1-158558481" TargetMode="External"/><Relationship Id="rId815" Type="http://schemas.openxmlformats.org/officeDocument/2006/relationships/hyperlink" Target="https://fgis.gost.ru/fundmetrology/cm/results/1-88830723" TargetMode="External"/><Relationship Id="rId997" Type="http://schemas.openxmlformats.org/officeDocument/2006/relationships/hyperlink" Target="https://fgis.gost.ru/fundmetrology/cm/results/1-88830638" TargetMode="External"/><Relationship Id="rId191" Type="http://schemas.openxmlformats.org/officeDocument/2006/relationships/hyperlink" Target="https://fgis.gost.ru/fundmetrology/cm/results/1-244530106" TargetMode="External"/><Relationship Id="rId205" Type="http://schemas.openxmlformats.org/officeDocument/2006/relationships/hyperlink" Target="https://fgis.gost.ru/fundmetrology/cm/results/1-256311310" TargetMode="External"/><Relationship Id="rId247" Type="http://schemas.openxmlformats.org/officeDocument/2006/relationships/hyperlink" Target="https://fgis.gost.ru/fundmetrology/cm/results/1-256311321" TargetMode="External"/><Relationship Id="rId412" Type="http://schemas.openxmlformats.org/officeDocument/2006/relationships/hyperlink" Target="https://fgis.gost.ru/fundmetrology/cm/results/1-169638076" TargetMode="External"/><Relationship Id="rId857" Type="http://schemas.openxmlformats.org/officeDocument/2006/relationships/hyperlink" Target="https://fgis.gost.ru/fundmetrology/cm/results/1-32467934" TargetMode="External"/><Relationship Id="rId899" Type="http://schemas.openxmlformats.org/officeDocument/2006/relationships/hyperlink" Target="https://fgis.gost.ru/fundmetrology/cm/results/2-134166735" TargetMode="External"/><Relationship Id="rId1000" Type="http://schemas.openxmlformats.org/officeDocument/2006/relationships/hyperlink" Target="https://fgis.gost.ru/fundmetrology/cm/results/1-356791732" TargetMode="External"/><Relationship Id="rId1042" Type="http://schemas.openxmlformats.org/officeDocument/2006/relationships/hyperlink" Target="https://fgis.gost.ru/fundmetrology/cm/results/1-169638069" TargetMode="External"/><Relationship Id="rId1084" Type="http://schemas.openxmlformats.org/officeDocument/2006/relationships/hyperlink" Target="https://fgis.gost.ru/fundmetrology/cm/results/1-356791783" TargetMode="External"/><Relationship Id="rId107" Type="http://schemas.openxmlformats.org/officeDocument/2006/relationships/hyperlink" Target="https://fgis.gost.ru/fundmetrology/cm/results/1-258871761" TargetMode="External"/><Relationship Id="rId289" Type="http://schemas.openxmlformats.org/officeDocument/2006/relationships/hyperlink" Target="https://fgis.gost.ru/fundmetrology/cm/results/1-256311286" TargetMode="External"/><Relationship Id="rId454" Type="http://schemas.openxmlformats.org/officeDocument/2006/relationships/hyperlink" Target="https://fgis.gost.ru/fundmetrology/cm/results/1-335125767" TargetMode="External"/><Relationship Id="rId496" Type="http://schemas.openxmlformats.org/officeDocument/2006/relationships/hyperlink" Target="https://fgis.gost.ru/fundmetrology/cm/results/1-336341790" TargetMode="External"/><Relationship Id="rId661" Type="http://schemas.openxmlformats.org/officeDocument/2006/relationships/hyperlink" Target="https://fgis.gost.ru/fundmetrology/cm/results/1-383156892" TargetMode="External"/><Relationship Id="rId717" Type="http://schemas.openxmlformats.org/officeDocument/2006/relationships/hyperlink" Target="https://fgis.gost.ru/fundmetrology/cm/results/1-169638071" TargetMode="External"/><Relationship Id="rId759" Type="http://schemas.openxmlformats.org/officeDocument/2006/relationships/hyperlink" Target="https://fgis.gost.ru/fundmetrology/cm/results/1-179500528" TargetMode="External"/><Relationship Id="rId924" Type="http://schemas.openxmlformats.org/officeDocument/2006/relationships/hyperlink" Target="https://fgis.gost.ru/fundmetrology/cm/results/1-88830776" TargetMode="External"/><Relationship Id="rId966" Type="http://schemas.openxmlformats.org/officeDocument/2006/relationships/hyperlink" Target="https://fgis.gost.ru/fundmetrology/cm/results/1-88830630" TargetMode="External"/><Relationship Id="rId11" Type="http://schemas.openxmlformats.org/officeDocument/2006/relationships/hyperlink" Target="https://fgis.gost.ru/fundmetrology/cm/results/1-208033125" TargetMode="External"/><Relationship Id="rId53" Type="http://schemas.openxmlformats.org/officeDocument/2006/relationships/hyperlink" Target="https://fgis.gost.ru/fundmetrology/cm/results/1-258871760" TargetMode="External"/><Relationship Id="rId149" Type="http://schemas.openxmlformats.org/officeDocument/2006/relationships/hyperlink" Target="https://fgis.gost.ru/fundmetrology/cm/results/1-258871759" TargetMode="External"/><Relationship Id="rId314" Type="http://schemas.openxmlformats.org/officeDocument/2006/relationships/hyperlink" Target="https://fgis.gost.ru/fundmetrology/cm/results/1-244530104" TargetMode="External"/><Relationship Id="rId356" Type="http://schemas.openxmlformats.org/officeDocument/2006/relationships/hyperlink" Target="https://fgis.gost.ru/fundmetrology/cm/results/1-244530108" TargetMode="External"/><Relationship Id="rId398" Type="http://schemas.openxmlformats.org/officeDocument/2006/relationships/hyperlink" Target="https://fgis.gost.ru/fundmetrology/cm/results/1-158558429" TargetMode="External"/><Relationship Id="rId521" Type="http://schemas.openxmlformats.org/officeDocument/2006/relationships/hyperlink" Target="https://fgis.gost.ru/fundmetrology/cm/results/1-256311775" TargetMode="External"/><Relationship Id="rId563" Type="http://schemas.openxmlformats.org/officeDocument/2006/relationships/hyperlink" Target="https://fgis.gost.ru/fundmetrology/cm/results/1-256311764" TargetMode="External"/><Relationship Id="rId619" Type="http://schemas.openxmlformats.org/officeDocument/2006/relationships/hyperlink" Target="https://fgis.gost.ru/fundmetrology/cm/results/1-383156902" TargetMode="External"/><Relationship Id="rId770" Type="http://schemas.openxmlformats.org/officeDocument/2006/relationships/hyperlink" Target="https://fgis.gost.ru/fundmetrology/cm/results/1-32467952" TargetMode="External"/><Relationship Id="rId95" Type="http://schemas.openxmlformats.org/officeDocument/2006/relationships/hyperlink" Target="https://fgis.gost.ru/fundmetrology/cm/results/1-258871761" TargetMode="External"/><Relationship Id="rId160" Type="http://schemas.openxmlformats.org/officeDocument/2006/relationships/hyperlink" Target="https://fgis.gost.ru/fundmetrology/cm/results/1-179500519" TargetMode="External"/><Relationship Id="rId216" Type="http://schemas.openxmlformats.org/officeDocument/2006/relationships/hyperlink" Target="https://fgis.gost.ru/fundmetrology/cm/results/1-244530106" TargetMode="External"/><Relationship Id="rId423" Type="http://schemas.openxmlformats.org/officeDocument/2006/relationships/hyperlink" Target="https://fgis.gost.ru/fundmetrology/cm/results/1-196808836" TargetMode="External"/><Relationship Id="rId826" Type="http://schemas.openxmlformats.org/officeDocument/2006/relationships/hyperlink" Target="https://fgis.gost.ru/fundmetrology/cm/results/1-88830523" TargetMode="External"/><Relationship Id="rId868" Type="http://schemas.openxmlformats.org/officeDocument/2006/relationships/hyperlink" Target="https://fgis.gost.ru/fundmetrology/cm/results/1-88830766" TargetMode="External"/><Relationship Id="rId1011" Type="http://schemas.openxmlformats.org/officeDocument/2006/relationships/hyperlink" Target="https://fgis.gost.ru/fundmetrology/cm/results/1-356791732" TargetMode="External"/><Relationship Id="rId1053" Type="http://schemas.openxmlformats.org/officeDocument/2006/relationships/hyperlink" Target="https://fgis.gost.ru/fundmetrology/cm/results/1-75261818" TargetMode="External"/><Relationship Id="rId1109" Type="http://schemas.openxmlformats.org/officeDocument/2006/relationships/hyperlink" Target="https://fgis.gost.ru/fundmetrology/cm/results/1-356791729" TargetMode="External"/><Relationship Id="rId258" Type="http://schemas.openxmlformats.org/officeDocument/2006/relationships/hyperlink" Target="https://fgis.gost.ru/fundmetrology/cm/results/1-244530105" TargetMode="External"/><Relationship Id="rId465" Type="http://schemas.openxmlformats.org/officeDocument/2006/relationships/hyperlink" Target="https://fgis.gost.ru/fundmetrology/cm/results/1-335125765" TargetMode="External"/><Relationship Id="rId630" Type="http://schemas.openxmlformats.org/officeDocument/2006/relationships/hyperlink" Target="https://fgis.gost.ru/fundmetrology/cm/results/1-383156901" TargetMode="External"/><Relationship Id="rId672" Type="http://schemas.openxmlformats.org/officeDocument/2006/relationships/hyperlink" Target="https://fgis.gost.ru/fundmetrology/cm/results/1-20319275" TargetMode="External"/><Relationship Id="rId728" Type="http://schemas.openxmlformats.org/officeDocument/2006/relationships/hyperlink" Target="https://fgis.gost.ru/fundmetrology/cm/results/1-32467902" TargetMode="External"/><Relationship Id="rId935" Type="http://schemas.openxmlformats.org/officeDocument/2006/relationships/hyperlink" Target="https://fgis.gost.ru/fundmetrology/cm/results/1-88830617" TargetMode="External"/><Relationship Id="rId1095" Type="http://schemas.openxmlformats.org/officeDocument/2006/relationships/hyperlink" Target="https://fgis.gost.ru/fundmetrology/cm/results/1-356791783" TargetMode="External"/><Relationship Id="rId22" Type="http://schemas.openxmlformats.org/officeDocument/2006/relationships/hyperlink" Target="https://fgis.gost.ru/fundmetrology/cm/results/1-208033169" TargetMode="External"/><Relationship Id="rId64" Type="http://schemas.openxmlformats.org/officeDocument/2006/relationships/hyperlink" Target="https://fgis.gost.ru/fundmetrology/cm/results/1-258871762" TargetMode="External"/><Relationship Id="rId118" Type="http://schemas.openxmlformats.org/officeDocument/2006/relationships/hyperlink" Target="https://fgis.gost.ru/fundmetrology/cm/results/1-258871761" TargetMode="External"/><Relationship Id="rId325" Type="http://schemas.openxmlformats.org/officeDocument/2006/relationships/hyperlink" Target="https://fgis.gost.ru/fundmetrology/cm/results/1-256311285" TargetMode="External"/><Relationship Id="rId367" Type="http://schemas.openxmlformats.org/officeDocument/2006/relationships/hyperlink" Target="https://fgis.gost.ru/fundmetrology/cm/results/1-208033002" TargetMode="External"/><Relationship Id="rId532" Type="http://schemas.openxmlformats.org/officeDocument/2006/relationships/hyperlink" Target="https://fgis.gost.ru/fundmetrology/cm/results/1-336341776" TargetMode="External"/><Relationship Id="rId574" Type="http://schemas.openxmlformats.org/officeDocument/2006/relationships/hyperlink" Target="https://fgis.gost.ru/fundmetrology/cm/results/1-337164285" TargetMode="External"/><Relationship Id="rId977" Type="http://schemas.openxmlformats.org/officeDocument/2006/relationships/hyperlink" Target="https://fgis.gost.ru/fundmetrology/cm/results/1-356791728" TargetMode="External"/><Relationship Id="rId1120" Type="http://schemas.openxmlformats.org/officeDocument/2006/relationships/hyperlink" Target="https://fgis.gost.ru/fundmetrology/cm/results/1-88830738" TargetMode="External"/><Relationship Id="rId171" Type="http://schemas.openxmlformats.org/officeDocument/2006/relationships/hyperlink" Target="https://fgis.gost.ru/fundmetrology/cm/results/1-179500502" TargetMode="External"/><Relationship Id="rId227" Type="http://schemas.openxmlformats.org/officeDocument/2006/relationships/hyperlink" Target="https://fgis.gost.ru/fundmetrology/cm/results/1-256311318" TargetMode="External"/><Relationship Id="rId781" Type="http://schemas.openxmlformats.org/officeDocument/2006/relationships/hyperlink" Target="https://fgis.gost.ru/fundmetrology/cm/results/1-88830750" TargetMode="External"/><Relationship Id="rId837" Type="http://schemas.openxmlformats.org/officeDocument/2006/relationships/hyperlink" Target="https://fgis.gost.ru/fundmetrology/cm/results/1-390885434" TargetMode="External"/><Relationship Id="rId879" Type="http://schemas.openxmlformats.org/officeDocument/2006/relationships/hyperlink" Target="https://fgis.gost.ru/fundmetrology/cm/results/1-259165762" TargetMode="External"/><Relationship Id="rId1022" Type="http://schemas.openxmlformats.org/officeDocument/2006/relationships/hyperlink" Target="https://fgis.gost.ru/fundmetrology/cm/results/1-356791733" TargetMode="External"/><Relationship Id="rId269" Type="http://schemas.openxmlformats.org/officeDocument/2006/relationships/hyperlink" Target="https://fgis.gost.ru/fundmetrology/cm/results/1-244530109" TargetMode="External"/><Relationship Id="rId434" Type="http://schemas.openxmlformats.org/officeDocument/2006/relationships/hyperlink" Target="https://fgis.gost.ru/fundmetrology/cm/results/1-288002640" TargetMode="External"/><Relationship Id="rId476" Type="http://schemas.openxmlformats.org/officeDocument/2006/relationships/hyperlink" Target="https://fgis.gost.ru/fundmetrology/cm/results/1-207651696" TargetMode="External"/><Relationship Id="rId641" Type="http://schemas.openxmlformats.org/officeDocument/2006/relationships/hyperlink" Target="https://fgis.gost.ru/fundmetrology/cm/results/1-158558475" TargetMode="External"/><Relationship Id="rId683" Type="http://schemas.openxmlformats.org/officeDocument/2006/relationships/hyperlink" Target="https://fgis.gost.ru/fundmetrology/cm/results/1-208032963" TargetMode="External"/><Relationship Id="rId739" Type="http://schemas.openxmlformats.org/officeDocument/2006/relationships/hyperlink" Target="https://fgis.gost.ru/fundmetrology/cm/results/1-32467910" TargetMode="External"/><Relationship Id="rId890" Type="http://schemas.openxmlformats.org/officeDocument/2006/relationships/hyperlink" Target="https://fgis.gost.ru/fundmetrology/cm/results/1-259165763" TargetMode="External"/><Relationship Id="rId904" Type="http://schemas.openxmlformats.org/officeDocument/2006/relationships/hyperlink" Target="https://fgis.gost.ru/fundmetrology/cm/results/1-80242399" TargetMode="External"/><Relationship Id="rId1064" Type="http://schemas.openxmlformats.org/officeDocument/2006/relationships/hyperlink" Target="https://fgis.gost.ru/fundmetrology/cm/results/1-356791783" TargetMode="External"/><Relationship Id="rId33" Type="http://schemas.openxmlformats.org/officeDocument/2006/relationships/hyperlink" Target="https://fgis.gost.ru/fundmetrology/cm/results/1-258871757" TargetMode="External"/><Relationship Id="rId129" Type="http://schemas.openxmlformats.org/officeDocument/2006/relationships/hyperlink" Target="https://fgis.gost.ru/fundmetrology/cm/results/1-208032988" TargetMode="External"/><Relationship Id="rId280" Type="http://schemas.openxmlformats.org/officeDocument/2006/relationships/hyperlink" Target="https://fgis.gost.ru/fundmetrology/cm/results/1-208032997" TargetMode="External"/><Relationship Id="rId336" Type="http://schemas.openxmlformats.org/officeDocument/2006/relationships/hyperlink" Target="https://fgis.gost.ru/fundmetrology/cm/results/1-244530108" TargetMode="External"/><Relationship Id="rId501" Type="http://schemas.openxmlformats.org/officeDocument/2006/relationships/hyperlink" Target="https://fgis.gost.ru/fundmetrology/cm/results/1-256311773" TargetMode="External"/><Relationship Id="rId543" Type="http://schemas.openxmlformats.org/officeDocument/2006/relationships/hyperlink" Target="https://fgis.gost.ru/fundmetrology/cm/results/1-337164274" TargetMode="External"/><Relationship Id="rId946" Type="http://schemas.openxmlformats.org/officeDocument/2006/relationships/hyperlink" Target="https://fgis.gost.ru/fundmetrology/cm/results/1-88830657" TargetMode="External"/><Relationship Id="rId988" Type="http://schemas.openxmlformats.org/officeDocument/2006/relationships/hyperlink" Target="https://fgis.gost.ru/fundmetrology/cm/results/1-356791728" TargetMode="External"/><Relationship Id="rId1131" Type="http://schemas.openxmlformats.org/officeDocument/2006/relationships/hyperlink" Target="https://fgis.gost.ru/fundmetrology/cm/results/1-288002619" TargetMode="External"/><Relationship Id="rId75" Type="http://schemas.openxmlformats.org/officeDocument/2006/relationships/hyperlink" Target="https://fgis.gost.ru/fundmetrology/cm/results/1-208033151" TargetMode="External"/><Relationship Id="rId140" Type="http://schemas.openxmlformats.org/officeDocument/2006/relationships/hyperlink" Target="https://fgis.gost.ru/fundmetrology/cm/results/1-258871758" TargetMode="External"/><Relationship Id="rId182" Type="http://schemas.openxmlformats.org/officeDocument/2006/relationships/hyperlink" Target="https://fgis.gost.ru/fundmetrology/cm/results/1-25798621" TargetMode="External"/><Relationship Id="rId378" Type="http://schemas.openxmlformats.org/officeDocument/2006/relationships/hyperlink" Target="https://fgis.gost.ru/fundmetrology/cm/results/1-208032998" TargetMode="External"/><Relationship Id="rId403" Type="http://schemas.openxmlformats.org/officeDocument/2006/relationships/hyperlink" Target="https://fgis.gost.ru/fundmetrology/cm/results/1-158558402" TargetMode="External"/><Relationship Id="rId585" Type="http://schemas.openxmlformats.org/officeDocument/2006/relationships/hyperlink" Target="https://fgis.gost.ru/fundmetrology/cm/results/1-337163621" TargetMode="External"/><Relationship Id="rId750" Type="http://schemas.openxmlformats.org/officeDocument/2006/relationships/hyperlink" Target="https://fgis.gost.ru/fundmetrology/cm/results/1-88830580" TargetMode="External"/><Relationship Id="rId792" Type="http://schemas.openxmlformats.org/officeDocument/2006/relationships/hyperlink" Target="https://fgis.gost.ru/fundmetrology/cm/results/1-32467966" TargetMode="External"/><Relationship Id="rId806" Type="http://schemas.openxmlformats.org/officeDocument/2006/relationships/hyperlink" Target="https://fgis.gost.ru/fundmetrology/cm/results/1-88830756" TargetMode="External"/><Relationship Id="rId848" Type="http://schemas.openxmlformats.org/officeDocument/2006/relationships/hyperlink" Target="https://fgis.gost.ru/fundmetrology/cm/results/1-32467930" TargetMode="External"/><Relationship Id="rId1033" Type="http://schemas.openxmlformats.org/officeDocument/2006/relationships/hyperlink" Target="https://fgis.gost.ru/fundmetrology/cm/results/1-356791733" TargetMode="External"/><Relationship Id="rId6" Type="http://schemas.openxmlformats.org/officeDocument/2006/relationships/hyperlink" Target="https://fgis.gost.ru/fundmetrology/cm/results/1-256311334" TargetMode="External"/><Relationship Id="rId238" Type="http://schemas.openxmlformats.org/officeDocument/2006/relationships/hyperlink" Target="https://fgis.gost.ru/fundmetrology/cm/results/1-244530105" TargetMode="External"/><Relationship Id="rId445" Type="http://schemas.openxmlformats.org/officeDocument/2006/relationships/hyperlink" Target="https://fgis.gost.ru/fundmetrology/cm/results/1-334719765" TargetMode="External"/><Relationship Id="rId487" Type="http://schemas.openxmlformats.org/officeDocument/2006/relationships/hyperlink" Target="https://fgis.gost.ru/fundmetrology/cm/results/1-335125756" TargetMode="External"/><Relationship Id="rId610" Type="http://schemas.openxmlformats.org/officeDocument/2006/relationships/hyperlink" Target="https://fgis.gost.ru/fundmetrology/cm/results/1-158558480" TargetMode="External"/><Relationship Id="rId652" Type="http://schemas.openxmlformats.org/officeDocument/2006/relationships/hyperlink" Target="https://fgis.gost.ru/fundmetrology/cm/results/2-177330651" TargetMode="External"/><Relationship Id="rId694" Type="http://schemas.openxmlformats.org/officeDocument/2006/relationships/hyperlink" Target="https://fgis.gost.ru/fundmetrology/cm/results/1-396720635" TargetMode="External"/><Relationship Id="rId708" Type="http://schemas.openxmlformats.org/officeDocument/2006/relationships/hyperlink" Target="https://fgis.gost.ru/fundmetrology/cm/results/1-256311794" TargetMode="External"/><Relationship Id="rId915" Type="http://schemas.openxmlformats.org/officeDocument/2006/relationships/hyperlink" Target="https://fgis.gost.ru/fundmetrology/cm/results/1-259165763" TargetMode="External"/><Relationship Id="rId1075" Type="http://schemas.openxmlformats.org/officeDocument/2006/relationships/hyperlink" Target="https://fgis.gost.ru/fundmetrology/cm/results/1-179500478" TargetMode="External"/><Relationship Id="rId291" Type="http://schemas.openxmlformats.org/officeDocument/2006/relationships/hyperlink" Target="https://fgis.gost.ru/fundmetrology/cm/results/1-25798631" TargetMode="External"/><Relationship Id="rId305" Type="http://schemas.openxmlformats.org/officeDocument/2006/relationships/hyperlink" Target="https://fgis.gost.ru/fundmetrology/cm/results/1-256311292" TargetMode="External"/><Relationship Id="rId347" Type="http://schemas.openxmlformats.org/officeDocument/2006/relationships/hyperlink" Target="https://fgis.gost.ru/fundmetrology/cm/results/1-256311276" TargetMode="External"/><Relationship Id="rId512" Type="http://schemas.openxmlformats.org/officeDocument/2006/relationships/hyperlink" Target="https://fgis.gost.ru/fundmetrology/cm/results/1-336341779" TargetMode="External"/><Relationship Id="rId957" Type="http://schemas.openxmlformats.org/officeDocument/2006/relationships/hyperlink" Target="https://fgis.gost.ru/fundmetrology/cm/results/1-356791735" TargetMode="External"/><Relationship Id="rId999" Type="http://schemas.openxmlformats.org/officeDocument/2006/relationships/hyperlink" Target="https://fgis.gost.ru/fundmetrology/cm/results/1-356791732" TargetMode="External"/><Relationship Id="rId1100" Type="http://schemas.openxmlformats.org/officeDocument/2006/relationships/hyperlink" Target="https://fgis.gost.ru/fundmetrology/cm/results/1-356791782" TargetMode="External"/><Relationship Id="rId44" Type="http://schemas.openxmlformats.org/officeDocument/2006/relationships/hyperlink" Target="https://fgis.gost.ru/fundmetrology/cm/results/1-208033159" TargetMode="External"/><Relationship Id="rId86" Type="http://schemas.openxmlformats.org/officeDocument/2006/relationships/hyperlink" Target="https://fgis.gost.ru/fundmetrology/cm/results/1-258871764" TargetMode="External"/><Relationship Id="rId151" Type="http://schemas.openxmlformats.org/officeDocument/2006/relationships/hyperlink" Target="https://fgis.gost.ru/fundmetrology/cm/results/1-208033165" TargetMode="External"/><Relationship Id="rId389" Type="http://schemas.openxmlformats.org/officeDocument/2006/relationships/hyperlink" Target="https://fgis.gost.ru/fundmetrology/cm/results/1-158558431" TargetMode="External"/><Relationship Id="rId554" Type="http://schemas.openxmlformats.org/officeDocument/2006/relationships/hyperlink" Target="https://fgis.gost.ru/fundmetrology/cm/results/1-337164263" TargetMode="External"/><Relationship Id="rId596" Type="http://schemas.openxmlformats.org/officeDocument/2006/relationships/hyperlink" Target="https://fgis.gost.ru/fundmetrology/cm/results/1-337163612" TargetMode="External"/><Relationship Id="rId761" Type="http://schemas.openxmlformats.org/officeDocument/2006/relationships/hyperlink" Target="https://fgis.gost.ru/fundmetrology/cm/results/1-32467946" TargetMode="External"/><Relationship Id="rId817" Type="http://schemas.openxmlformats.org/officeDocument/2006/relationships/hyperlink" Target="https://fgis.gost.ru/fundmetrology/cm/results/1-32467984" TargetMode="External"/><Relationship Id="rId859" Type="http://schemas.openxmlformats.org/officeDocument/2006/relationships/hyperlink" Target="https://fgis.gost.ru/fundmetrology/cm/results/1-88830531" TargetMode="External"/><Relationship Id="rId1002" Type="http://schemas.openxmlformats.org/officeDocument/2006/relationships/hyperlink" Target="https://fgis.gost.ru/fundmetrology/cm/results/1-88830725" TargetMode="External"/><Relationship Id="rId193" Type="http://schemas.openxmlformats.org/officeDocument/2006/relationships/hyperlink" Target="https://fgis.gost.ru/fundmetrology/cm/results/1-244530105" TargetMode="External"/><Relationship Id="rId207" Type="http://schemas.openxmlformats.org/officeDocument/2006/relationships/hyperlink" Target="https://fgis.gost.ru/fundmetrology/cm/results/1-256311300" TargetMode="External"/><Relationship Id="rId249" Type="http://schemas.openxmlformats.org/officeDocument/2006/relationships/hyperlink" Target="https://fgis.gost.ru/fundmetrology/cm/results/1-244530109" TargetMode="External"/><Relationship Id="rId414" Type="http://schemas.openxmlformats.org/officeDocument/2006/relationships/hyperlink" Target="https://fgis.gost.ru/fundmetrology/cm/results/1-169638079" TargetMode="External"/><Relationship Id="rId456" Type="http://schemas.openxmlformats.org/officeDocument/2006/relationships/hyperlink" Target="https://fgis.gost.ru/fundmetrology/cm/results/1-286200690" TargetMode="External"/><Relationship Id="rId498" Type="http://schemas.openxmlformats.org/officeDocument/2006/relationships/hyperlink" Target="https://fgis.gost.ru/fundmetrology/cm/results/1-336341787" TargetMode="External"/><Relationship Id="rId621" Type="http://schemas.openxmlformats.org/officeDocument/2006/relationships/hyperlink" Target="https://fgis.gost.ru/fundmetrology/cm/results/2-177330662" TargetMode="External"/><Relationship Id="rId663" Type="http://schemas.openxmlformats.org/officeDocument/2006/relationships/hyperlink" Target="https://fgis.gost.ru/fundmetrology/cm/results/1-32467879" TargetMode="External"/><Relationship Id="rId870" Type="http://schemas.openxmlformats.org/officeDocument/2006/relationships/hyperlink" Target="https://fgis.gost.ru/fundmetrology/cm/results/1-32467942" TargetMode="External"/><Relationship Id="rId1044" Type="http://schemas.openxmlformats.org/officeDocument/2006/relationships/hyperlink" Target="https://fgis.gost.ru/fundmetrology/cm/results/1-356791736" TargetMode="External"/><Relationship Id="rId1086" Type="http://schemas.openxmlformats.org/officeDocument/2006/relationships/hyperlink" Target="https://fgis.gost.ru/fundmetrology/cm/results/1-356791783" TargetMode="External"/><Relationship Id="rId13" Type="http://schemas.openxmlformats.org/officeDocument/2006/relationships/hyperlink" Target="https://fgis.gost.ru/fundmetrology/cm/results/1-208033157" TargetMode="External"/><Relationship Id="rId109" Type="http://schemas.openxmlformats.org/officeDocument/2006/relationships/hyperlink" Target="https://fgis.gost.ru/fundmetrology/cm/results/1-258871766" TargetMode="External"/><Relationship Id="rId260" Type="http://schemas.openxmlformats.org/officeDocument/2006/relationships/hyperlink" Target="https://fgis.gost.ru/fundmetrology/cm/results/1-256311323" TargetMode="External"/><Relationship Id="rId316" Type="http://schemas.openxmlformats.org/officeDocument/2006/relationships/hyperlink" Target="https://fgis.gost.ru/fundmetrology/cm/results/1-244530108" TargetMode="External"/><Relationship Id="rId523" Type="http://schemas.openxmlformats.org/officeDocument/2006/relationships/hyperlink" Target="https://fgis.gost.ru/fundmetrology/cm/results/1-336341798" TargetMode="External"/><Relationship Id="rId719" Type="http://schemas.openxmlformats.org/officeDocument/2006/relationships/hyperlink" Target="https://fgis.gost.ru/fundmetrology/cm/results/1-88830603" TargetMode="External"/><Relationship Id="rId926" Type="http://schemas.openxmlformats.org/officeDocument/2006/relationships/hyperlink" Target="https://fgis.gost.ru/fundmetrology/cm/results/1-88830728" TargetMode="External"/><Relationship Id="rId968" Type="http://schemas.openxmlformats.org/officeDocument/2006/relationships/hyperlink" Target="https://fgis.gost.ru/fundmetrology/cm/results/1-356791735" TargetMode="External"/><Relationship Id="rId1111" Type="http://schemas.openxmlformats.org/officeDocument/2006/relationships/hyperlink" Target="https://fgis.gost.ru/fundmetrology/cm/results/1-88830737" TargetMode="External"/><Relationship Id="rId55" Type="http://schemas.openxmlformats.org/officeDocument/2006/relationships/hyperlink" Target="https://fgis.gost.ru/fundmetrology/cm/results/1-208033150" TargetMode="External"/><Relationship Id="rId97" Type="http://schemas.openxmlformats.org/officeDocument/2006/relationships/hyperlink" Target="https://fgis.gost.ru/fundmetrology/cm/results/1-208033141" TargetMode="External"/><Relationship Id="rId120" Type="http://schemas.openxmlformats.org/officeDocument/2006/relationships/hyperlink" Target="https://fgis.gost.ru/fundmetrology/cm/results/1-258871766" TargetMode="External"/><Relationship Id="rId358" Type="http://schemas.openxmlformats.org/officeDocument/2006/relationships/hyperlink" Target="https://fgis.gost.ru/fundmetrology/cm/results/1-244530107" TargetMode="External"/><Relationship Id="rId565" Type="http://schemas.openxmlformats.org/officeDocument/2006/relationships/hyperlink" Target="https://fgis.gost.ru/fundmetrology/cm/results/1-337164276" TargetMode="External"/><Relationship Id="rId730" Type="http://schemas.openxmlformats.org/officeDocument/2006/relationships/hyperlink" Target="https://fgis.gost.ru/fundmetrology/cm/results/1-32467903" TargetMode="External"/><Relationship Id="rId772" Type="http://schemas.openxmlformats.org/officeDocument/2006/relationships/hyperlink" Target="https://fgis.gost.ru/fundmetrology/cm/results/1-88830592" TargetMode="External"/><Relationship Id="rId828" Type="http://schemas.openxmlformats.org/officeDocument/2006/relationships/hyperlink" Target="https://fgis.gost.ru/fundmetrology/cm/results/1-390885434" TargetMode="External"/><Relationship Id="rId1013" Type="http://schemas.openxmlformats.org/officeDocument/2006/relationships/hyperlink" Target="https://fgis.gost.ru/fundmetrology/cm/results/1-356791732" TargetMode="External"/><Relationship Id="rId162" Type="http://schemas.openxmlformats.org/officeDocument/2006/relationships/hyperlink" Target="https://fgis.gost.ru/fundmetrology/cm/results/1-179500507" TargetMode="External"/><Relationship Id="rId218" Type="http://schemas.openxmlformats.org/officeDocument/2006/relationships/hyperlink" Target="https://fgis.gost.ru/fundmetrology/cm/results/1-244530105" TargetMode="External"/><Relationship Id="rId425" Type="http://schemas.openxmlformats.org/officeDocument/2006/relationships/hyperlink" Target="https://fgis.gost.ru/fundmetrology/cm/results/1-334719767" TargetMode="External"/><Relationship Id="rId467" Type="http://schemas.openxmlformats.org/officeDocument/2006/relationships/hyperlink" Target="https://fgis.gost.ru/fundmetrology/cm/results/1-335125778" TargetMode="External"/><Relationship Id="rId632" Type="http://schemas.openxmlformats.org/officeDocument/2006/relationships/hyperlink" Target="https://fgis.gost.ru/fundmetrology/cm/results/1-158558479" TargetMode="External"/><Relationship Id="rId1055" Type="http://schemas.openxmlformats.org/officeDocument/2006/relationships/hyperlink" Target="https://fgis.gost.ru/fundmetrology/cm/results/1-356791736" TargetMode="External"/><Relationship Id="rId1097" Type="http://schemas.openxmlformats.org/officeDocument/2006/relationships/hyperlink" Target="https://fgis.gost.ru/fundmetrology/cm/results/1-179500482" TargetMode="External"/><Relationship Id="rId271" Type="http://schemas.openxmlformats.org/officeDocument/2006/relationships/hyperlink" Target="https://fgis.gost.ru/fundmetrology/cm/results/1-244530106" TargetMode="External"/><Relationship Id="rId674" Type="http://schemas.openxmlformats.org/officeDocument/2006/relationships/hyperlink" Target="https://fgis.gost.ru/fundmetrology/cm/results/1-158558631" TargetMode="External"/><Relationship Id="rId881" Type="http://schemas.openxmlformats.org/officeDocument/2006/relationships/hyperlink" Target="https://fgis.gost.ru/fundmetrology/cm/results/1-259165762" TargetMode="External"/><Relationship Id="rId937" Type="http://schemas.openxmlformats.org/officeDocument/2006/relationships/hyperlink" Target="https://fgis.gost.ru/fundmetrology/cm/results/1-437700662" TargetMode="External"/><Relationship Id="rId979" Type="http://schemas.openxmlformats.org/officeDocument/2006/relationships/hyperlink" Target="https://fgis.gost.ru/fundmetrology/cm/results/1-32467875" TargetMode="External"/><Relationship Id="rId1122" Type="http://schemas.openxmlformats.org/officeDocument/2006/relationships/hyperlink" Target="https://fgis.gost.ru/fundmetrology/cm/results/1-259165761" TargetMode="External"/><Relationship Id="rId24" Type="http://schemas.openxmlformats.org/officeDocument/2006/relationships/hyperlink" Target="https://fgis.gost.ru/fundmetrology/cm/results/1-256311832" TargetMode="External"/><Relationship Id="rId66" Type="http://schemas.openxmlformats.org/officeDocument/2006/relationships/hyperlink" Target="https://fgis.gost.ru/fundmetrology/cm/results/1-258871760" TargetMode="External"/><Relationship Id="rId131" Type="http://schemas.openxmlformats.org/officeDocument/2006/relationships/hyperlink" Target="https://fgis.gost.ru/fundmetrology/cm/results/1-25798608" TargetMode="External"/><Relationship Id="rId327" Type="http://schemas.openxmlformats.org/officeDocument/2006/relationships/hyperlink" Target="https://fgis.gost.ru/fundmetrology/cm/results/1-256311293" TargetMode="External"/><Relationship Id="rId369" Type="http://schemas.openxmlformats.org/officeDocument/2006/relationships/hyperlink" Target="https://fgis.gost.ru/fundmetrology/cm/results/1-208032990" TargetMode="External"/><Relationship Id="rId534" Type="http://schemas.openxmlformats.org/officeDocument/2006/relationships/hyperlink" Target="https://fgis.gost.ru/fundmetrology/cm/results/1-336341802" TargetMode="External"/><Relationship Id="rId576" Type="http://schemas.openxmlformats.org/officeDocument/2006/relationships/hyperlink" Target="https://fgis.gost.ru/fundmetrology/cm/results/1-337164288" TargetMode="External"/><Relationship Id="rId741" Type="http://schemas.openxmlformats.org/officeDocument/2006/relationships/hyperlink" Target="https://fgis.gost.ru/fundmetrology/cm/results/1-88830576" TargetMode="External"/><Relationship Id="rId783" Type="http://schemas.openxmlformats.org/officeDocument/2006/relationships/hyperlink" Target="https://fgis.gost.ru/fundmetrology/cm/results/1-32467965" TargetMode="External"/><Relationship Id="rId839" Type="http://schemas.openxmlformats.org/officeDocument/2006/relationships/hyperlink" Target="https://fgis.gost.ru/fundmetrology/cm/results/1-32467927" TargetMode="External"/><Relationship Id="rId990" Type="http://schemas.openxmlformats.org/officeDocument/2006/relationships/hyperlink" Target="https://fgis.gost.ru/fundmetrology/cm/results/1-356791731" TargetMode="External"/><Relationship Id="rId173" Type="http://schemas.openxmlformats.org/officeDocument/2006/relationships/hyperlink" Target="https://fgis.gost.ru/fundmetrology/cm/results/1-179500508" TargetMode="External"/><Relationship Id="rId229" Type="http://schemas.openxmlformats.org/officeDocument/2006/relationships/hyperlink" Target="https://fgis.gost.ru/fundmetrology/cm/results/1-244530109" TargetMode="External"/><Relationship Id="rId380" Type="http://schemas.openxmlformats.org/officeDocument/2006/relationships/hyperlink" Target="https://fgis.gost.ru/fundmetrology/cm/results/1-158558428" TargetMode="External"/><Relationship Id="rId436" Type="http://schemas.openxmlformats.org/officeDocument/2006/relationships/hyperlink" Target="https://fgis.gost.ru/fundmetrology/cm/results/1-304290182" TargetMode="External"/><Relationship Id="rId601" Type="http://schemas.openxmlformats.org/officeDocument/2006/relationships/hyperlink" Target="https://fgis.gost.ru/fundmetrology/cm/results/1-337163607" TargetMode="External"/><Relationship Id="rId643" Type="http://schemas.openxmlformats.org/officeDocument/2006/relationships/hyperlink" Target="https://fgis.gost.ru/fundmetrology/cm/results/1-158558482" TargetMode="External"/><Relationship Id="rId1024" Type="http://schemas.openxmlformats.org/officeDocument/2006/relationships/hyperlink" Target="https://fgis.gost.ru/fundmetrology/cm/results/1-356791733" TargetMode="External"/><Relationship Id="rId1066" Type="http://schemas.openxmlformats.org/officeDocument/2006/relationships/hyperlink" Target="https://fgis.gost.ru/fundmetrology/cm/results/1-169638046" TargetMode="External"/><Relationship Id="rId240" Type="http://schemas.openxmlformats.org/officeDocument/2006/relationships/hyperlink" Target="https://fgis.gost.ru/fundmetrology/cm/results/1-256311316" TargetMode="External"/><Relationship Id="rId478" Type="http://schemas.openxmlformats.org/officeDocument/2006/relationships/hyperlink" Target="https://fgis.gost.ru/fundmetrology/cm/results/1-288002664" TargetMode="External"/><Relationship Id="rId685" Type="http://schemas.openxmlformats.org/officeDocument/2006/relationships/hyperlink" Target="https://fgis.gost.ru/fundmetrology/cm/results/1-88830595" TargetMode="External"/><Relationship Id="rId850" Type="http://schemas.openxmlformats.org/officeDocument/2006/relationships/hyperlink" Target="https://fgis.gost.ru/fundmetrology/cm/results/1-88830528" TargetMode="External"/><Relationship Id="rId892" Type="http://schemas.openxmlformats.org/officeDocument/2006/relationships/hyperlink" Target="https://fgis.gost.ru/fundmetrology/cm/results/1-80242395" TargetMode="External"/><Relationship Id="rId906" Type="http://schemas.openxmlformats.org/officeDocument/2006/relationships/hyperlink" Target="https://fgis.gost.ru/fundmetrology/cm/results/1-259165763" TargetMode="External"/><Relationship Id="rId948" Type="http://schemas.openxmlformats.org/officeDocument/2006/relationships/hyperlink" Target="https://fgis.gost.ru/fundmetrology/cm/results/1-88830732" TargetMode="External"/><Relationship Id="rId1133" Type="http://schemas.openxmlformats.org/officeDocument/2006/relationships/hyperlink" Target="https://fgis.gost.ru/fundmetrology/cm/results/1-288002619" TargetMode="External"/><Relationship Id="rId35" Type="http://schemas.openxmlformats.org/officeDocument/2006/relationships/hyperlink" Target="https://fgis.gost.ru/fundmetrology/cm/results/1-256311832" TargetMode="External"/><Relationship Id="rId77" Type="http://schemas.openxmlformats.org/officeDocument/2006/relationships/hyperlink" Target="https://fgis.gost.ru/fundmetrology/cm/results/1-208033167" TargetMode="External"/><Relationship Id="rId100" Type="http://schemas.openxmlformats.org/officeDocument/2006/relationships/hyperlink" Target="https://fgis.gost.ru/fundmetrology/cm/results/1-208033144" TargetMode="External"/><Relationship Id="rId282" Type="http://schemas.openxmlformats.org/officeDocument/2006/relationships/hyperlink" Target="https://fgis.gost.ru/fundmetrology/cm/results/1-208032987" TargetMode="External"/><Relationship Id="rId338" Type="http://schemas.openxmlformats.org/officeDocument/2006/relationships/hyperlink" Target="https://fgis.gost.ru/fundmetrology/cm/results/1-244530107" TargetMode="External"/><Relationship Id="rId503" Type="http://schemas.openxmlformats.org/officeDocument/2006/relationships/hyperlink" Target="https://fgis.gost.ru/fundmetrology/cm/results/1-336341797" TargetMode="External"/><Relationship Id="rId545" Type="http://schemas.openxmlformats.org/officeDocument/2006/relationships/hyperlink" Target="https://fgis.gost.ru/fundmetrology/cm/results/1-179500523" TargetMode="External"/><Relationship Id="rId587" Type="http://schemas.openxmlformats.org/officeDocument/2006/relationships/hyperlink" Target="https://fgis.gost.ru/fundmetrology/cm/results/1-207651689" TargetMode="External"/><Relationship Id="rId710" Type="http://schemas.openxmlformats.org/officeDocument/2006/relationships/hyperlink" Target="https://fgis.gost.ru/fundmetrology/cm/results/1-88830562" TargetMode="External"/><Relationship Id="rId752" Type="http://schemas.openxmlformats.org/officeDocument/2006/relationships/hyperlink" Target="https://fgis.gost.ru/fundmetrology/cm/results/1-32467920" TargetMode="External"/><Relationship Id="rId808" Type="http://schemas.openxmlformats.org/officeDocument/2006/relationships/hyperlink" Target="https://fgis.gost.ru/fundmetrology/cm/results/1-32467977" TargetMode="External"/><Relationship Id="rId8" Type="http://schemas.openxmlformats.org/officeDocument/2006/relationships/hyperlink" Target="https://fgis.gost.ru/fundmetrology/cm/results/2-167528366" TargetMode="External"/><Relationship Id="rId142" Type="http://schemas.openxmlformats.org/officeDocument/2006/relationships/hyperlink" Target="https://fgis.gost.ru/fundmetrology/cm/results/1-256311826" TargetMode="External"/><Relationship Id="rId184" Type="http://schemas.openxmlformats.org/officeDocument/2006/relationships/hyperlink" Target="https://fgis.gost.ru/fundmetrology/cm/results/1-179500505" TargetMode="External"/><Relationship Id="rId391" Type="http://schemas.openxmlformats.org/officeDocument/2006/relationships/hyperlink" Target="https://fgis.gost.ru/fundmetrology/cm/results/1-158558426" TargetMode="External"/><Relationship Id="rId405" Type="http://schemas.openxmlformats.org/officeDocument/2006/relationships/hyperlink" Target="https://fgis.gost.ru/fundmetrology/cm/results/1-158558445" TargetMode="External"/><Relationship Id="rId447" Type="http://schemas.openxmlformats.org/officeDocument/2006/relationships/hyperlink" Target="https://fgis.gost.ru/fundmetrology/cm/results/1-334719758" TargetMode="External"/><Relationship Id="rId612" Type="http://schemas.openxmlformats.org/officeDocument/2006/relationships/hyperlink" Target="https://fgis.gost.ru/fundmetrology/cm/results/2-177330670" TargetMode="External"/><Relationship Id="rId794" Type="http://schemas.openxmlformats.org/officeDocument/2006/relationships/hyperlink" Target="https://fgis.gost.ru/fundmetrology/cm/results/1-88830752" TargetMode="External"/><Relationship Id="rId1035" Type="http://schemas.openxmlformats.org/officeDocument/2006/relationships/hyperlink" Target="https://fgis.gost.ru/fundmetrology/cm/results/1-88830742" TargetMode="External"/><Relationship Id="rId1077" Type="http://schemas.openxmlformats.org/officeDocument/2006/relationships/hyperlink" Target="https://fgis.gost.ru/fundmetrology/cm/results/1-88830645" TargetMode="External"/><Relationship Id="rId251" Type="http://schemas.openxmlformats.org/officeDocument/2006/relationships/hyperlink" Target="https://fgis.gost.ru/fundmetrology/cm/results/1-244530106" TargetMode="External"/><Relationship Id="rId489" Type="http://schemas.openxmlformats.org/officeDocument/2006/relationships/hyperlink" Target="https://fgis.gost.ru/fundmetrology/cm/results/1-338189033" TargetMode="External"/><Relationship Id="rId654" Type="http://schemas.openxmlformats.org/officeDocument/2006/relationships/hyperlink" Target="https://fgis.gost.ru/fundmetrology/cm/results/1-383156896" TargetMode="External"/><Relationship Id="rId696" Type="http://schemas.openxmlformats.org/officeDocument/2006/relationships/hyperlink" Target="https://fgis.gost.ru/fundmetrology/cm/results/1-169638061" TargetMode="External"/><Relationship Id="rId861" Type="http://schemas.openxmlformats.org/officeDocument/2006/relationships/hyperlink" Target="https://fgis.gost.ru/fundmetrology/cm/results/1-32467937" TargetMode="External"/><Relationship Id="rId917" Type="http://schemas.openxmlformats.org/officeDocument/2006/relationships/hyperlink" Target="https://fgis.gost.ru/fundmetrology/cm/results/1-88830724" TargetMode="External"/><Relationship Id="rId959" Type="http://schemas.openxmlformats.org/officeDocument/2006/relationships/hyperlink" Target="https://fgis.gost.ru/fundmetrology/cm/results/1-356791735" TargetMode="External"/><Relationship Id="rId1102" Type="http://schemas.openxmlformats.org/officeDocument/2006/relationships/hyperlink" Target="https://fgis.gost.ru/fundmetrology/cm/results/1-356791782" TargetMode="External"/><Relationship Id="rId46" Type="http://schemas.openxmlformats.org/officeDocument/2006/relationships/hyperlink" Target="https://fgis.gost.ru/fundmetrology/cm/results/1-256311832" TargetMode="External"/><Relationship Id="rId293" Type="http://schemas.openxmlformats.org/officeDocument/2006/relationships/hyperlink" Target="https://fgis.gost.ru/fundmetrology/cm/results/1-244530107" TargetMode="External"/><Relationship Id="rId307" Type="http://schemas.openxmlformats.org/officeDocument/2006/relationships/hyperlink" Target="https://fgis.gost.ru/fundmetrology/cm/results/1-256311295" TargetMode="External"/><Relationship Id="rId349" Type="http://schemas.openxmlformats.org/officeDocument/2006/relationships/hyperlink" Target="https://fgis.gost.ru/fundmetrology/cm/results/1-244530104" TargetMode="External"/><Relationship Id="rId514" Type="http://schemas.openxmlformats.org/officeDocument/2006/relationships/hyperlink" Target="https://fgis.gost.ru/fundmetrology/cm/results/1-336341804" TargetMode="External"/><Relationship Id="rId556" Type="http://schemas.openxmlformats.org/officeDocument/2006/relationships/hyperlink" Target="https://fgis.gost.ru/fundmetrology/cm/results/1-337164260" TargetMode="External"/><Relationship Id="rId721" Type="http://schemas.openxmlformats.org/officeDocument/2006/relationships/hyperlink" Target="https://fgis.gost.ru/fundmetrology/cm/results/1-88830620" TargetMode="External"/><Relationship Id="rId763" Type="http://schemas.openxmlformats.org/officeDocument/2006/relationships/hyperlink" Target="https://fgis.gost.ru/fundmetrology/cm/results/1-88830825" TargetMode="External"/><Relationship Id="rId88" Type="http://schemas.openxmlformats.org/officeDocument/2006/relationships/hyperlink" Target="https://fgis.gost.ru/fundmetrology/cm/results/1-258871761" TargetMode="External"/><Relationship Id="rId111" Type="http://schemas.openxmlformats.org/officeDocument/2006/relationships/hyperlink" Target="https://fgis.gost.ru/fundmetrology/cm/results/1-208033135" TargetMode="External"/><Relationship Id="rId153" Type="http://schemas.openxmlformats.org/officeDocument/2006/relationships/hyperlink" Target="https://fgis.gost.ru/fundmetrology/cm/results/1-25798611" TargetMode="External"/><Relationship Id="rId195" Type="http://schemas.openxmlformats.org/officeDocument/2006/relationships/hyperlink" Target="https://fgis.gost.ru/fundmetrology/cm/results/1-256311313" TargetMode="External"/><Relationship Id="rId209" Type="http://schemas.openxmlformats.org/officeDocument/2006/relationships/hyperlink" Target="https://fgis.gost.ru/fundmetrology/cm/results/1-244530109" TargetMode="External"/><Relationship Id="rId360" Type="http://schemas.openxmlformats.org/officeDocument/2006/relationships/hyperlink" Target="https://fgis.gost.ru/fundmetrology/cm/results/1-256311265" TargetMode="External"/><Relationship Id="rId416" Type="http://schemas.openxmlformats.org/officeDocument/2006/relationships/hyperlink" Target="https://fgis.gost.ru/fundmetrology/cm/results/1-169638074" TargetMode="External"/><Relationship Id="rId598" Type="http://schemas.openxmlformats.org/officeDocument/2006/relationships/hyperlink" Target="https://fgis.gost.ru/fundmetrology/cm/results/1-337163610" TargetMode="External"/><Relationship Id="rId819" Type="http://schemas.openxmlformats.org/officeDocument/2006/relationships/hyperlink" Target="https://fgis.gost.ru/fundmetrology/cm/results/1-32467985" TargetMode="External"/><Relationship Id="rId970" Type="http://schemas.openxmlformats.org/officeDocument/2006/relationships/hyperlink" Target="https://fgis.gost.ru/fundmetrology/cm/results/1-88830660" TargetMode="External"/><Relationship Id="rId1004" Type="http://schemas.openxmlformats.org/officeDocument/2006/relationships/hyperlink" Target="https://fgis.gost.ru/fundmetrology/cm/results/1-356791732" TargetMode="External"/><Relationship Id="rId1046" Type="http://schemas.openxmlformats.org/officeDocument/2006/relationships/hyperlink" Target="https://fgis.gost.ru/fundmetrology/cm/results/1-356791736" TargetMode="External"/><Relationship Id="rId220" Type="http://schemas.openxmlformats.org/officeDocument/2006/relationships/hyperlink" Target="https://fgis.gost.ru/fundmetrology/cm/results/1-256311330" TargetMode="External"/><Relationship Id="rId458" Type="http://schemas.openxmlformats.org/officeDocument/2006/relationships/hyperlink" Target="https://fgis.gost.ru/fundmetrology/cm/results/1-335125770" TargetMode="External"/><Relationship Id="rId623" Type="http://schemas.openxmlformats.org/officeDocument/2006/relationships/hyperlink" Target="https://fgis.gost.ru/fundmetrology/cm/results/2-177330660" TargetMode="External"/><Relationship Id="rId665" Type="http://schemas.openxmlformats.org/officeDocument/2006/relationships/hyperlink" Target="https://fgis.gost.ru/fundmetrology/cm/results/2-177330644" TargetMode="External"/><Relationship Id="rId830" Type="http://schemas.openxmlformats.org/officeDocument/2006/relationships/hyperlink" Target="https://fgis.gost.ru/fundmetrology/cm/results/1-32467924" TargetMode="External"/><Relationship Id="rId872" Type="http://schemas.openxmlformats.org/officeDocument/2006/relationships/hyperlink" Target="https://fgis.gost.ru/fundmetrology/cm/results/1-80242398" TargetMode="External"/><Relationship Id="rId928" Type="http://schemas.openxmlformats.org/officeDocument/2006/relationships/hyperlink" Target="https://fgis.gost.ru/fundmetrology/cm/results/1-437700664" TargetMode="External"/><Relationship Id="rId1088" Type="http://schemas.openxmlformats.org/officeDocument/2006/relationships/hyperlink" Target="https://fgis.gost.ru/fundmetrology/cm/results/1-179500495" TargetMode="External"/><Relationship Id="rId15" Type="http://schemas.openxmlformats.org/officeDocument/2006/relationships/hyperlink" Target="https://fgis.gost.ru/fundmetrology/cm/results/1-25798593" TargetMode="External"/><Relationship Id="rId57" Type="http://schemas.openxmlformats.org/officeDocument/2006/relationships/hyperlink" Target="https://fgis.gost.ru/fundmetrology/cm/results/1-208033155" TargetMode="External"/><Relationship Id="rId262" Type="http://schemas.openxmlformats.org/officeDocument/2006/relationships/hyperlink" Target="https://fgis.gost.ru/fundmetrology/cm/results/1-256311328" TargetMode="External"/><Relationship Id="rId318" Type="http://schemas.openxmlformats.org/officeDocument/2006/relationships/hyperlink" Target="https://fgis.gost.ru/fundmetrology/cm/results/1-244530107" TargetMode="External"/><Relationship Id="rId525" Type="http://schemas.openxmlformats.org/officeDocument/2006/relationships/hyperlink" Target="https://fgis.gost.ru/fundmetrology/cm/results/1-256311772" TargetMode="External"/><Relationship Id="rId567" Type="http://schemas.openxmlformats.org/officeDocument/2006/relationships/hyperlink" Target="https://fgis.gost.ru/fundmetrology/cm/results/1-256311771" TargetMode="External"/><Relationship Id="rId732" Type="http://schemas.openxmlformats.org/officeDocument/2006/relationships/hyperlink" Target="https://fgis.gost.ru/fundmetrology/cm/results/1-88830819" TargetMode="External"/><Relationship Id="rId1113" Type="http://schemas.openxmlformats.org/officeDocument/2006/relationships/hyperlink" Target="https://fgis.gost.ru/fundmetrology/cm/results/1-356791729" TargetMode="External"/><Relationship Id="rId99" Type="http://schemas.openxmlformats.org/officeDocument/2006/relationships/hyperlink" Target="https://fgis.gost.ru/fundmetrology/cm/results/1-258871764" TargetMode="External"/><Relationship Id="rId122" Type="http://schemas.openxmlformats.org/officeDocument/2006/relationships/hyperlink" Target="https://fgis.gost.ru/fundmetrology/cm/results/1-208033147" TargetMode="External"/><Relationship Id="rId164" Type="http://schemas.openxmlformats.org/officeDocument/2006/relationships/hyperlink" Target="https://fgis.gost.ru/fundmetrology/cm/results/1-25798616" TargetMode="External"/><Relationship Id="rId371" Type="http://schemas.openxmlformats.org/officeDocument/2006/relationships/hyperlink" Target="https://fgis.gost.ru/fundmetrology/cm/results/1-208033012" TargetMode="External"/><Relationship Id="rId774" Type="http://schemas.openxmlformats.org/officeDocument/2006/relationships/hyperlink" Target="https://fgis.gost.ru/fundmetrology/cm/results/1-32467955" TargetMode="External"/><Relationship Id="rId981" Type="http://schemas.openxmlformats.org/officeDocument/2006/relationships/hyperlink" Target="https://fgis.gost.ru/fundmetrology/cm/results/1-88830663" TargetMode="External"/><Relationship Id="rId1015" Type="http://schemas.openxmlformats.org/officeDocument/2006/relationships/hyperlink" Target="https://fgis.gost.ru/fundmetrology/cm/results/1-356791732" TargetMode="External"/><Relationship Id="rId1057" Type="http://schemas.openxmlformats.org/officeDocument/2006/relationships/hyperlink" Target="https://fgis.gost.ru/fundmetrology/cm/results/1-179500488" TargetMode="External"/><Relationship Id="rId427" Type="http://schemas.openxmlformats.org/officeDocument/2006/relationships/hyperlink" Target="https://fgis.gost.ru/fundmetrology/cm/results/1-334719764" TargetMode="External"/><Relationship Id="rId469" Type="http://schemas.openxmlformats.org/officeDocument/2006/relationships/hyperlink" Target="https://fgis.gost.ru/fundmetrology/cm/results/1-335125763" TargetMode="External"/><Relationship Id="rId634" Type="http://schemas.openxmlformats.org/officeDocument/2006/relationships/hyperlink" Target="https://fgis.gost.ru/fundmetrology/cm/results/2-177330657" TargetMode="External"/><Relationship Id="rId676" Type="http://schemas.openxmlformats.org/officeDocument/2006/relationships/hyperlink" Target="https://fgis.gost.ru/fundmetrology/cm/results/1-88830607" TargetMode="External"/><Relationship Id="rId841" Type="http://schemas.openxmlformats.org/officeDocument/2006/relationships/hyperlink" Target="https://fgis.gost.ru/fundmetrology/cm/results/1-390885434" TargetMode="External"/><Relationship Id="rId883" Type="http://schemas.openxmlformats.org/officeDocument/2006/relationships/hyperlink" Target="https://fgis.gost.ru/fundmetrology/cm/results/1-259165762" TargetMode="External"/><Relationship Id="rId1099" Type="http://schemas.openxmlformats.org/officeDocument/2006/relationships/hyperlink" Target="https://fgis.gost.ru/fundmetrology/cm/results/1-88830648" TargetMode="External"/><Relationship Id="rId26" Type="http://schemas.openxmlformats.org/officeDocument/2006/relationships/hyperlink" Target="https://fgis.gost.ru/fundmetrology/cm/results/1-258871763" TargetMode="External"/><Relationship Id="rId231" Type="http://schemas.openxmlformats.org/officeDocument/2006/relationships/hyperlink" Target="https://fgis.gost.ru/fundmetrology/cm/results/1-244530106" TargetMode="External"/><Relationship Id="rId273" Type="http://schemas.openxmlformats.org/officeDocument/2006/relationships/hyperlink" Target="https://fgis.gost.ru/fundmetrology/cm/results/1-256311324" TargetMode="External"/><Relationship Id="rId329" Type="http://schemas.openxmlformats.org/officeDocument/2006/relationships/hyperlink" Target="https://fgis.gost.ru/fundmetrology/cm/results/1-244530104" TargetMode="External"/><Relationship Id="rId480" Type="http://schemas.openxmlformats.org/officeDocument/2006/relationships/hyperlink" Target="https://fgis.gost.ru/fundmetrology/cm/results/1-256311781" TargetMode="External"/><Relationship Id="rId536" Type="http://schemas.openxmlformats.org/officeDocument/2006/relationships/hyperlink" Target="https://fgis.gost.ru/fundmetrology/cm/results/1-336341786" TargetMode="External"/><Relationship Id="rId701" Type="http://schemas.openxmlformats.org/officeDocument/2006/relationships/hyperlink" Target="https://fgis.gost.ru/fundmetrology/cm/results/1-256311794" TargetMode="External"/><Relationship Id="rId939" Type="http://schemas.openxmlformats.org/officeDocument/2006/relationships/hyperlink" Target="https://fgis.gost.ru/fundmetrology/cm/results/1-88830655" TargetMode="External"/><Relationship Id="rId1124" Type="http://schemas.openxmlformats.org/officeDocument/2006/relationships/hyperlink" Target="https://fgis.gost.ru/fundmetrology/cm/results/1-80242401" TargetMode="External"/><Relationship Id="rId68" Type="http://schemas.openxmlformats.org/officeDocument/2006/relationships/hyperlink" Target="https://fgis.gost.ru/fundmetrology/cm/results/1-258871765" TargetMode="External"/><Relationship Id="rId133" Type="http://schemas.openxmlformats.org/officeDocument/2006/relationships/hyperlink" Target="https://fgis.gost.ru/fundmetrology/cm/results/1-258871759" TargetMode="External"/><Relationship Id="rId175" Type="http://schemas.openxmlformats.org/officeDocument/2006/relationships/hyperlink" Target="https://fgis.gost.ru/fundmetrology/cm/results/1-179500510" TargetMode="External"/><Relationship Id="rId340" Type="http://schemas.openxmlformats.org/officeDocument/2006/relationships/hyperlink" Target="https://fgis.gost.ru/fundmetrology/cm/results/1-256311279" TargetMode="External"/><Relationship Id="rId578" Type="http://schemas.openxmlformats.org/officeDocument/2006/relationships/hyperlink" Target="https://fgis.gost.ru/fundmetrology/cm/results/1-337164230" TargetMode="External"/><Relationship Id="rId743" Type="http://schemas.openxmlformats.org/officeDocument/2006/relationships/hyperlink" Target="https://fgis.gost.ru/fundmetrology/cm/results/1-32467913" TargetMode="External"/><Relationship Id="rId785" Type="http://schemas.openxmlformats.org/officeDocument/2006/relationships/hyperlink" Target="https://fgis.gost.ru/fundmetrology/cm/results/1-32467960" TargetMode="External"/><Relationship Id="rId950" Type="http://schemas.openxmlformats.org/officeDocument/2006/relationships/hyperlink" Target="https://fgis.gost.ru/fundmetrology/cm/results/1-88830658" TargetMode="External"/><Relationship Id="rId992" Type="http://schemas.openxmlformats.org/officeDocument/2006/relationships/hyperlink" Target="https://fgis.gost.ru/fundmetrology/cm/results/1-356791731" TargetMode="External"/><Relationship Id="rId1026" Type="http://schemas.openxmlformats.org/officeDocument/2006/relationships/hyperlink" Target="https://fgis.gost.ru/fundmetrology/cm/results/1-356791733" TargetMode="External"/><Relationship Id="rId200" Type="http://schemas.openxmlformats.org/officeDocument/2006/relationships/hyperlink" Target="https://fgis.gost.ru/fundmetrology/cm/results/1-256311311" TargetMode="External"/><Relationship Id="rId382" Type="http://schemas.openxmlformats.org/officeDocument/2006/relationships/hyperlink" Target="https://fgis.gost.ru/fundmetrology/cm/results/1-158558397" TargetMode="External"/><Relationship Id="rId438" Type="http://schemas.openxmlformats.org/officeDocument/2006/relationships/hyperlink" Target="https://fgis.gost.ru/fundmetrology/cm/results/1-334719771" TargetMode="External"/><Relationship Id="rId603" Type="http://schemas.openxmlformats.org/officeDocument/2006/relationships/hyperlink" Target="https://fgis.gost.ru/fundmetrology/cm/results/2-177330675" TargetMode="External"/><Relationship Id="rId645" Type="http://schemas.openxmlformats.org/officeDocument/2006/relationships/hyperlink" Target="https://fgis.gost.ru/fundmetrology/cm/results/2-177330655" TargetMode="External"/><Relationship Id="rId687" Type="http://schemas.openxmlformats.org/officeDocument/2006/relationships/hyperlink" Target="https://fgis.gost.ru/fundmetrology/cm/results/1-396720625" TargetMode="External"/><Relationship Id="rId810" Type="http://schemas.openxmlformats.org/officeDocument/2006/relationships/hyperlink" Target="https://fgis.gost.ru/fundmetrology/cm/results/1-32467978" TargetMode="External"/><Relationship Id="rId852" Type="http://schemas.openxmlformats.org/officeDocument/2006/relationships/hyperlink" Target="https://fgis.gost.ru/fundmetrology/cm/results/1-390885434" TargetMode="External"/><Relationship Id="rId908" Type="http://schemas.openxmlformats.org/officeDocument/2006/relationships/hyperlink" Target="https://fgis.gost.ru/fundmetrology/cm/results/1-80242403" TargetMode="External"/><Relationship Id="rId1068" Type="http://schemas.openxmlformats.org/officeDocument/2006/relationships/hyperlink" Target="https://fgis.gost.ru/fundmetrology/cm/results/1-356791783" TargetMode="External"/><Relationship Id="rId242" Type="http://schemas.openxmlformats.org/officeDocument/2006/relationships/hyperlink" Target="https://fgis.gost.ru/fundmetrology/cm/results/1-256311317" TargetMode="External"/><Relationship Id="rId284" Type="http://schemas.openxmlformats.org/officeDocument/2006/relationships/hyperlink" Target="https://fgis.gost.ru/fundmetrology/cm/results/1-208032989" TargetMode="External"/><Relationship Id="rId491" Type="http://schemas.openxmlformats.org/officeDocument/2006/relationships/hyperlink" Target="https://fgis.gost.ru/fundmetrology/cm/results/1-335125755" TargetMode="External"/><Relationship Id="rId505" Type="http://schemas.openxmlformats.org/officeDocument/2006/relationships/hyperlink" Target="https://fgis.gost.ru/fundmetrology/cm/results/1-256311768" TargetMode="External"/><Relationship Id="rId712" Type="http://schemas.openxmlformats.org/officeDocument/2006/relationships/hyperlink" Target="https://fgis.gost.ru/fundmetrology/cm/results/1-256311794" TargetMode="External"/><Relationship Id="rId894" Type="http://schemas.openxmlformats.org/officeDocument/2006/relationships/hyperlink" Target="https://fgis.gost.ru/fundmetrology/cm/results/1-259165763" TargetMode="External"/><Relationship Id="rId1135" Type="http://schemas.openxmlformats.org/officeDocument/2006/relationships/hyperlink" Target="https://fgis.gost.ru/fundmetrology/cm/results/1-288002619" TargetMode="External"/><Relationship Id="rId37" Type="http://schemas.openxmlformats.org/officeDocument/2006/relationships/hyperlink" Target="https://fgis.gost.ru/fundmetrology/cm/results/1-258871763" TargetMode="External"/><Relationship Id="rId79" Type="http://schemas.openxmlformats.org/officeDocument/2006/relationships/hyperlink" Target="https://fgis.gost.ru/fundmetrology/cm/results/1-258871762" TargetMode="External"/><Relationship Id="rId102" Type="http://schemas.openxmlformats.org/officeDocument/2006/relationships/hyperlink" Target="https://fgis.gost.ru/fundmetrology/cm/results/1-25798604" TargetMode="External"/><Relationship Id="rId144" Type="http://schemas.openxmlformats.org/officeDocument/2006/relationships/hyperlink" Target="https://fgis.gost.ru/fundmetrology/cm/results/1-258871759" TargetMode="External"/><Relationship Id="rId547" Type="http://schemas.openxmlformats.org/officeDocument/2006/relationships/hyperlink" Target="https://fgis.gost.ru/fundmetrology/cm/results/1-256311774" TargetMode="External"/><Relationship Id="rId589" Type="http://schemas.openxmlformats.org/officeDocument/2006/relationships/hyperlink" Target="https://fgis.gost.ru/fundmetrology/cm/results/1-337163618" TargetMode="External"/><Relationship Id="rId754" Type="http://schemas.openxmlformats.org/officeDocument/2006/relationships/hyperlink" Target="https://fgis.gost.ru/fundmetrology/cm/results/1-32467921" TargetMode="External"/><Relationship Id="rId796" Type="http://schemas.openxmlformats.org/officeDocument/2006/relationships/hyperlink" Target="https://fgis.gost.ru/fundmetrology/cm/results/1-32467969" TargetMode="External"/><Relationship Id="rId961" Type="http://schemas.openxmlformats.org/officeDocument/2006/relationships/hyperlink" Target="https://fgis.gost.ru/fundmetrology/cm/results/1-356791735" TargetMode="External"/><Relationship Id="rId90" Type="http://schemas.openxmlformats.org/officeDocument/2006/relationships/hyperlink" Target="https://fgis.gost.ru/fundmetrology/cm/results/1-208033017" TargetMode="External"/><Relationship Id="rId186" Type="http://schemas.openxmlformats.org/officeDocument/2006/relationships/hyperlink" Target="https://fgis.gost.ru/fundmetrology/cm/results/1-256311337" TargetMode="External"/><Relationship Id="rId351" Type="http://schemas.openxmlformats.org/officeDocument/2006/relationships/hyperlink" Target="https://fgis.gost.ru/fundmetrology/cm/results/1-244530108" TargetMode="External"/><Relationship Id="rId393" Type="http://schemas.openxmlformats.org/officeDocument/2006/relationships/hyperlink" Target="https://fgis.gost.ru/fundmetrology/cm/results/1-158558458" TargetMode="External"/><Relationship Id="rId407" Type="http://schemas.openxmlformats.org/officeDocument/2006/relationships/hyperlink" Target="https://fgis.gost.ru/fundmetrology/cm/results/1-158558408" TargetMode="External"/><Relationship Id="rId449" Type="http://schemas.openxmlformats.org/officeDocument/2006/relationships/hyperlink" Target="https://fgis.gost.ru/fundmetrology/cm/results/1-335125773" TargetMode="External"/><Relationship Id="rId614" Type="http://schemas.openxmlformats.org/officeDocument/2006/relationships/hyperlink" Target="https://fgis.gost.ru/fundmetrology/cm/results/2-177330668" TargetMode="External"/><Relationship Id="rId656" Type="http://schemas.openxmlformats.org/officeDocument/2006/relationships/hyperlink" Target="https://fgis.gost.ru/fundmetrology/cm/results/2-177330648" TargetMode="External"/><Relationship Id="rId821" Type="http://schemas.openxmlformats.org/officeDocument/2006/relationships/hyperlink" Target="https://fgis.gost.ru/fundmetrology/cm/results/1-80242390" TargetMode="External"/><Relationship Id="rId863" Type="http://schemas.openxmlformats.org/officeDocument/2006/relationships/hyperlink" Target="https://fgis.gost.ru/fundmetrology/cm/results/1-32467938" TargetMode="External"/><Relationship Id="rId1037" Type="http://schemas.openxmlformats.org/officeDocument/2006/relationships/hyperlink" Target="https://fgis.gost.ru/fundmetrology/cm/results/1-356791736" TargetMode="External"/><Relationship Id="rId1079" Type="http://schemas.openxmlformats.org/officeDocument/2006/relationships/hyperlink" Target="https://fgis.gost.ru/fundmetrology/cm/results/1-356791783" TargetMode="External"/><Relationship Id="rId211" Type="http://schemas.openxmlformats.org/officeDocument/2006/relationships/hyperlink" Target="https://fgis.gost.ru/fundmetrology/cm/results/1-244530106" TargetMode="External"/><Relationship Id="rId253" Type="http://schemas.openxmlformats.org/officeDocument/2006/relationships/hyperlink" Target="https://fgis.gost.ru/fundmetrology/cm/results/1-244530105" TargetMode="External"/><Relationship Id="rId295" Type="http://schemas.openxmlformats.org/officeDocument/2006/relationships/hyperlink" Target="https://fgis.gost.ru/fundmetrology/cm/results/1-256311273" TargetMode="External"/><Relationship Id="rId309" Type="http://schemas.openxmlformats.org/officeDocument/2006/relationships/hyperlink" Target="https://fgis.gost.ru/fundmetrology/cm/results/1-244530104" TargetMode="External"/><Relationship Id="rId460" Type="http://schemas.openxmlformats.org/officeDocument/2006/relationships/hyperlink" Target="https://fgis.gost.ru/fundmetrology/cm/results/1-286200689" TargetMode="External"/><Relationship Id="rId516" Type="http://schemas.openxmlformats.org/officeDocument/2006/relationships/hyperlink" Target="https://fgis.gost.ru/fundmetrology/cm/results/1-336341780" TargetMode="External"/><Relationship Id="rId698" Type="http://schemas.openxmlformats.org/officeDocument/2006/relationships/hyperlink" Target="https://fgis.gost.ru/fundmetrology/cm/results/1-169638056" TargetMode="External"/><Relationship Id="rId919" Type="http://schemas.openxmlformats.org/officeDocument/2006/relationships/hyperlink" Target="https://fgis.gost.ru/fundmetrology/cm/results/1-88830547" TargetMode="External"/><Relationship Id="rId1090" Type="http://schemas.openxmlformats.org/officeDocument/2006/relationships/hyperlink" Target="https://fgis.gost.ru/fundmetrology/cm/results/1-356791736" TargetMode="External"/><Relationship Id="rId1104" Type="http://schemas.openxmlformats.org/officeDocument/2006/relationships/hyperlink" Target="https://fgis.gost.ru/fundmetrology/cm/results/1-356791782" TargetMode="External"/><Relationship Id="rId48" Type="http://schemas.openxmlformats.org/officeDocument/2006/relationships/hyperlink" Target="https://fgis.gost.ru/fundmetrology/cm/results/1-258871763" TargetMode="External"/><Relationship Id="rId113" Type="http://schemas.openxmlformats.org/officeDocument/2006/relationships/hyperlink" Target="https://fgis.gost.ru/fundmetrology/cm/results/1-208033140" TargetMode="External"/><Relationship Id="rId320" Type="http://schemas.openxmlformats.org/officeDocument/2006/relationships/hyperlink" Target="https://fgis.gost.ru/fundmetrology/cm/results/1-256311284" TargetMode="External"/><Relationship Id="rId558" Type="http://schemas.openxmlformats.org/officeDocument/2006/relationships/hyperlink" Target="https://fgis.gost.ru/fundmetrology/cm/results/1-337164244" TargetMode="External"/><Relationship Id="rId723" Type="http://schemas.openxmlformats.org/officeDocument/2006/relationships/hyperlink" Target="https://fgis.gost.ru/fundmetrology/cm/results/1-169638064" TargetMode="External"/><Relationship Id="rId765" Type="http://schemas.openxmlformats.org/officeDocument/2006/relationships/hyperlink" Target="https://fgis.gost.ru/fundmetrology/cm/results/1-32467949" TargetMode="External"/><Relationship Id="rId930" Type="http://schemas.openxmlformats.org/officeDocument/2006/relationships/hyperlink" Target="https://fgis.gost.ru/fundmetrology/cm/results/1-88830777" TargetMode="External"/><Relationship Id="rId972" Type="http://schemas.openxmlformats.org/officeDocument/2006/relationships/hyperlink" Target="https://fgis.gost.ru/fundmetrology/cm/results/1-356791728" TargetMode="External"/><Relationship Id="rId1006" Type="http://schemas.openxmlformats.org/officeDocument/2006/relationships/hyperlink" Target="https://fgis.gost.ru/fundmetrology/cm/results/1-88830670" TargetMode="External"/><Relationship Id="rId155" Type="http://schemas.openxmlformats.org/officeDocument/2006/relationships/hyperlink" Target="https://fgis.gost.ru/fundmetrology/cm/results/1-179500531" TargetMode="External"/><Relationship Id="rId197" Type="http://schemas.openxmlformats.org/officeDocument/2006/relationships/hyperlink" Target="https://fgis.gost.ru/fundmetrology/cm/results/1-256311308" TargetMode="External"/><Relationship Id="rId362" Type="http://schemas.openxmlformats.org/officeDocument/2006/relationships/hyperlink" Target="https://fgis.gost.ru/fundmetrology/cm/results/1-208033004" TargetMode="External"/><Relationship Id="rId418" Type="http://schemas.openxmlformats.org/officeDocument/2006/relationships/hyperlink" Target="https://fgis.gost.ru/fundmetrology/cm/results/1-169638072" TargetMode="External"/><Relationship Id="rId625" Type="http://schemas.openxmlformats.org/officeDocument/2006/relationships/hyperlink" Target="https://fgis.gost.ru/fundmetrology/cm/results/2-177330659" TargetMode="External"/><Relationship Id="rId832" Type="http://schemas.openxmlformats.org/officeDocument/2006/relationships/hyperlink" Target="https://fgis.gost.ru/fundmetrology/cm/results/1-88830762" TargetMode="External"/><Relationship Id="rId1048" Type="http://schemas.openxmlformats.org/officeDocument/2006/relationships/hyperlink" Target="https://fgis.gost.ru/fundmetrology/cm/results/1-169638055" TargetMode="External"/><Relationship Id="rId222" Type="http://schemas.openxmlformats.org/officeDocument/2006/relationships/hyperlink" Target="https://fgis.gost.ru/fundmetrology/cm/results/1-256311319" TargetMode="External"/><Relationship Id="rId264" Type="http://schemas.openxmlformats.org/officeDocument/2006/relationships/hyperlink" Target="https://fgis.gost.ru/fundmetrology/cm/results/1-244530109" TargetMode="External"/><Relationship Id="rId471" Type="http://schemas.openxmlformats.org/officeDocument/2006/relationships/hyperlink" Target="https://fgis.gost.ru/fundmetrology/cm/results/1-335125764" TargetMode="External"/><Relationship Id="rId667" Type="http://schemas.openxmlformats.org/officeDocument/2006/relationships/hyperlink" Target="https://fgis.gost.ru/fundmetrology/cm/results/2-177330643" TargetMode="External"/><Relationship Id="rId874" Type="http://schemas.openxmlformats.org/officeDocument/2006/relationships/hyperlink" Target="https://fgis.gost.ru/fundmetrology/cm/results/1-32467944" TargetMode="External"/><Relationship Id="rId1115" Type="http://schemas.openxmlformats.org/officeDocument/2006/relationships/hyperlink" Target="https://fgis.gost.ru/fundmetrology/cm/results/1-88830749" TargetMode="External"/><Relationship Id="rId17" Type="http://schemas.openxmlformats.org/officeDocument/2006/relationships/hyperlink" Target="https://fgis.gost.ru/fundmetrology/cm/results/1-258871757" TargetMode="External"/><Relationship Id="rId59" Type="http://schemas.openxmlformats.org/officeDocument/2006/relationships/hyperlink" Target="https://fgis.gost.ru/fundmetrology/cm/results/1-208033148" TargetMode="External"/><Relationship Id="rId124" Type="http://schemas.openxmlformats.org/officeDocument/2006/relationships/hyperlink" Target="https://fgis.gost.ru/fundmetrology/cm/results/1-25798606" TargetMode="External"/><Relationship Id="rId527" Type="http://schemas.openxmlformats.org/officeDocument/2006/relationships/hyperlink" Target="https://fgis.gost.ru/fundmetrology/cm/results/1-336341781" TargetMode="External"/><Relationship Id="rId569" Type="http://schemas.openxmlformats.org/officeDocument/2006/relationships/hyperlink" Target="https://fgis.gost.ru/fundmetrology/cm/results/1-337164282" TargetMode="External"/><Relationship Id="rId734" Type="http://schemas.openxmlformats.org/officeDocument/2006/relationships/hyperlink" Target="https://fgis.gost.ru/fundmetrology/cm/results/1-32467906" TargetMode="External"/><Relationship Id="rId776" Type="http://schemas.openxmlformats.org/officeDocument/2006/relationships/hyperlink" Target="https://fgis.gost.ru/fundmetrology/cm/results/1-32467956" TargetMode="External"/><Relationship Id="rId941" Type="http://schemas.openxmlformats.org/officeDocument/2006/relationships/hyperlink" Target="https://fgis.gost.ru/fundmetrology/cm/results/1-179500484" TargetMode="External"/><Relationship Id="rId983" Type="http://schemas.openxmlformats.org/officeDocument/2006/relationships/hyperlink" Target="https://fgis.gost.ru/fundmetrology/cm/results/1-356791728" TargetMode="External"/><Relationship Id="rId70" Type="http://schemas.openxmlformats.org/officeDocument/2006/relationships/hyperlink" Target="https://fgis.gost.ru/fundmetrology/cm/results/1-208033152" TargetMode="External"/><Relationship Id="rId166" Type="http://schemas.openxmlformats.org/officeDocument/2006/relationships/hyperlink" Target="https://fgis.gost.ru/fundmetrology/cm/results/1-179500499" TargetMode="External"/><Relationship Id="rId331" Type="http://schemas.openxmlformats.org/officeDocument/2006/relationships/hyperlink" Target="https://fgis.gost.ru/fundmetrology/cm/results/1-244530108" TargetMode="External"/><Relationship Id="rId373" Type="http://schemas.openxmlformats.org/officeDocument/2006/relationships/hyperlink" Target="https://fgis.gost.ru/fundmetrology/cm/results/1-208033010" TargetMode="External"/><Relationship Id="rId429" Type="http://schemas.openxmlformats.org/officeDocument/2006/relationships/hyperlink" Target="https://fgis.gost.ru/fundmetrology/cm/results/1-334719773" TargetMode="External"/><Relationship Id="rId580" Type="http://schemas.openxmlformats.org/officeDocument/2006/relationships/hyperlink" Target="https://fgis.gost.ru/fundmetrology/cm/results/1-337163967" TargetMode="External"/><Relationship Id="rId636" Type="http://schemas.openxmlformats.org/officeDocument/2006/relationships/hyperlink" Target="https://fgis.gost.ru/fundmetrology/cm/results/1-383156895" TargetMode="External"/><Relationship Id="rId801" Type="http://schemas.openxmlformats.org/officeDocument/2006/relationships/hyperlink" Target="https://fgis.gost.ru/fundmetrology/cm/results/1-32467972" TargetMode="External"/><Relationship Id="rId1017" Type="http://schemas.openxmlformats.org/officeDocument/2006/relationships/hyperlink" Target="https://fgis.gost.ru/fundmetrology/cm/results/1-356791732" TargetMode="External"/><Relationship Id="rId1059" Type="http://schemas.openxmlformats.org/officeDocument/2006/relationships/hyperlink" Target="https://fgis.gost.ru/fundmetrology/cm/results/1-88830745" TargetMode="External"/><Relationship Id="rId1" Type="http://schemas.openxmlformats.org/officeDocument/2006/relationships/hyperlink" Target="https://fgis.gost.ru/fundmetrology/cm/results/2-167528364" TargetMode="External"/><Relationship Id="rId233" Type="http://schemas.openxmlformats.org/officeDocument/2006/relationships/hyperlink" Target="https://fgis.gost.ru/fundmetrology/cm/results/1-244530105" TargetMode="External"/><Relationship Id="rId440" Type="http://schemas.openxmlformats.org/officeDocument/2006/relationships/hyperlink" Target="https://fgis.gost.ru/fundmetrology/cm/results/1-304290183" TargetMode="External"/><Relationship Id="rId678" Type="http://schemas.openxmlformats.org/officeDocument/2006/relationships/hyperlink" Target="https://fgis.gost.ru/fundmetrology/cm/results/1-396720626" TargetMode="External"/><Relationship Id="rId843" Type="http://schemas.openxmlformats.org/officeDocument/2006/relationships/hyperlink" Target="https://fgis.gost.ru/fundmetrology/cm/results/1-390885434" TargetMode="External"/><Relationship Id="rId885" Type="http://schemas.openxmlformats.org/officeDocument/2006/relationships/hyperlink" Target="https://fgis.gost.ru/fundmetrology/cm/results/1-259165762" TargetMode="External"/><Relationship Id="rId1070" Type="http://schemas.openxmlformats.org/officeDocument/2006/relationships/hyperlink" Target="https://fgis.gost.ru/fundmetrology/cm/results/1-356791783" TargetMode="External"/><Relationship Id="rId1126" Type="http://schemas.openxmlformats.org/officeDocument/2006/relationships/hyperlink" Target="https://fgis.gost.ru/fundmetrology/cm/results/1-288002619" TargetMode="External"/><Relationship Id="rId28" Type="http://schemas.openxmlformats.org/officeDocument/2006/relationships/hyperlink" Target="https://fgis.gost.ru/fundmetrology/cm/results/1-258871757" TargetMode="External"/><Relationship Id="rId275" Type="http://schemas.openxmlformats.org/officeDocument/2006/relationships/hyperlink" Target="https://fgis.gost.ru/fundmetrology/cm/results/1-256311307" TargetMode="External"/><Relationship Id="rId300" Type="http://schemas.openxmlformats.org/officeDocument/2006/relationships/hyperlink" Target="https://fgis.gost.ru/fundmetrology/cm/results/1-256311296" TargetMode="External"/><Relationship Id="rId482" Type="http://schemas.openxmlformats.org/officeDocument/2006/relationships/hyperlink" Target="https://fgis.gost.ru/fundmetrology/cm/results/1-335125774" TargetMode="External"/><Relationship Id="rId538" Type="http://schemas.openxmlformats.org/officeDocument/2006/relationships/hyperlink" Target="https://fgis.gost.ru/fundmetrology/cm/results/1-336341788" TargetMode="External"/><Relationship Id="rId703" Type="http://schemas.openxmlformats.org/officeDocument/2006/relationships/hyperlink" Target="https://fgis.gost.ru/fundmetrology/cm/results/1-256311794" TargetMode="External"/><Relationship Id="rId745" Type="http://schemas.openxmlformats.org/officeDocument/2006/relationships/hyperlink" Target="https://fgis.gost.ru/fundmetrology/cm/results/1-32467914" TargetMode="External"/><Relationship Id="rId910" Type="http://schemas.openxmlformats.org/officeDocument/2006/relationships/hyperlink" Target="https://fgis.gost.ru/fundmetrology/cm/results/1-259165763" TargetMode="External"/><Relationship Id="rId952" Type="http://schemas.openxmlformats.org/officeDocument/2006/relationships/hyperlink" Target="https://fgis.gost.ru/fundmetrology/cm/results/1-356791735" TargetMode="External"/><Relationship Id="rId81" Type="http://schemas.openxmlformats.org/officeDocument/2006/relationships/hyperlink" Target="https://fgis.gost.ru/fundmetrology/cm/results/1-258871760" TargetMode="External"/><Relationship Id="rId135" Type="http://schemas.openxmlformats.org/officeDocument/2006/relationships/hyperlink" Target="https://fgis.gost.ru/fundmetrology/cm/results/1-258871758" TargetMode="External"/><Relationship Id="rId177" Type="http://schemas.openxmlformats.org/officeDocument/2006/relationships/hyperlink" Target="https://fgis.gost.ru/fundmetrology/cm/results/1-179500512" TargetMode="External"/><Relationship Id="rId342" Type="http://schemas.openxmlformats.org/officeDocument/2006/relationships/hyperlink" Target="https://fgis.gost.ru/fundmetrology/cm/results/1-256311272" TargetMode="External"/><Relationship Id="rId384" Type="http://schemas.openxmlformats.org/officeDocument/2006/relationships/hyperlink" Target="https://fgis.gost.ru/fundmetrology/cm/results/1-158558399" TargetMode="External"/><Relationship Id="rId591" Type="http://schemas.openxmlformats.org/officeDocument/2006/relationships/hyperlink" Target="https://fgis.gost.ru/fundmetrology/cm/results/1-256311762" TargetMode="External"/><Relationship Id="rId605" Type="http://schemas.openxmlformats.org/officeDocument/2006/relationships/hyperlink" Target="https://fgis.gost.ru/fundmetrology/cm/results/2-177330673" TargetMode="External"/><Relationship Id="rId787" Type="http://schemas.openxmlformats.org/officeDocument/2006/relationships/hyperlink" Target="https://fgis.gost.ru/fundmetrology/cm/results/1-88830720" TargetMode="External"/><Relationship Id="rId812" Type="http://schemas.openxmlformats.org/officeDocument/2006/relationships/hyperlink" Target="https://fgis.gost.ru/fundmetrology/cm/results/1-88830757" TargetMode="External"/><Relationship Id="rId994" Type="http://schemas.openxmlformats.org/officeDocument/2006/relationships/hyperlink" Target="https://fgis.gost.ru/fundmetrology/cm/results/1-356791731" TargetMode="External"/><Relationship Id="rId1028" Type="http://schemas.openxmlformats.org/officeDocument/2006/relationships/hyperlink" Target="https://fgis.gost.ru/fundmetrology/cm/results/1-356791733" TargetMode="External"/><Relationship Id="rId202" Type="http://schemas.openxmlformats.org/officeDocument/2006/relationships/hyperlink" Target="https://fgis.gost.ru/fundmetrology/cm/results/1-256311305" TargetMode="External"/><Relationship Id="rId244" Type="http://schemas.openxmlformats.org/officeDocument/2006/relationships/hyperlink" Target="https://fgis.gost.ru/fundmetrology/cm/results/1-244530109" TargetMode="External"/><Relationship Id="rId647" Type="http://schemas.openxmlformats.org/officeDocument/2006/relationships/hyperlink" Target="https://fgis.gost.ru/fundmetrology/cm/results/1-32467886" TargetMode="External"/><Relationship Id="rId689" Type="http://schemas.openxmlformats.org/officeDocument/2006/relationships/hyperlink" Target="https://fgis.gost.ru/fundmetrology/cm/results/1-396720630" TargetMode="External"/><Relationship Id="rId854" Type="http://schemas.openxmlformats.org/officeDocument/2006/relationships/hyperlink" Target="https://fgis.gost.ru/fundmetrology/cm/results/1-32467933" TargetMode="External"/><Relationship Id="rId896" Type="http://schemas.openxmlformats.org/officeDocument/2006/relationships/hyperlink" Target="https://fgis.gost.ru/fundmetrology/cm/results/1-206812395" TargetMode="External"/><Relationship Id="rId1081" Type="http://schemas.openxmlformats.org/officeDocument/2006/relationships/hyperlink" Target="https://fgis.gost.ru/fundmetrology/cm/results/1-88830646" TargetMode="External"/><Relationship Id="rId39" Type="http://schemas.openxmlformats.org/officeDocument/2006/relationships/hyperlink" Target="https://fgis.gost.ru/fundmetrology/cm/results/1-258871757" TargetMode="External"/><Relationship Id="rId286" Type="http://schemas.openxmlformats.org/officeDocument/2006/relationships/hyperlink" Target="https://fgis.gost.ru/fundmetrology/cm/results/1-256311326" TargetMode="External"/><Relationship Id="rId451" Type="http://schemas.openxmlformats.org/officeDocument/2006/relationships/hyperlink" Target="https://fgis.gost.ru/fundmetrology/cm/results/1-335125761" TargetMode="External"/><Relationship Id="rId493" Type="http://schemas.openxmlformats.org/officeDocument/2006/relationships/hyperlink" Target="https://fgis.gost.ru/fundmetrology/cm/results/1-256311779" TargetMode="External"/><Relationship Id="rId507" Type="http://schemas.openxmlformats.org/officeDocument/2006/relationships/hyperlink" Target="https://fgis.gost.ru/fundmetrology/cm/results/1-336341794" TargetMode="External"/><Relationship Id="rId549" Type="http://schemas.openxmlformats.org/officeDocument/2006/relationships/hyperlink" Target="https://fgis.gost.ru/fundmetrology/cm/results/1-337164268" TargetMode="External"/><Relationship Id="rId714" Type="http://schemas.openxmlformats.org/officeDocument/2006/relationships/hyperlink" Target="https://fgis.gost.ru/fundmetrology/cm/results/1-256311794" TargetMode="External"/><Relationship Id="rId756" Type="http://schemas.openxmlformats.org/officeDocument/2006/relationships/hyperlink" Target="https://fgis.gost.ru/fundmetrology/cm/results/1-88830583" TargetMode="External"/><Relationship Id="rId921" Type="http://schemas.openxmlformats.org/officeDocument/2006/relationships/hyperlink" Target="https://fgis.gost.ru/fundmetrology/cm/results/1-88830773" TargetMode="External"/><Relationship Id="rId1137" Type="http://schemas.openxmlformats.org/officeDocument/2006/relationships/vmlDrawing" Target="../drawings/vmlDrawing1.vml"/><Relationship Id="rId50" Type="http://schemas.openxmlformats.org/officeDocument/2006/relationships/hyperlink" Target="https://fgis.gost.ru/fundmetrology/cm/results/1-258871765" TargetMode="External"/><Relationship Id="rId104" Type="http://schemas.openxmlformats.org/officeDocument/2006/relationships/hyperlink" Target="https://fgis.gost.ru/fundmetrology/cm/results/1-258871766" TargetMode="External"/><Relationship Id="rId146" Type="http://schemas.openxmlformats.org/officeDocument/2006/relationships/hyperlink" Target="https://fgis.gost.ru/fundmetrology/cm/results/1-208033133" TargetMode="External"/><Relationship Id="rId188" Type="http://schemas.openxmlformats.org/officeDocument/2006/relationships/hyperlink" Target="https://fgis.gost.ru/fundmetrology/cm/results/1-256311339" TargetMode="External"/><Relationship Id="rId311" Type="http://schemas.openxmlformats.org/officeDocument/2006/relationships/hyperlink" Target="https://fgis.gost.ru/fundmetrology/cm/results/1-244530108" TargetMode="External"/><Relationship Id="rId353" Type="http://schemas.openxmlformats.org/officeDocument/2006/relationships/hyperlink" Target="https://fgis.gost.ru/fundmetrology/cm/results/1-244530107" TargetMode="External"/><Relationship Id="rId395" Type="http://schemas.openxmlformats.org/officeDocument/2006/relationships/hyperlink" Target="https://fgis.gost.ru/fundmetrology/cm/results/1-158558438" TargetMode="External"/><Relationship Id="rId409" Type="http://schemas.openxmlformats.org/officeDocument/2006/relationships/hyperlink" Target="https://fgis.gost.ru/fundmetrology/cm/results/1-160789338" TargetMode="External"/><Relationship Id="rId560" Type="http://schemas.openxmlformats.org/officeDocument/2006/relationships/hyperlink" Target="https://fgis.gost.ru/fundmetrology/cm/results/1-288002646" TargetMode="External"/><Relationship Id="rId798" Type="http://schemas.openxmlformats.org/officeDocument/2006/relationships/hyperlink" Target="https://fgis.gost.ru/fundmetrology/cm/results/1-32467970" TargetMode="External"/><Relationship Id="rId963" Type="http://schemas.openxmlformats.org/officeDocument/2006/relationships/hyperlink" Target="https://fgis.gost.ru/fundmetrology/cm/results/1-356791735" TargetMode="External"/><Relationship Id="rId1039" Type="http://schemas.openxmlformats.org/officeDocument/2006/relationships/hyperlink" Target="https://fgis.gost.ru/fundmetrology/cm/results/1-179500490" TargetMode="External"/><Relationship Id="rId92" Type="http://schemas.openxmlformats.org/officeDocument/2006/relationships/hyperlink" Target="https://fgis.gost.ru/fundmetrology/cm/results/1-208033138" TargetMode="External"/><Relationship Id="rId213" Type="http://schemas.openxmlformats.org/officeDocument/2006/relationships/hyperlink" Target="https://fgis.gost.ru/fundmetrology/cm/results/1-244530105" TargetMode="External"/><Relationship Id="rId420" Type="http://schemas.openxmlformats.org/officeDocument/2006/relationships/hyperlink" Target="https://fgis.gost.ru/fundmetrology/cm/results/1-244530110" TargetMode="External"/><Relationship Id="rId616" Type="http://schemas.openxmlformats.org/officeDocument/2006/relationships/hyperlink" Target="https://fgis.gost.ru/fundmetrology/cm/results/2-177330666" TargetMode="External"/><Relationship Id="rId658" Type="http://schemas.openxmlformats.org/officeDocument/2006/relationships/hyperlink" Target="https://fgis.gost.ru/fundmetrology/cm/results/2-177330647" TargetMode="External"/><Relationship Id="rId823" Type="http://schemas.openxmlformats.org/officeDocument/2006/relationships/hyperlink" Target="https://fgis.gost.ru/fundmetrology/cm/results/1-88830760" TargetMode="External"/><Relationship Id="rId865" Type="http://schemas.openxmlformats.org/officeDocument/2006/relationships/hyperlink" Target="https://fgis.gost.ru/fundmetrology/cm/results/1-88830764" TargetMode="External"/><Relationship Id="rId1050" Type="http://schemas.openxmlformats.org/officeDocument/2006/relationships/hyperlink" Target="https://fgis.gost.ru/fundmetrology/cm/results/1-356791736" TargetMode="External"/><Relationship Id="rId255" Type="http://schemas.openxmlformats.org/officeDocument/2006/relationships/hyperlink" Target="https://fgis.gost.ru/fundmetrology/cm/results/1-256311327" TargetMode="External"/><Relationship Id="rId297" Type="http://schemas.openxmlformats.org/officeDocument/2006/relationships/hyperlink" Target="https://fgis.gost.ru/fundmetrology/cm/results/1-256311275" TargetMode="External"/><Relationship Id="rId462" Type="http://schemas.openxmlformats.org/officeDocument/2006/relationships/hyperlink" Target="https://fgis.gost.ru/fundmetrology/cm/results/1-335125762" TargetMode="External"/><Relationship Id="rId518" Type="http://schemas.openxmlformats.org/officeDocument/2006/relationships/hyperlink" Target="https://fgis.gost.ru/fundmetrology/cm/results/1-288002633" TargetMode="External"/><Relationship Id="rId725" Type="http://schemas.openxmlformats.org/officeDocument/2006/relationships/hyperlink" Target="https://fgis.gost.ru/fundmetrology/cm/results/1-88830605" TargetMode="External"/><Relationship Id="rId932" Type="http://schemas.openxmlformats.org/officeDocument/2006/relationships/hyperlink" Target="https://fgis.gost.ru/fundmetrology/cm/results/1-88830818" TargetMode="External"/><Relationship Id="rId1092" Type="http://schemas.openxmlformats.org/officeDocument/2006/relationships/hyperlink" Target="https://fgis.gost.ru/fundmetrology/cm/results/1-356791736" TargetMode="External"/><Relationship Id="rId1106" Type="http://schemas.openxmlformats.org/officeDocument/2006/relationships/hyperlink" Target="https://fgis.gost.ru/fundmetrology/cm/results/1-356791782" TargetMode="External"/><Relationship Id="rId115" Type="http://schemas.openxmlformats.org/officeDocument/2006/relationships/hyperlink" Target="https://fgis.gost.ru/fundmetrology/cm/results/1-208033139" TargetMode="External"/><Relationship Id="rId157" Type="http://schemas.openxmlformats.org/officeDocument/2006/relationships/hyperlink" Target="https://fgis.gost.ru/fundmetrology/cm/results/1-179500532" TargetMode="External"/><Relationship Id="rId322" Type="http://schemas.openxmlformats.org/officeDocument/2006/relationships/hyperlink" Target="https://fgis.gost.ru/fundmetrology/cm/results/1-256311320" TargetMode="External"/><Relationship Id="rId364" Type="http://schemas.openxmlformats.org/officeDocument/2006/relationships/hyperlink" Target="https://fgis.gost.ru/fundmetrology/cm/results/1-208033003" TargetMode="External"/><Relationship Id="rId767" Type="http://schemas.openxmlformats.org/officeDocument/2006/relationships/hyperlink" Target="https://fgis.gost.ru/fundmetrology/cm/results/1-32467950" TargetMode="External"/><Relationship Id="rId974" Type="http://schemas.openxmlformats.org/officeDocument/2006/relationships/hyperlink" Target="https://fgis.gost.ru/fundmetrology/cm/results/1-356791728" TargetMode="External"/><Relationship Id="rId1008" Type="http://schemas.openxmlformats.org/officeDocument/2006/relationships/hyperlink" Target="https://fgis.gost.ru/fundmetrology/cm/results/1-356791732" TargetMode="External"/><Relationship Id="rId61" Type="http://schemas.openxmlformats.org/officeDocument/2006/relationships/hyperlink" Target="https://fgis.gost.ru/fundmetrology/cm/results/1-25798598" TargetMode="External"/><Relationship Id="rId199" Type="http://schemas.openxmlformats.org/officeDocument/2006/relationships/hyperlink" Target="https://fgis.gost.ru/fundmetrology/cm/results/1-244530109" TargetMode="External"/><Relationship Id="rId571" Type="http://schemas.openxmlformats.org/officeDocument/2006/relationships/hyperlink" Target="https://fgis.gost.ru/fundmetrology/cm/results/1-256311767" TargetMode="External"/><Relationship Id="rId627" Type="http://schemas.openxmlformats.org/officeDocument/2006/relationships/hyperlink" Target="https://fgis.gost.ru/fundmetrology/cm/results/1-383156894" TargetMode="External"/><Relationship Id="rId669" Type="http://schemas.openxmlformats.org/officeDocument/2006/relationships/hyperlink" Target="https://fgis.gost.ru/fundmetrology/cm/results/1-383156897" TargetMode="External"/><Relationship Id="rId834" Type="http://schemas.openxmlformats.org/officeDocument/2006/relationships/hyperlink" Target="https://fgis.gost.ru/fundmetrology/cm/results/1-390885434" TargetMode="External"/><Relationship Id="rId876" Type="http://schemas.openxmlformats.org/officeDocument/2006/relationships/hyperlink" Target="https://fgis.gost.ru/fundmetrology/cm/results/1-88830767" TargetMode="External"/><Relationship Id="rId19" Type="http://schemas.openxmlformats.org/officeDocument/2006/relationships/hyperlink" Target="https://fgis.gost.ru/fundmetrology/cm/results/1-208033126" TargetMode="External"/><Relationship Id="rId224" Type="http://schemas.openxmlformats.org/officeDocument/2006/relationships/hyperlink" Target="https://fgis.gost.ru/fundmetrology/cm/results/1-244530109" TargetMode="External"/><Relationship Id="rId266" Type="http://schemas.openxmlformats.org/officeDocument/2006/relationships/hyperlink" Target="https://fgis.gost.ru/fundmetrology/cm/results/1-244530106" TargetMode="External"/><Relationship Id="rId431" Type="http://schemas.openxmlformats.org/officeDocument/2006/relationships/hyperlink" Target="https://fgis.gost.ru/fundmetrology/cm/results/1-334719769" TargetMode="External"/><Relationship Id="rId473" Type="http://schemas.openxmlformats.org/officeDocument/2006/relationships/hyperlink" Target="https://fgis.gost.ru/fundmetrology/cm/results/1-335125780" TargetMode="External"/><Relationship Id="rId529" Type="http://schemas.openxmlformats.org/officeDocument/2006/relationships/hyperlink" Target="https://fgis.gost.ru/fundmetrology/cm/results/1-256311783" TargetMode="External"/><Relationship Id="rId680" Type="http://schemas.openxmlformats.org/officeDocument/2006/relationships/hyperlink" Target="https://fgis.gost.ru/fundmetrology/cm/results/1-208032939" TargetMode="External"/><Relationship Id="rId736" Type="http://schemas.openxmlformats.org/officeDocument/2006/relationships/hyperlink" Target="https://fgis.gost.ru/fundmetrology/cm/results/1-32467927" TargetMode="External"/><Relationship Id="rId901" Type="http://schemas.openxmlformats.org/officeDocument/2006/relationships/hyperlink" Target="https://fgis.gost.ru/fundmetrology/cm/results/1-259165763" TargetMode="External"/><Relationship Id="rId1061" Type="http://schemas.openxmlformats.org/officeDocument/2006/relationships/hyperlink" Target="https://fgis.gost.ru/fundmetrology/cm/results/1-356791783" TargetMode="External"/><Relationship Id="rId1117" Type="http://schemas.openxmlformats.org/officeDocument/2006/relationships/hyperlink" Target="https://fgis.gost.ru/fundmetrology/cm/results/1-259165761" TargetMode="External"/><Relationship Id="rId30" Type="http://schemas.openxmlformats.org/officeDocument/2006/relationships/hyperlink" Target="https://fgis.gost.ru/fundmetrology/cm/results/1-208033158" TargetMode="External"/><Relationship Id="rId126" Type="http://schemas.openxmlformats.org/officeDocument/2006/relationships/hyperlink" Target="https://fgis.gost.ru/fundmetrology/cm/results/1-258871759" TargetMode="External"/><Relationship Id="rId168" Type="http://schemas.openxmlformats.org/officeDocument/2006/relationships/hyperlink" Target="https://fgis.gost.ru/fundmetrology/cm/results/1-179500500" TargetMode="External"/><Relationship Id="rId333" Type="http://schemas.openxmlformats.org/officeDocument/2006/relationships/hyperlink" Target="https://fgis.gost.ru/fundmetrology/cm/results/1-244530107" TargetMode="External"/><Relationship Id="rId540" Type="http://schemas.openxmlformats.org/officeDocument/2006/relationships/hyperlink" Target="https://fgis.gost.ru/fundmetrology/cm/results/1-337164271" TargetMode="External"/><Relationship Id="rId778" Type="http://schemas.openxmlformats.org/officeDocument/2006/relationships/hyperlink" Target="https://fgis.gost.ru/fundmetrology/cm/results/1-88830827" TargetMode="External"/><Relationship Id="rId943" Type="http://schemas.openxmlformats.org/officeDocument/2006/relationships/hyperlink" Target="https://fgis.gost.ru/fundmetrology/cm/results/1-179500485" TargetMode="External"/><Relationship Id="rId985" Type="http://schemas.openxmlformats.org/officeDocument/2006/relationships/hyperlink" Target="https://fgis.gost.ru/fundmetrology/cm/results/1-88830636" TargetMode="External"/><Relationship Id="rId1019" Type="http://schemas.openxmlformats.org/officeDocument/2006/relationships/hyperlink" Target="https://fgis.gost.ru/fundmetrology/cm/results/1-88830734" TargetMode="External"/><Relationship Id="rId72" Type="http://schemas.openxmlformats.org/officeDocument/2006/relationships/hyperlink" Target="https://fgis.gost.ru/fundmetrology/cm/results/1-208033149" TargetMode="External"/><Relationship Id="rId375" Type="http://schemas.openxmlformats.org/officeDocument/2006/relationships/hyperlink" Target="https://fgis.gost.ru/fundmetrology/cm/results/1-208033009" TargetMode="External"/><Relationship Id="rId582" Type="http://schemas.openxmlformats.org/officeDocument/2006/relationships/hyperlink" Target="https://fgis.gost.ru/fundmetrology/cm/results/1-337164257" TargetMode="External"/><Relationship Id="rId638" Type="http://schemas.openxmlformats.org/officeDocument/2006/relationships/hyperlink" Target="https://fgis.gost.ru/fundmetrology/cm/results/1-32467888" TargetMode="External"/><Relationship Id="rId803" Type="http://schemas.openxmlformats.org/officeDocument/2006/relationships/hyperlink" Target="https://fgis.gost.ru/fundmetrology/cm/results/1-88830754" TargetMode="External"/><Relationship Id="rId845" Type="http://schemas.openxmlformats.org/officeDocument/2006/relationships/hyperlink" Target="https://fgis.gost.ru/fundmetrology/cm/results/1-32467929" TargetMode="External"/><Relationship Id="rId1030" Type="http://schemas.openxmlformats.org/officeDocument/2006/relationships/hyperlink" Target="https://fgis.gost.ru/fundmetrology/cm/results/1-356791733" TargetMode="External"/><Relationship Id="rId3" Type="http://schemas.openxmlformats.org/officeDocument/2006/relationships/hyperlink" Target="https://fgis.gost.ru/fundmetrology/cm/results/1-258871757" TargetMode="External"/><Relationship Id="rId235" Type="http://schemas.openxmlformats.org/officeDocument/2006/relationships/hyperlink" Target="https://fgis.gost.ru/fundmetrology/cm/results/1-256311302" TargetMode="External"/><Relationship Id="rId277" Type="http://schemas.openxmlformats.org/officeDocument/2006/relationships/hyperlink" Target="https://fgis.gost.ru/fundmetrology/cm/results/1-256311322" TargetMode="External"/><Relationship Id="rId400" Type="http://schemas.openxmlformats.org/officeDocument/2006/relationships/hyperlink" Target="https://fgis.gost.ru/fundmetrology/cm/results/1-158558632" TargetMode="External"/><Relationship Id="rId442" Type="http://schemas.openxmlformats.org/officeDocument/2006/relationships/hyperlink" Target="https://fgis.gost.ru/fundmetrology/cm/results/1-334719766" TargetMode="External"/><Relationship Id="rId484" Type="http://schemas.openxmlformats.org/officeDocument/2006/relationships/hyperlink" Target="https://fgis.gost.ru/fundmetrology/cm/results/1-256311780" TargetMode="External"/><Relationship Id="rId705" Type="http://schemas.openxmlformats.org/officeDocument/2006/relationships/hyperlink" Target="https://fgis.gost.ru/fundmetrology/cm/results/1-256311794" TargetMode="External"/><Relationship Id="rId887" Type="http://schemas.openxmlformats.org/officeDocument/2006/relationships/hyperlink" Target="https://fgis.gost.ru/fundmetrology/cm/results/1-259165762" TargetMode="External"/><Relationship Id="rId1072" Type="http://schemas.openxmlformats.org/officeDocument/2006/relationships/hyperlink" Target="https://fgis.gost.ru/fundmetrology/cm/results/1-179500493" TargetMode="External"/><Relationship Id="rId1128" Type="http://schemas.openxmlformats.org/officeDocument/2006/relationships/hyperlink" Target="https://fgis.gost.ru/fundmetrology/cm/results/1-88830609" TargetMode="External"/><Relationship Id="rId137" Type="http://schemas.openxmlformats.org/officeDocument/2006/relationships/hyperlink" Target="https://fgis.gost.ru/fundmetrology/cm/results/1-256311826" TargetMode="External"/><Relationship Id="rId302" Type="http://schemas.openxmlformats.org/officeDocument/2006/relationships/hyperlink" Target="https://fgis.gost.ru/fundmetrology/cm/results/1-244530103" TargetMode="External"/><Relationship Id="rId344" Type="http://schemas.openxmlformats.org/officeDocument/2006/relationships/hyperlink" Target="https://fgis.gost.ru/fundmetrology/cm/results/1-244530104" TargetMode="External"/><Relationship Id="rId691" Type="http://schemas.openxmlformats.org/officeDocument/2006/relationships/hyperlink" Target="https://fgis.gost.ru/fundmetrology/cm/results/1-88830556" TargetMode="External"/><Relationship Id="rId747" Type="http://schemas.openxmlformats.org/officeDocument/2006/relationships/hyperlink" Target="https://fgis.gost.ru/fundmetrology/cm/results/1-88830579" TargetMode="External"/><Relationship Id="rId789" Type="http://schemas.openxmlformats.org/officeDocument/2006/relationships/hyperlink" Target="https://fgis.gost.ru/fundmetrology/cm/results/1-32467963" TargetMode="External"/><Relationship Id="rId912" Type="http://schemas.openxmlformats.org/officeDocument/2006/relationships/hyperlink" Target="https://fgis.gost.ru/fundmetrology/cm/results/1-75261817" TargetMode="External"/><Relationship Id="rId954" Type="http://schemas.openxmlformats.org/officeDocument/2006/relationships/hyperlink" Target="https://fgis.gost.ru/fundmetrology/cm/results/1-88830625" TargetMode="External"/><Relationship Id="rId996" Type="http://schemas.openxmlformats.org/officeDocument/2006/relationships/hyperlink" Target="https://fgis.gost.ru/fundmetrology/cm/results/1-356791731" TargetMode="External"/><Relationship Id="rId41" Type="http://schemas.openxmlformats.org/officeDocument/2006/relationships/hyperlink" Target="https://fgis.gost.ru/fundmetrology/cm/results/1-208033171" TargetMode="External"/><Relationship Id="rId83" Type="http://schemas.openxmlformats.org/officeDocument/2006/relationships/hyperlink" Target="https://fgis.gost.ru/fundmetrology/cm/results/1-208033000" TargetMode="External"/><Relationship Id="rId179" Type="http://schemas.openxmlformats.org/officeDocument/2006/relationships/hyperlink" Target="https://fgis.gost.ru/fundmetrology/cm/results/1-179500533" TargetMode="External"/><Relationship Id="rId386" Type="http://schemas.openxmlformats.org/officeDocument/2006/relationships/hyperlink" Target="https://fgis.gost.ru/fundmetrology/cm/results/1-158558419" TargetMode="External"/><Relationship Id="rId551" Type="http://schemas.openxmlformats.org/officeDocument/2006/relationships/hyperlink" Target="https://fgis.gost.ru/fundmetrology/cm/results/1-207651683" TargetMode="External"/><Relationship Id="rId593" Type="http://schemas.openxmlformats.org/officeDocument/2006/relationships/hyperlink" Target="https://fgis.gost.ru/fundmetrology/cm/results/1-337163619" TargetMode="External"/><Relationship Id="rId607" Type="http://schemas.openxmlformats.org/officeDocument/2006/relationships/hyperlink" Target="https://fgis.gost.ru/fundmetrology/cm/results/1-383156898" TargetMode="External"/><Relationship Id="rId649" Type="http://schemas.openxmlformats.org/officeDocument/2006/relationships/hyperlink" Target="https://fgis.gost.ru/fundmetrology/cm/results/2-177330653" TargetMode="External"/><Relationship Id="rId814" Type="http://schemas.openxmlformats.org/officeDocument/2006/relationships/hyperlink" Target="https://fgis.gost.ru/fundmetrology/cm/results/1-32467982" TargetMode="External"/><Relationship Id="rId856" Type="http://schemas.openxmlformats.org/officeDocument/2006/relationships/hyperlink" Target="https://fgis.gost.ru/fundmetrology/cm/results/1-88830721" TargetMode="External"/><Relationship Id="rId190" Type="http://schemas.openxmlformats.org/officeDocument/2006/relationships/hyperlink" Target="https://fgis.gost.ru/fundmetrology/cm/results/1-256311338" TargetMode="External"/><Relationship Id="rId204" Type="http://schemas.openxmlformats.org/officeDocument/2006/relationships/hyperlink" Target="https://fgis.gost.ru/fundmetrology/cm/results/1-244530109" TargetMode="External"/><Relationship Id="rId246" Type="http://schemas.openxmlformats.org/officeDocument/2006/relationships/hyperlink" Target="https://fgis.gost.ru/fundmetrology/cm/results/1-244530106" TargetMode="External"/><Relationship Id="rId288" Type="http://schemas.openxmlformats.org/officeDocument/2006/relationships/hyperlink" Target="https://fgis.gost.ru/fundmetrology/cm/results/1-244530104" TargetMode="External"/><Relationship Id="rId411" Type="http://schemas.openxmlformats.org/officeDocument/2006/relationships/hyperlink" Target="https://fgis.gost.ru/fundmetrology/cm/results/1-169638082" TargetMode="External"/><Relationship Id="rId453" Type="http://schemas.openxmlformats.org/officeDocument/2006/relationships/hyperlink" Target="https://fgis.gost.ru/fundmetrology/cm/results/1-335125772" TargetMode="External"/><Relationship Id="rId509" Type="http://schemas.openxmlformats.org/officeDocument/2006/relationships/hyperlink" Target="https://fgis.gost.ru/fundmetrology/cm/results/1-207651684" TargetMode="External"/><Relationship Id="rId660" Type="http://schemas.openxmlformats.org/officeDocument/2006/relationships/hyperlink" Target="https://fgis.gost.ru/fundmetrology/cm/results/1-32467884" TargetMode="External"/><Relationship Id="rId898" Type="http://schemas.openxmlformats.org/officeDocument/2006/relationships/hyperlink" Target="https://fgis.gost.ru/fundmetrology/cm/results/1-88830770" TargetMode="External"/><Relationship Id="rId1041" Type="http://schemas.openxmlformats.org/officeDocument/2006/relationships/hyperlink" Target="https://fgis.gost.ru/fundmetrology/cm/results/1-88830643" TargetMode="External"/><Relationship Id="rId1083" Type="http://schemas.openxmlformats.org/officeDocument/2006/relationships/hyperlink" Target="https://fgis.gost.ru/fundmetrology/cm/results/1-356791783" TargetMode="External"/><Relationship Id="rId1139" Type="http://schemas.microsoft.com/office/2017/10/relationships/threadedComment" Target="../threadedComments/threadedComment1.xml"/><Relationship Id="rId106" Type="http://schemas.openxmlformats.org/officeDocument/2006/relationships/hyperlink" Target="https://fgis.gost.ru/fundmetrology/cm/results/1-208033143" TargetMode="External"/><Relationship Id="rId313" Type="http://schemas.openxmlformats.org/officeDocument/2006/relationships/hyperlink" Target="https://fgis.gost.ru/fundmetrology/cm/results/1-244530107" TargetMode="External"/><Relationship Id="rId495" Type="http://schemas.openxmlformats.org/officeDocument/2006/relationships/hyperlink" Target="https://fgis.gost.ru/fundmetrology/cm/results/1-336341778" TargetMode="External"/><Relationship Id="rId716" Type="http://schemas.openxmlformats.org/officeDocument/2006/relationships/hyperlink" Target="https://fgis.gost.ru/fundmetrology/cm/results/1-169638059" TargetMode="External"/><Relationship Id="rId758" Type="http://schemas.openxmlformats.org/officeDocument/2006/relationships/hyperlink" Target="https://fgis.gost.ru/fundmetrology/cm/results/1-179500525" TargetMode="External"/><Relationship Id="rId923" Type="http://schemas.openxmlformats.org/officeDocument/2006/relationships/hyperlink" Target="https://fgis.gost.ru/fundmetrology/cm/results/1-88830774" TargetMode="External"/><Relationship Id="rId965" Type="http://schemas.openxmlformats.org/officeDocument/2006/relationships/hyperlink" Target="https://fgis.gost.ru/fundmetrology/cm/results/1-356791735" TargetMode="External"/><Relationship Id="rId10" Type="http://schemas.openxmlformats.org/officeDocument/2006/relationships/hyperlink" Target="https://fgis.gost.ru/fundmetrology/cm/results/1-258871757" TargetMode="External"/><Relationship Id="rId52" Type="http://schemas.openxmlformats.org/officeDocument/2006/relationships/hyperlink" Target="https://fgis.gost.ru/fundmetrology/cm/results/1-256311309" TargetMode="External"/><Relationship Id="rId94" Type="http://schemas.openxmlformats.org/officeDocument/2006/relationships/hyperlink" Target="https://fgis.gost.ru/fundmetrology/cm/results/1-208033137" TargetMode="External"/><Relationship Id="rId148" Type="http://schemas.openxmlformats.org/officeDocument/2006/relationships/hyperlink" Target="https://fgis.gost.ru/fundmetrology/cm/results/1-208033163" TargetMode="External"/><Relationship Id="rId355" Type="http://schemas.openxmlformats.org/officeDocument/2006/relationships/hyperlink" Target="https://fgis.gost.ru/fundmetrology/cm/results/1-256311263" TargetMode="External"/><Relationship Id="rId397" Type="http://schemas.openxmlformats.org/officeDocument/2006/relationships/hyperlink" Target="https://fgis.gost.ru/fundmetrology/cm/results/1-158558473" TargetMode="External"/><Relationship Id="rId520" Type="http://schemas.openxmlformats.org/officeDocument/2006/relationships/hyperlink" Target="https://fgis.gost.ru/fundmetrology/cm/results/1-288002639" TargetMode="External"/><Relationship Id="rId562" Type="http://schemas.openxmlformats.org/officeDocument/2006/relationships/hyperlink" Target="https://fgis.gost.ru/fundmetrology/cm/results/1-288002660" TargetMode="External"/><Relationship Id="rId618" Type="http://schemas.openxmlformats.org/officeDocument/2006/relationships/hyperlink" Target="https://fgis.gost.ru/fundmetrology/cm/results/2-177330664" TargetMode="External"/><Relationship Id="rId825" Type="http://schemas.openxmlformats.org/officeDocument/2006/relationships/hyperlink" Target="https://fgis.gost.ru/fundmetrology/cm/results/1-32467988" TargetMode="External"/><Relationship Id="rId215" Type="http://schemas.openxmlformats.org/officeDocument/2006/relationships/hyperlink" Target="https://fgis.gost.ru/fundmetrology/cm/results/1-256311290" TargetMode="External"/><Relationship Id="rId257" Type="http://schemas.openxmlformats.org/officeDocument/2006/relationships/hyperlink" Target="https://fgis.gost.ru/fundmetrology/cm/results/1-256311320" TargetMode="External"/><Relationship Id="rId422" Type="http://schemas.openxmlformats.org/officeDocument/2006/relationships/hyperlink" Target="https://fgis.gost.ru/fundmetrology/cm/results/1-244530111" TargetMode="External"/><Relationship Id="rId464" Type="http://schemas.openxmlformats.org/officeDocument/2006/relationships/hyperlink" Target="https://fgis.gost.ru/fundmetrology/cm/results/1-304290181" TargetMode="External"/><Relationship Id="rId867" Type="http://schemas.openxmlformats.org/officeDocument/2006/relationships/hyperlink" Target="https://fgis.gost.ru/fundmetrology/cm/results/1-32467940" TargetMode="External"/><Relationship Id="rId1010" Type="http://schemas.openxmlformats.org/officeDocument/2006/relationships/hyperlink" Target="https://fgis.gost.ru/fundmetrology/cm/results/1-88830640" TargetMode="External"/><Relationship Id="rId1052" Type="http://schemas.openxmlformats.org/officeDocument/2006/relationships/hyperlink" Target="https://fgis.gost.ru/fundmetrology/cm/results/1-356791736" TargetMode="External"/><Relationship Id="rId1094" Type="http://schemas.openxmlformats.org/officeDocument/2006/relationships/hyperlink" Target="https://fgis.gost.ru/fundmetrology/cm/results/1-179500481" TargetMode="External"/><Relationship Id="rId1108" Type="http://schemas.openxmlformats.org/officeDocument/2006/relationships/hyperlink" Target="https://fgis.gost.ru/fundmetrology/cm/results/1-356791729" TargetMode="External"/><Relationship Id="rId299" Type="http://schemas.openxmlformats.org/officeDocument/2006/relationships/hyperlink" Target="https://fgis.gost.ru/fundmetrology/cm/results/1-244530104" TargetMode="External"/><Relationship Id="rId727" Type="http://schemas.openxmlformats.org/officeDocument/2006/relationships/hyperlink" Target="https://fgis.gost.ru/fundmetrology/cm/results/1-32467901" TargetMode="External"/><Relationship Id="rId934" Type="http://schemas.openxmlformats.org/officeDocument/2006/relationships/hyperlink" Target="https://fgis.gost.ru/fundmetrology/cm/results/1-88830614" TargetMode="External"/><Relationship Id="rId63" Type="http://schemas.openxmlformats.org/officeDocument/2006/relationships/hyperlink" Target="https://fgis.gost.ru/fundmetrology/cm/results/1-258871765" TargetMode="External"/><Relationship Id="rId159" Type="http://schemas.openxmlformats.org/officeDocument/2006/relationships/hyperlink" Target="https://fgis.gost.ru/fundmetrology/cm/results/1-179500518" TargetMode="External"/><Relationship Id="rId366" Type="http://schemas.openxmlformats.org/officeDocument/2006/relationships/hyperlink" Target="https://fgis.gost.ru/fundmetrology/cm/results/1-208033006" TargetMode="External"/><Relationship Id="rId573" Type="http://schemas.openxmlformats.org/officeDocument/2006/relationships/hyperlink" Target="https://fgis.gost.ru/fundmetrology/cm/results/1-337164291" TargetMode="External"/><Relationship Id="rId780" Type="http://schemas.openxmlformats.org/officeDocument/2006/relationships/hyperlink" Target="https://fgis.gost.ru/fundmetrology/cm/results/1-32467959" TargetMode="External"/><Relationship Id="rId226" Type="http://schemas.openxmlformats.org/officeDocument/2006/relationships/hyperlink" Target="https://fgis.gost.ru/fundmetrology/cm/results/1-244530106" TargetMode="External"/><Relationship Id="rId433" Type="http://schemas.openxmlformats.org/officeDocument/2006/relationships/hyperlink" Target="https://fgis.gost.ru/fundmetrology/cm/results/1-288002666" TargetMode="External"/><Relationship Id="rId878" Type="http://schemas.openxmlformats.org/officeDocument/2006/relationships/hyperlink" Target="https://fgis.gost.ru/fundmetrology/cm/results/1-259165762" TargetMode="External"/><Relationship Id="rId1063" Type="http://schemas.openxmlformats.org/officeDocument/2006/relationships/hyperlink" Target="https://fgis.gost.ru/fundmetrology/cm/results/1-179500479" TargetMode="External"/><Relationship Id="rId640" Type="http://schemas.openxmlformats.org/officeDocument/2006/relationships/hyperlink" Target="https://fgis.gost.ru/fundmetrology/cm/results/1-56744619" TargetMode="External"/><Relationship Id="rId738" Type="http://schemas.openxmlformats.org/officeDocument/2006/relationships/hyperlink" Target="https://fgis.gost.ru/fundmetrology/cm/results/1-88830714" TargetMode="External"/><Relationship Id="rId945" Type="http://schemas.openxmlformats.org/officeDocument/2006/relationships/hyperlink" Target="https://fgis.gost.ru/fundmetrology/cm/results/1-88830731" TargetMode="External"/><Relationship Id="rId74" Type="http://schemas.openxmlformats.org/officeDocument/2006/relationships/hyperlink" Target="https://fgis.gost.ru/fundmetrology/cm/results/1-258871762" TargetMode="External"/><Relationship Id="rId377" Type="http://schemas.openxmlformats.org/officeDocument/2006/relationships/hyperlink" Target="https://fgis.gost.ru/fundmetrology/cm/results/1-208032993" TargetMode="External"/><Relationship Id="rId500" Type="http://schemas.openxmlformats.org/officeDocument/2006/relationships/hyperlink" Target="https://fgis.gost.ru/fundmetrology/cm/results/1-336341782" TargetMode="External"/><Relationship Id="rId584" Type="http://schemas.openxmlformats.org/officeDocument/2006/relationships/hyperlink" Target="https://fgis.gost.ru/fundmetrology/cm/results/1-337164246" TargetMode="External"/><Relationship Id="rId805" Type="http://schemas.openxmlformats.org/officeDocument/2006/relationships/hyperlink" Target="https://fgis.gost.ru/fundmetrology/cm/results/1-32467975" TargetMode="External"/><Relationship Id="rId1130" Type="http://schemas.openxmlformats.org/officeDocument/2006/relationships/hyperlink" Target="https://fgis.gost.ru/fundmetrology/cm/results/1-288002619" TargetMode="External"/><Relationship Id="rId5" Type="http://schemas.openxmlformats.org/officeDocument/2006/relationships/hyperlink" Target="https://fgis.gost.ru/fundmetrology/cm/results/1-256311832" TargetMode="External"/><Relationship Id="rId237" Type="http://schemas.openxmlformats.org/officeDocument/2006/relationships/hyperlink" Target="https://fgis.gost.ru/fundmetrology/cm/results/1-256311289" TargetMode="External"/><Relationship Id="rId791" Type="http://schemas.openxmlformats.org/officeDocument/2006/relationships/hyperlink" Target="https://fgis.gost.ru/fundmetrology/cm/results/1-88830829" TargetMode="External"/><Relationship Id="rId889" Type="http://schemas.openxmlformats.org/officeDocument/2006/relationships/hyperlink" Target="https://fgis.gost.ru/fundmetrology/cm/results/1-259165763" TargetMode="External"/><Relationship Id="rId1074" Type="http://schemas.openxmlformats.org/officeDocument/2006/relationships/hyperlink" Target="https://fgis.gost.ru/fundmetrology/cm/results/1-356791783" TargetMode="External"/><Relationship Id="rId444" Type="http://schemas.openxmlformats.org/officeDocument/2006/relationships/hyperlink" Target="https://fgis.gost.ru/fundmetrology/cm/results/1-304290179" TargetMode="External"/><Relationship Id="rId651" Type="http://schemas.openxmlformats.org/officeDocument/2006/relationships/hyperlink" Target="https://fgis.gost.ru/fundmetrology/cm/results/1-383156890" TargetMode="External"/><Relationship Id="rId749" Type="http://schemas.openxmlformats.org/officeDocument/2006/relationships/hyperlink" Target="https://fgis.gost.ru/fundmetrology/cm/results/1-32467918" TargetMode="External"/><Relationship Id="rId290" Type="http://schemas.openxmlformats.org/officeDocument/2006/relationships/hyperlink" Target="https://fgis.gost.ru/fundmetrology/cm/results/1-244530108" TargetMode="External"/><Relationship Id="rId304" Type="http://schemas.openxmlformats.org/officeDocument/2006/relationships/hyperlink" Target="https://fgis.gost.ru/fundmetrology/cm/results/1-244530104" TargetMode="External"/><Relationship Id="rId388" Type="http://schemas.openxmlformats.org/officeDocument/2006/relationships/hyperlink" Target="https://fgis.gost.ru/fundmetrology/cm/results/1-158558403" TargetMode="External"/><Relationship Id="rId511" Type="http://schemas.openxmlformats.org/officeDocument/2006/relationships/hyperlink" Target="https://fgis.gost.ru/fundmetrology/cm/results/1-336341792" TargetMode="External"/><Relationship Id="rId609" Type="http://schemas.openxmlformats.org/officeDocument/2006/relationships/hyperlink" Target="https://fgis.gost.ru/fundmetrology/cm/results/1-158558483" TargetMode="External"/><Relationship Id="rId956" Type="http://schemas.openxmlformats.org/officeDocument/2006/relationships/hyperlink" Target="https://fgis.gost.ru/fundmetrology/cm/results/1-356791735" TargetMode="External"/><Relationship Id="rId85" Type="http://schemas.openxmlformats.org/officeDocument/2006/relationships/hyperlink" Target="https://fgis.gost.ru/fundmetrology/cm/results/1-208032996" TargetMode="External"/><Relationship Id="rId150" Type="http://schemas.openxmlformats.org/officeDocument/2006/relationships/hyperlink" Target="https://fgis.gost.ru/fundmetrology/cm/results/1-258871758" TargetMode="External"/><Relationship Id="rId595" Type="http://schemas.openxmlformats.org/officeDocument/2006/relationships/hyperlink" Target="https://fgis.gost.ru/fundmetrology/cm/results/1-179500520" TargetMode="External"/><Relationship Id="rId816" Type="http://schemas.openxmlformats.org/officeDocument/2006/relationships/hyperlink" Target="https://fgis.gost.ru/fundmetrology/cm/results/1-32467983" TargetMode="External"/><Relationship Id="rId1001" Type="http://schemas.openxmlformats.org/officeDocument/2006/relationships/hyperlink" Target="https://fgis.gost.ru/fundmetrology/cm/results/1-356791732" TargetMode="External"/><Relationship Id="rId248" Type="http://schemas.openxmlformats.org/officeDocument/2006/relationships/hyperlink" Target="https://fgis.gost.ru/fundmetrology/cm/results/1-244530105" TargetMode="External"/><Relationship Id="rId455" Type="http://schemas.openxmlformats.org/officeDocument/2006/relationships/hyperlink" Target="https://fgis.gost.ru/fundmetrology/cm/results/1-335125776" TargetMode="External"/><Relationship Id="rId662" Type="http://schemas.openxmlformats.org/officeDocument/2006/relationships/hyperlink" Target="https://fgis.gost.ru/fundmetrology/cm/results/1-32467881" TargetMode="External"/><Relationship Id="rId1085" Type="http://schemas.openxmlformats.org/officeDocument/2006/relationships/hyperlink" Target="https://fgis.gost.ru/fundmetrology/cm/results/1-179500494" TargetMode="External"/><Relationship Id="rId12" Type="http://schemas.openxmlformats.org/officeDocument/2006/relationships/hyperlink" Target="https://fgis.gost.ru/fundmetrology/cm/results/1-256311832" TargetMode="External"/><Relationship Id="rId108" Type="http://schemas.openxmlformats.org/officeDocument/2006/relationships/hyperlink" Target="https://fgis.gost.ru/fundmetrology/cm/results/1-208033146" TargetMode="External"/><Relationship Id="rId315" Type="http://schemas.openxmlformats.org/officeDocument/2006/relationships/hyperlink" Target="https://fgis.gost.ru/fundmetrology/cm/results/1-256311283" TargetMode="External"/><Relationship Id="rId522" Type="http://schemas.openxmlformats.org/officeDocument/2006/relationships/hyperlink" Target="https://fgis.gost.ru/fundmetrology/cm/results/1-336341784" TargetMode="External"/><Relationship Id="rId967" Type="http://schemas.openxmlformats.org/officeDocument/2006/relationships/hyperlink" Target="https://fgis.gost.ru/fundmetrology/cm/results/1-356791735" TargetMode="External"/><Relationship Id="rId96" Type="http://schemas.openxmlformats.org/officeDocument/2006/relationships/hyperlink" Target="https://fgis.gost.ru/fundmetrology/cm/results/1-25798603" TargetMode="External"/><Relationship Id="rId161" Type="http://schemas.openxmlformats.org/officeDocument/2006/relationships/hyperlink" Target="https://fgis.gost.ru/fundmetrology/cm/results/1-179500506" TargetMode="External"/><Relationship Id="rId399" Type="http://schemas.openxmlformats.org/officeDocument/2006/relationships/hyperlink" Target="https://fgis.gost.ru/fundmetrology/cm/results/1-158558469" TargetMode="External"/><Relationship Id="rId827" Type="http://schemas.openxmlformats.org/officeDocument/2006/relationships/hyperlink" Target="https://fgis.gost.ru/fundmetrology/cm/results/1-32467923" TargetMode="External"/><Relationship Id="rId1012" Type="http://schemas.openxmlformats.org/officeDocument/2006/relationships/hyperlink" Target="https://fgis.gost.ru/fundmetrology/cm/results/1-356791732" TargetMode="External"/><Relationship Id="rId259" Type="http://schemas.openxmlformats.org/officeDocument/2006/relationships/hyperlink" Target="https://fgis.gost.ru/fundmetrology/cm/results/1-244530109" TargetMode="External"/><Relationship Id="rId466" Type="http://schemas.openxmlformats.org/officeDocument/2006/relationships/hyperlink" Target="https://fgis.gost.ru/fundmetrology/cm/results/1-335125779" TargetMode="External"/><Relationship Id="rId673" Type="http://schemas.openxmlformats.org/officeDocument/2006/relationships/hyperlink" Target="https://fgis.gost.ru/fundmetrology/cm/results/1-158558484" TargetMode="External"/><Relationship Id="rId880" Type="http://schemas.openxmlformats.org/officeDocument/2006/relationships/hyperlink" Target="https://fgis.gost.ru/fundmetrology/cm/results/1-88830768" TargetMode="External"/><Relationship Id="rId1096" Type="http://schemas.openxmlformats.org/officeDocument/2006/relationships/hyperlink" Target="https://fgis.gost.ru/fundmetrology/cm/results/1-356791783" TargetMode="External"/><Relationship Id="rId23" Type="http://schemas.openxmlformats.org/officeDocument/2006/relationships/hyperlink" Target="https://fgis.gost.ru/fundmetrology/cm/results/1-258871757" TargetMode="External"/><Relationship Id="rId119" Type="http://schemas.openxmlformats.org/officeDocument/2006/relationships/hyperlink" Target="https://fgis.gost.ru/fundmetrology/cm/results/1-208033136" TargetMode="External"/><Relationship Id="rId326" Type="http://schemas.openxmlformats.org/officeDocument/2006/relationships/hyperlink" Target="https://fgis.gost.ru/fundmetrology/cm/results/1-244530108" TargetMode="External"/><Relationship Id="rId533" Type="http://schemas.openxmlformats.org/officeDocument/2006/relationships/hyperlink" Target="https://fgis.gost.ru/fundmetrology/cm/results/1-207651695" TargetMode="External"/><Relationship Id="rId978" Type="http://schemas.openxmlformats.org/officeDocument/2006/relationships/hyperlink" Target="https://fgis.gost.ru/fundmetrology/cm/results/1-356791728" TargetMode="External"/><Relationship Id="rId740" Type="http://schemas.openxmlformats.org/officeDocument/2006/relationships/hyperlink" Target="https://fgis.gost.ru/fundmetrology/cm/results/1-32467911" TargetMode="External"/><Relationship Id="rId838" Type="http://schemas.openxmlformats.org/officeDocument/2006/relationships/hyperlink" Target="https://fgis.gost.ru/fundmetrology/cm/results/1-88830525" TargetMode="External"/><Relationship Id="rId1023" Type="http://schemas.openxmlformats.org/officeDocument/2006/relationships/hyperlink" Target="https://fgis.gost.ru/fundmetrology/cm/results/1-88830739" TargetMode="External"/><Relationship Id="rId172" Type="http://schemas.openxmlformats.org/officeDocument/2006/relationships/hyperlink" Target="https://fgis.gost.ru/fundmetrology/cm/results/1-179500503" TargetMode="External"/><Relationship Id="rId477" Type="http://schemas.openxmlformats.org/officeDocument/2006/relationships/hyperlink" Target="https://fgis.gost.ru/fundmetrology/cm/results/1-288002648" TargetMode="External"/><Relationship Id="rId600" Type="http://schemas.openxmlformats.org/officeDocument/2006/relationships/hyperlink" Target="https://fgis.gost.ru/fundmetrology/cm/results/1-337163608" TargetMode="External"/><Relationship Id="rId684" Type="http://schemas.openxmlformats.org/officeDocument/2006/relationships/hyperlink" Target="https://fgis.gost.ru/fundmetrology/cm/results/1-208032938" TargetMode="External"/><Relationship Id="rId337" Type="http://schemas.openxmlformats.org/officeDocument/2006/relationships/hyperlink" Target="https://fgis.gost.ru/fundmetrology/cm/results/1-256311281" TargetMode="External"/><Relationship Id="rId891" Type="http://schemas.openxmlformats.org/officeDocument/2006/relationships/hyperlink" Target="https://fgis.gost.ru/fundmetrology/cm/results/1-259165763" TargetMode="External"/><Relationship Id="rId905" Type="http://schemas.openxmlformats.org/officeDocument/2006/relationships/hyperlink" Target="https://fgis.gost.ru/fundmetrology/cm/results/1-259165763" TargetMode="External"/><Relationship Id="rId989" Type="http://schemas.openxmlformats.org/officeDocument/2006/relationships/hyperlink" Target="https://fgis.gost.ru/fundmetrology/cm/results/1-88830666" TargetMode="External"/><Relationship Id="rId34" Type="http://schemas.openxmlformats.org/officeDocument/2006/relationships/hyperlink" Target="https://fgis.gost.ru/fundmetrology/cm/results/1-208033168" TargetMode="External"/><Relationship Id="rId544" Type="http://schemas.openxmlformats.org/officeDocument/2006/relationships/hyperlink" Target="https://fgis.gost.ru/fundmetrology/cm/results/1-337164254" TargetMode="External"/><Relationship Id="rId751" Type="http://schemas.openxmlformats.org/officeDocument/2006/relationships/hyperlink" Target="https://fgis.gost.ru/fundmetrology/cm/results/1-32467919" TargetMode="External"/><Relationship Id="rId849" Type="http://schemas.openxmlformats.org/officeDocument/2006/relationships/hyperlink" Target="https://fgis.gost.ru/fundmetrology/cm/results/1-390885434" TargetMode="External"/><Relationship Id="rId183" Type="http://schemas.openxmlformats.org/officeDocument/2006/relationships/hyperlink" Target="https://fgis.gost.ru/fundmetrology/cm/results/1-179500504" TargetMode="External"/><Relationship Id="rId390" Type="http://schemas.openxmlformats.org/officeDocument/2006/relationships/hyperlink" Target="https://fgis.gost.ru/fundmetrology/cm/results/1-158558407" TargetMode="External"/><Relationship Id="rId404" Type="http://schemas.openxmlformats.org/officeDocument/2006/relationships/hyperlink" Target="https://fgis.gost.ru/fundmetrology/cm/results/1-158558409" TargetMode="External"/><Relationship Id="rId611" Type="http://schemas.openxmlformats.org/officeDocument/2006/relationships/hyperlink" Target="https://fgis.gost.ru/fundmetrology/cm/results/2-177330671" TargetMode="External"/><Relationship Id="rId1034" Type="http://schemas.openxmlformats.org/officeDocument/2006/relationships/hyperlink" Target="https://fgis.gost.ru/fundmetrology/cm/results/1-356791733" TargetMode="External"/><Relationship Id="rId250" Type="http://schemas.openxmlformats.org/officeDocument/2006/relationships/hyperlink" Target="https://fgis.gost.ru/fundmetrology/cm/results/1-256311277" TargetMode="External"/><Relationship Id="rId488" Type="http://schemas.openxmlformats.org/officeDocument/2006/relationships/hyperlink" Target="https://fgis.gost.ru/fundmetrology/cm/results/1-256311779" TargetMode="External"/><Relationship Id="rId695" Type="http://schemas.openxmlformats.org/officeDocument/2006/relationships/hyperlink" Target="https://fgis.gost.ru/fundmetrology/cm/results/1-88830598" TargetMode="External"/><Relationship Id="rId709" Type="http://schemas.openxmlformats.org/officeDocument/2006/relationships/hyperlink" Target="https://fgis.gost.ru/fundmetrology/cm/results/1-256311794" TargetMode="External"/><Relationship Id="rId916" Type="http://schemas.openxmlformats.org/officeDocument/2006/relationships/hyperlink" Target="https://fgis.gost.ru/fundmetrology/cm/results/1-88830544" TargetMode="External"/><Relationship Id="rId1101" Type="http://schemas.openxmlformats.org/officeDocument/2006/relationships/hyperlink" Target="https://fgis.gost.ru/fundmetrology/cm/results/1-356791782" TargetMode="External"/><Relationship Id="rId45" Type="http://schemas.openxmlformats.org/officeDocument/2006/relationships/hyperlink" Target="https://fgis.gost.ru/fundmetrology/cm/results/1-258871757" TargetMode="External"/><Relationship Id="rId110" Type="http://schemas.openxmlformats.org/officeDocument/2006/relationships/hyperlink" Target="https://fgis.gost.ru/fundmetrology/cm/results/1-258871764" TargetMode="External"/><Relationship Id="rId348" Type="http://schemas.openxmlformats.org/officeDocument/2006/relationships/hyperlink" Target="https://fgis.gost.ru/fundmetrology/cm/results/1-244530107" TargetMode="External"/><Relationship Id="rId555" Type="http://schemas.openxmlformats.org/officeDocument/2006/relationships/hyperlink" Target="https://fgis.gost.ru/fundmetrology/cm/results/1-207651693" TargetMode="External"/><Relationship Id="rId762" Type="http://schemas.openxmlformats.org/officeDocument/2006/relationships/hyperlink" Target="https://fgis.gost.ru/fundmetrology/cm/results/1-32467947" TargetMode="External"/><Relationship Id="rId194" Type="http://schemas.openxmlformats.org/officeDocument/2006/relationships/hyperlink" Target="https://fgis.gost.ru/fundmetrology/cm/results/1-244530109" TargetMode="External"/><Relationship Id="rId208" Type="http://schemas.openxmlformats.org/officeDocument/2006/relationships/hyperlink" Target="https://fgis.gost.ru/fundmetrology/cm/results/1-244530105" TargetMode="External"/><Relationship Id="rId415" Type="http://schemas.openxmlformats.org/officeDocument/2006/relationships/hyperlink" Target="https://fgis.gost.ru/fundmetrology/cm/results/1-169638073" TargetMode="External"/><Relationship Id="rId622" Type="http://schemas.openxmlformats.org/officeDocument/2006/relationships/hyperlink" Target="https://fgis.gost.ru/fundmetrology/cm/results/2-177330661" TargetMode="External"/><Relationship Id="rId1045" Type="http://schemas.openxmlformats.org/officeDocument/2006/relationships/hyperlink" Target="https://fgis.gost.ru/fundmetrology/cm/results/1-169638051" TargetMode="External"/><Relationship Id="rId261" Type="http://schemas.openxmlformats.org/officeDocument/2006/relationships/hyperlink" Target="https://fgis.gost.ru/fundmetrology/cm/results/1-244530106" TargetMode="External"/><Relationship Id="rId499" Type="http://schemas.openxmlformats.org/officeDocument/2006/relationships/hyperlink" Target="https://fgis.gost.ru/fundmetrology/cm/results/1-338189033" TargetMode="External"/><Relationship Id="rId927" Type="http://schemas.openxmlformats.org/officeDocument/2006/relationships/hyperlink" Target="https://fgis.gost.ru/fundmetrology/cm/results/1-437700663" TargetMode="External"/><Relationship Id="rId1112" Type="http://schemas.openxmlformats.org/officeDocument/2006/relationships/hyperlink" Target="https://fgis.gost.ru/fundmetrology/cm/results/1-356791729" TargetMode="External"/><Relationship Id="rId56" Type="http://schemas.openxmlformats.org/officeDocument/2006/relationships/hyperlink" Target="https://fgis.gost.ru/fundmetrology/cm/results/1-258871765" TargetMode="External"/><Relationship Id="rId359" Type="http://schemas.openxmlformats.org/officeDocument/2006/relationships/hyperlink" Target="https://fgis.gost.ru/fundmetrology/cm/results/1-244530104" TargetMode="External"/><Relationship Id="rId566" Type="http://schemas.openxmlformats.org/officeDocument/2006/relationships/hyperlink" Target="https://fgis.gost.ru/fundmetrology/cm/results/1-337164280" TargetMode="External"/><Relationship Id="rId773" Type="http://schemas.openxmlformats.org/officeDocument/2006/relationships/hyperlink" Target="https://fgis.gost.ru/fundmetrology/cm/results/1-32467954" TargetMode="External"/><Relationship Id="rId121" Type="http://schemas.openxmlformats.org/officeDocument/2006/relationships/hyperlink" Target="https://fgis.gost.ru/fundmetrology/cm/results/1-258871764" TargetMode="External"/><Relationship Id="rId219" Type="http://schemas.openxmlformats.org/officeDocument/2006/relationships/hyperlink" Target="https://fgis.gost.ru/fundmetrology/cm/results/1-244530109" TargetMode="External"/><Relationship Id="rId426" Type="http://schemas.openxmlformats.org/officeDocument/2006/relationships/hyperlink" Target="https://fgis.gost.ru/fundmetrology/cm/results/1-334719763" TargetMode="External"/><Relationship Id="rId633" Type="http://schemas.openxmlformats.org/officeDocument/2006/relationships/hyperlink" Target="https://fgis.gost.ru/fundmetrology/cm/results/1-158558478" TargetMode="External"/><Relationship Id="rId980" Type="http://schemas.openxmlformats.org/officeDocument/2006/relationships/hyperlink" Target="https://fgis.gost.ru/fundmetrology/cm/results/1-356791728" TargetMode="External"/><Relationship Id="rId1056" Type="http://schemas.openxmlformats.org/officeDocument/2006/relationships/hyperlink" Target="https://fgis.gost.ru/fundmetrology/cm/results/1-356791736" TargetMode="External"/><Relationship Id="rId840" Type="http://schemas.openxmlformats.org/officeDocument/2006/relationships/hyperlink" Target="https://fgis.gost.ru/fundmetrology/cm/results/1-390885434" TargetMode="External"/><Relationship Id="rId938" Type="http://schemas.openxmlformats.org/officeDocument/2006/relationships/hyperlink" Target="https://fgis.gost.ru/fundmetrology/cm/results/1-80242400" TargetMode="External"/><Relationship Id="rId67" Type="http://schemas.openxmlformats.org/officeDocument/2006/relationships/hyperlink" Target="https://fgis.gost.ru/fundmetrology/cm/results/1-208033153" TargetMode="External"/><Relationship Id="rId272" Type="http://schemas.openxmlformats.org/officeDocument/2006/relationships/hyperlink" Target="https://fgis.gost.ru/fundmetrology/cm/results/1-25798627" TargetMode="External"/><Relationship Id="rId577" Type="http://schemas.openxmlformats.org/officeDocument/2006/relationships/hyperlink" Target="https://fgis.gost.ru/fundmetrology/cm/results/1-337164266" TargetMode="External"/><Relationship Id="rId700" Type="http://schemas.openxmlformats.org/officeDocument/2006/relationships/hyperlink" Target="https://fgis.gost.ru/fundmetrology/cm/results/1-169638060" TargetMode="External"/><Relationship Id="rId1123" Type="http://schemas.openxmlformats.org/officeDocument/2006/relationships/hyperlink" Target="https://fgis.gost.ru/fundmetrology/cm/results/1-259165761" TargetMode="External"/><Relationship Id="rId132" Type="http://schemas.openxmlformats.org/officeDocument/2006/relationships/hyperlink" Target="https://fgis.gost.ru/fundmetrology/cm/results/1-208033270" TargetMode="External"/><Relationship Id="rId784" Type="http://schemas.openxmlformats.org/officeDocument/2006/relationships/hyperlink" Target="https://fgis.gost.ru/fundmetrology/cm/results/1-88830828" TargetMode="External"/><Relationship Id="rId991" Type="http://schemas.openxmlformats.org/officeDocument/2006/relationships/hyperlink" Target="https://fgis.gost.ru/fundmetrology/cm/results/1-356791731" TargetMode="External"/><Relationship Id="rId1067" Type="http://schemas.openxmlformats.org/officeDocument/2006/relationships/hyperlink" Target="https://fgis.gost.ru/fundmetrology/cm/results/1-356791783" TargetMode="External"/><Relationship Id="rId437" Type="http://schemas.openxmlformats.org/officeDocument/2006/relationships/hyperlink" Target="https://fgis.gost.ru/fundmetrology/cm/results/1-334719775" TargetMode="External"/><Relationship Id="rId644" Type="http://schemas.openxmlformats.org/officeDocument/2006/relationships/hyperlink" Target="https://fgis.gost.ru/fundmetrology/cm/results/1-20319270" TargetMode="External"/><Relationship Id="rId851" Type="http://schemas.openxmlformats.org/officeDocument/2006/relationships/hyperlink" Target="https://fgis.gost.ru/fundmetrology/cm/results/1-32467931" TargetMode="External"/><Relationship Id="rId283" Type="http://schemas.openxmlformats.org/officeDocument/2006/relationships/hyperlink" Target="https://fgis.gost.ru/fundmetrology/cm/results/1-244530104" TargetMode="External"/><Relationship Id="rId490" Type="http://schemas.openxmlformats.org/officeDocument/2006/relationships/hyperlink" Target="https://fgis.gost.ru/fundmetrology/cm/results/1-335125760" TargetMode="External"/><Relationship Id="rId504" Type="http://schemas.openxmlformats.org/officeDocument/2006/relationships/hyperlink" Target="https://fgis.gost.ru/fundmetrology/cm/results/1-336341791" TargetMode="External"/><Relationship Id="rId711" Type="http://schemas.openxmlformats.org/officeDocument/2006/relationships/hyperlink" Target="https://fgis.gost.ru/fundmetrology/cm/results/1-256311794" TargetMode="External"/><Relationship Id="rId949" Type="http://schemas.openxmlformats.org/officeDocument/2006/relationships/hyperlink" Target="https://fgis.gost.ru/fundmetrology/cm/results/1-88830623" TargetMode="External"/><Relationship Id="rId1134" Type="http://schemas.openxmlformats.org/officeDocument/2006/relationships/hyperlink" Target="https://fgis.gost.ru/fundmetrology/cm/results/1-288002619" TargetMode="External"/><Relationship Id="rId78" Type="http://schemas.openxmlformats.org/officeDocument/2006/relationships/hyperlink" Target="https://fgis.gost.ru/fundmetrology/cm/results/1-258871765" TargetMode="External"/><Relationship Id="rId143" Type="http://schemas.openxmlformats.org/officeDocument/2006/relationships/hyperlink" Target="https://fgis.gost.ru/fundmetrology/cm/results/1-208033166" TargetMode="External"/><Relationship Id="rId350" Type="http://schemas.openxmlformats.org/officeDocument/2006/relationships/hyperlink" Target="https://fgis.gost.ru/fundmetrology/cm/results/1-256311271" TargetMode="External"/><Relationship Id="rId588" Type="http://schemas.openxmlformats.org/officeDocument/2006/relationships/hyperlink" Target="https://fgis.gost.ru/fundmetrology/cm/results/1-337163616" TargetMode="External"/><Relationship Id="rId795" Type="http://schemas.openxmlformats.org/officeDocument/2006/relationships/hyperlink" Target="https://fgis.gost.ru/fundmetrology/cm/results/1-32467968" TargetMode="External"/><Relationship Id="rId809" Type="http://schemas.openxmlformats.org/officeDocument/2006/relationships/hyperlink" Target="https://fgis.gost.ru/fundmetrology/cm/results/1-88830832" TargetMode="External"/><Relationship Id="rId9" Type="http://schemas.openxmlformats.org/officeDocument/2006/relationships/hyperlink" Target="https://fgis.gost.ru/fundmetrology/cm/results/1-208033130" TargetMode="External"/><Relationship Id="rId210" Type="http://schemas.openxmlformats.org/officeDocument/2006/relationships/hyperlink" Target="https://fgis.gost.ru/fundmetrology/cm/results/1-256311299" TargetMode="External"/><Relationship Id="rId448" Type="http://schemas.openxmlformats.org/officeDocument/2006/relationships/hyperlink" Target="https://fgis.gost.ru/fundmetrology/cm/results/1-304290184" TargetMode="External"/><Relationship Id="rId655" Type="http://schemas.openxmlformats.org/officeDocument/2006/relationships/hyperlink" Target="https://fgis.gost.ru/fundmetrology/cm/results/2-177330649" TargetMode="External"/><Relationship Id="rId862" Type="http://schemas.openxmlformats.org/officeDocument/2006/relationships/hyperlink" Target="https://fgis.gost.ru/fundmetrology/cm/results/1-88830534" TargetMode="External"/><Relationship Id="rId1078" Type="http://schemas.openxmlformats.org/officeDocument/2006/relationships/hyperlink" Target="https://fgis.gost.ru/fundmetrology/cm/results/1-356791783" TargetMode="External"/><Relationship Id="rId294" Type="http://schemas.openxmlformats.org/officeDocument/2006/relationships/hyperlink" Target="https://fgis.gost.ru/fundmetrology/cm/results/1-244530104" TargetMode="External"/><Relationship Id="rId308" Type="http://schemas.openxmlformats.org/officeDocument/2006/relationships/hyperlink" Target="https://fgis.gost.ru/fundmetrology/cm/results/1-244530107" TargetMode="External"/><Relationship Id="rId515" Type="http://schemas.openxmlformats.org/officeDocument/2006/relationships/hyperlink" Target="https://fgis.gost.ru/fundmetrology/cm/results/1-336341803" TargetMode="External"/><Relationship Id="rId722" Type="http://schemas.openxmlformats.org/officeDocument/2006/relationships/hyperlink" Target="https://fgis.gost.ru/fundmetrology/cm/results/1-169638057" TargetMode="External"/><Relationship Id="rId89" Type="http://schemas.openxmlformats.org/officeDocument/2006/relationships/hyperlink" Target="https://fgis.gost.ru/fundmetrology/cm/results/1-25798601" TargetMode="External"/><Relationship Id="rId154" Type="http://schemas.openxmlformats.org/officeDocument/2006/relationships/hyperlink" Target="https://fgis.gost.ru/fundmetrology/cm/results/1-179500530" TargetMode="External"/><Relationship Id="rId361" Type="http://schemas.openxmlformats.org/officeDocument/2006/relationships/hyperlink" Target="https://fgis.gost.ru/fundmetrology/cm/results/1-244530108" TargetMode="External"/><Relationship Id="rId599" Type="http://schemas.openxmlformats.org/officeDocument/2006/relationships/hyperlink" Target="https://fgis.gost.ru/fundmetrology/cm/results/1-179500522" TargetMode="External"/><Relationship Id="rId1005" Type="http://schemas.openxmlformats.org/officeDocument/2006/relationships/hyperlink" Target="https://fgis.gost.ru/fundmetrology/cm/results/1-356791732" TargetMode="External"/><Relationship Id="rId459" Type="http://schemas.openxmlformats.org/officeDocument/2006/relationships/hyperlink" Target="https://fgis.gost.ru/fundmetrology/cm/results/1-335125766" TargetMode="External"/><Relationship Id="rId666" Type="http://schemas.openxmlformats.org/officeDocument/2006/relationships/hyperlink" Target="https://fgis.gost.ru/fundmetrology/cm/results/1-383156893" TargetMode="External"/><Relationship Id="rId873" Type="http://schemas.openxmlformats.org/officeDocument/2006/relationships/hyperlink" Target="https://fgis.gost.ru/fundmetrology/cm/results/1-88830537" TargetMode="External"/><Relationship Id="rId1089" Type="http://schemas.openxmlformats.org/officeDocument/2006/relationships/hyperlink" Target="https://fgis.gost.ru/fundmetrology/cm/results/1-356791736" TargetMode="External"/><Relationship Id="rId16" Type="http://schemas.openxmlformats.org/officeDocument/2006/relationships/hyperlink" Target="https://fgis.gost.ru/fundmetrology/cm/results/1-208033127" TargetMode="External"/><Relationship Id="rId221" Type="http://schemas.openxmlformats.org/officeDocument/2006/relationships/hyperlink" Target="https://fgis.gost.ru/fundmetrology/cm/results/1-244530106" TargetMode="External"/><Relationship Id="rId319" Type="http://schemas.openxmlformats.org/officeDocument/2006/relationships/hyperlink" Target="https://fgis.gost.ru/fundmetrology/cm/results/1-244530104" TargetMode="External"/><Relationship Id="rId526" Type="http://schemas.openxmlformats.org/officeDocument/2006/relationships/hyperlink" Target="https://fgis.gost.ru/fundmetrology/cm/results/1-336341801" TargetMode="External"/><Relationship Id="rId733" Type="http://schemas.openxmlformats.org/officeDocument/2006/relationships/hyperlink" Target="https://fgis.gost.ru/fundmetrology/cm/results/1-32467905" TargetMode="External"/><Relationship Id="rId940" Type="http://schemas.openxmlformats.org/officeDocument/2006/relationships/hyperlink" Target="https://fgis.gost.ru/fundmetrology/cm/results/1-179500483" TargetMode="External"/><Relationship Id="rId1016" Type="http://schemas.openxmlformats.org/officeDocument/2006/relationships/hyperlink" Target="https://fgis.gost.ru/fundmetrology/cm/results/1-356791732" TargetMode="External"/><Relationship Id="rId165" Type="http://schemas.openxmlformats.org/officeDocument/2006/relationships/hyperlink" Target="https://fgis.gost.ru/fundmetrology/cm/results/1-179500498" TargetMode="External"/><Relationship Id="rId372" Type="http://schemas.openxmlformats.org/officeDocument/2006/relationships/hyperlink" Target="https://fgis.gost.ru/fundmetrology/cm/results/1-208033007" TargetMode="External"/><Relationship Id="rId677" Type="http://schemas.openxmlformats.org/officeDocument/2006/relationships/hyperlink" Target="https://fgis.gost.ru/fundmetrology/cm/results/1-396720629" TargetMode="External"/><Relationship Id="rId800" Type="http://schemas.openxmlformats.org/officeDocument/2006/relationships/hyperlink" Target="https://fgis.gost.ru/fundmetrology/cm/results/1-88830831" TargetMode="External"/><Relationship Id="rId232" Type="http://schemas.openxmlformats.org/officeDocument/2006/relationships/hyperlink" Target="https://fgis.gost.ru/fundmetrology/cm/results/1-244530102" TargetMode="External"/><Relationship Id="rId884" Type="http://schemas.openxmlformats.org/officeDocument/2006/relationships/hyperlink" Target="https://fgis.gost.ru/fundmetrology/cm/results/1-75261816" TargetMode="External"/><Relationship Id="rId27" Type="http://schemas.openxmlformats.org/officeDocument/2006/relationships/hyperlink" Target="https://fgis.gost.ru/fundmetrology/cm/results/1-208033170" TargetMode="External"/><Relationship Id="rId537" Type="http://schemas.openxmlformats.org/officeDocument/2006/relationships/hyperlink" Target="https://fgis.gost.ru/fundmetrology/cm/results/1-207651694" TargetMode="External"/><Relationship Id="rId744" Type="http://schemas.openxmlformats.org/officeDocument/2006/relationships/hyperlink" Target="https://fgis.gost.ru/fundmetrology/cm/results/1-88830821" TargetMode="External"/><Relationship Id="rId951" Type="http://schemas.openxmlformats.org/officeDocument/2006/relationships/hyperlink" Target="https://fgis.gost.ru/fundmetrology/cm/results/1-356791735" TargetMode="External"/><Relationship Id="rId80" Type="http://schemas.openxmlformats.org/officeDocument/2006/relationships/hyperlink" Target="https://fgis.gost.ru/fundmetrology/cm/results/1-208033156" TargetMode="External"/><Relationship Id="rId176" Type="http://schemas.openxmlformats.org/officeDocument/2006/relationships/hyperlink" Target="https://fgis.gost.ru/fundmetrology/cm/results/1-179500511" TargetMode="External"/><Relationship Id="rId383" Type="http://schemas.openxmlformats.org/officeDocument/2006/relationships/hyperlink" Target="https://fgis.gost.ru/fundmetrology/cm/results/1-158558398" TargetMode="External"/><Relationship Id="rId590" Type="http://schemas.openxmlformats.org/officeDocument/2006/relationships/hyperlink" Target="https://fgis.gost.ru/fundmetrology/cm/results/1-337163615" TargetMode="External"/><Relationship Id="rId604" Type="http://schemas.openxmlformats.org/officeDocument/2006/relationships/hyperlink" Target="https://fgis.gost.ru/fundmetrology/cm/results/2-177345476" TargetMode="External"/><Relationship Id="rId811" Type="http://schemas.openxmlformats.org/officeDocument/2006/relationships/hyperlink" Target="https://fgis.gost.ru/fundmetrology/cm/results/1-32467979" TargetMode="External"/><Relationship Id="rId1027" Type="http://schemas.openxmlformats.org/officeDocument/2006/relationships/hyperlink" Target="https://fgis.gost.ru/fundmetrology/cm/results/1-88830741" TargetMode="External"/><Relationship Id="rId243" Type="http://schemas.openxmlformats.org/officeDocument/2006/relationships/hyperlink" Target="https://fgis.gost.ru/fundmetrology/cm/results/1-244530105" TargetMode="External"/><Relationship Id="rId450" Type="http://schemas.openxmlformats.org/officeDocument/2006/relationships/hyperlink" Target="https://fgis.gost.ru/fundmetrology/cm/results/1-335125759" TargetMode="External"/><Relationship Id="rId688" Type="http://schemas.openxmlformats.org/officeDocument/2006/relationships/hyperlink" Target="https://fgis.gost.ru/fundmetrology/cm/results/1-80242392" TargetMode="External"/><Relationship Id="rId895" Type="http://schemas.openxmlformats.org/officeDocument/2006/relationships/hyperlink" Target="https://fgis.gost.ru/fundmetrology/cm/results/1-259165763" TargetMode="External"/><Relationship Id="rId909" Type="http://schemas.openxmlformats.org/officeDocument/2006/relationships/hyperlink" Target="https://fgis.gost.ru/fundmetrology/cm/results/1-259165763" TargetMode="External"/><Relationship Id="rId1080" Type="http://schemas.openxmlformats.org/officeDocument/2006/relationships/hyperlink" Target="https://fgis.gost.ru/fundmetrology/cm/results/1-356791783" TargetMode="External"/><Relationship Id="rId38" Type="http://schemas.openxmlformats.org/officeDocument/2006/relationships/hyperlink" Target="https://fgis.gost.ru/fundmetrology/cm/results/1-208033160" TargetMode="External"/><Relationship Id="rId103" Type="http://schemas.openxmlformats.org/officeDocument/2006/relationships/hyperlink" Target="https://fgis.gost.ru/fundmetrology/cm/results/1-208033142" TargetMode="External"/><Relationship Id="rId310" Type="http://schemas.openxmlformats.org/officeDocument/2006/relationships/hyperlink" Target="https://fgis.gost.ru/fundmetrology/cm/results/1-256311270" TargetMode="External"/><Relationship Id="rId548" Type="http://schemas.openxmlformats.org/officeDocument/2006/relationships/hyperlink" Target="https://fgis.gost.ru/fundmetrology/cm/results/1-337164235" TargetMode="External"/><Relationship Id="rId755" Type="http://schemas.openxmlformats.org/officeDocument/2006/relationships/hyperlink" Target="https://fgis.gost.ru/fundmetrology/cm/results/1-32467922" TargetMode="External"/><Relationship Id="rId962" Type="http://schemas.openxmlformats.org/officeDocument/2006/relationships/hyperlink" Target="https://fgis.gost.ru/fundmetrology/cm/results/1-88830659" TargetMode="External"/><Relationship Id="rId91" Type="http://schemas.openxmlformats.org/officeDocument/2006/relationships/hyperlink" Target="https://fgis.gost.ru/fundmetrology/cm/results/1-258871766" TargetMode="External"/><Relationship Id="rId187" Type="http://schemas.openxmlformats.org/officeDocument/2006/relationships/hyperlink" Target="https://fgis.gost.ru/fundmetrology/cm/results/1-244530105" TargetMode="External"/><Relationship Id="rId394" Type="http://schemas.openxmlformats.org/officeDocument/2006/relationships/hyperlink" Target="https://fgis.gost.ru/fundmetrology/cm/results/1-158558461" TargetMode="External"/><Relationship Id="rId408" Type="http://schemas.openxmlformats.org/officeDocument/2006/relationships/hyperlink" Target="https://fgis.gost.ru/fundmetrology/cm/results/1-158558448" TargetMode="External"/><Relationship Id="rId615" Type="http://schemas.openxmlformats.org/officeDocument/2006/relationships/hyperlink" Target="https://fgis.gost.ru/fundmetrology/cm/results/2-177330667" TargetMode="External"/><Relationship Id="rId822" Type="http://schemas.openxmlformats.org/officeDocument/2006/relationships/hyperlink" Target="https://fgis.gost.ru/fundmetrology/cm/results/1-88830519" TargetMode="External"/><Relationship Id="rId1038" Type="http://schemas.openxmlformats.org/officeDocument/2006/relationships/hyperlink" Target="https://fgis.gost.ru/fundmetrology/cm/results/1-356791736" TargetMode="External"/><Relationship Id="rId254" Type="http://schemas.openxmlformats.org/officeDocument/2006/relationships/hyperlink" Target="https://fgis.gost.ru/fundmetrology/cm/results/1-244530109" TargetMode="External"/><Relationship Id="rId699" Type="http://schemas.openxmlformats.org/officeDocument/2006/relationships/hyperlink" Target="https://fgis.gost.ru/fundmetrology/cm/results/1-256311794" TargetMode="External"/><Relationship Id="rId1091" Type="http://schemas.openxmlformats.org/officeDocument/2006/relationships/hyperlink" Target="https://fgis.gost.ru/fundmetrology/cm/results/1-179500496" TargetMode="External"/><Relationship Id="rId1105" Type="http://schemas.openxmlformats.org/officeDocument/2006/relationships/hyperlink" Target="https://fgis.gost.ru/fundmetrology/cm/results/1-356791782" TargetMode="External"/><Relationship Id="rId49" Type="http://schemas.openxmlformats.org/officeDocument/2006/relationships/hyperlink" Target="https://fgis.gost.ru/fundmetrology/cm/results/1-256311312" TargetMode="External"/><Relationship Id="rId114" Type="http://schemas.openxmlformats.org/officeDocument/2006/relationships/hyperlink" Target="https://fgis.gost.ru/fundmetrology/cm/results/1-258871766" TargetMode="External"/><Relationship Id="rId461" Type="http://schemas.openxmlformats.org/officeDocument/2006/relationships/hyperlink" Target="https://fgis.gost.ru/fundmetrology/cm/results/1-335125754" TargetMode="External"/><Relationship Id="rId559" Type="http://schemas.openxmlformats.org/officeDocument/2006/relationships/hyperlink" Target="https://fgis.gost.ru/fundmetrology/cm/results/1-207651698" TargetMode="External"/><Relationship Id="rId766" Type="http://schemas.openxmlformats.org/officeDocument/2006/relationships/hyperlink" Target="https://fgis.gost.ru/fundmetrology/cm/results/1-88830586" TargetMode="External"/><Relationship Id="rId198" Type="http://schemas.openxmlformats.org/officeDocument/2006/relationships/hyperlink" Target="https://fgis.gost.ru/fundmetrology/cm/results/1-244530105" TargetMode="External"/><Relationship Id="rId321" Type="http://schemas.openxmlformats.org/officeDocument/2006/relationships/hyperlink" Target="https://fgis.gost.ru/fundmetrology/cm/results/1-244530108" TargetMode="External"/><Relationship Id="rId419" Type="http://schemas.openxmlformats.org/officeDocument/2006/relationships/hyperlink" Target="https://fgis.gost.ru/fundmetrology/cm/results/1-169638075" TargetMode="External"/><Relationship Id="rId626" Type="http://schemas.openxmlformats.org/officeDocument/2006/relationships/hyperlink" Target="https://fgis.gost.ru/fundmetrology/cm/results/2-177330658" TargetMode="External"/><Relationship Id="rId973" Type="http://schemas.openxmlformats.org/officeDocument/2006/relationships/hyperlink" Target="https://fgis.gost.ru/fundmetrology/cm/results/1-356791728" TargetMode="External"/><Relationship Id="rId1049" Type="http://schemas.openxmlformats.org/officeDocument/2006/relationships/hyperlink" Target="https://fgis.gost.ru/fundmetrology/cm/results/1-356791736" TargetMode="External"/><Relationship Id="rId833" Type="http://schemas.openxmlformats.org/officeDocument/2006/relationships/hyperlink" Target="https://fgis.gost.ru/fundmetrology/cm/results/1-32467925" TargetMode="External"/><Relationship Id="rId1116" Type="http://schemas.openxmlformats.org/officeDocument/2006/relationships/hyperlink" Target="https://fgis.gost.ru/fundmetrology/cm/results/1-88830652" TargetMode="External"/><Relationship Id="rId265" Type="http://schemas.openxmlformats.org/officeDocument/2006/relationships/hyperlink" Target="https://fgis.gost.ru/fundmetrology/cm/results/1-256311325" TargetMode="External"/><Relationship Id="rId472" Type="http://schemas.openxmlformats.org/officeDocument/2006/relationships/hyperlink" Target="https://fgis.gost.ru/fundmetrology/cm/results/1-256311782" TargetMode="External"/><Relationship Id="rId900" Type="http://schemas.openxmlformats.org/officeDocument/2006/relationships/hyperlink" Target="https://fgis.gost.ru/fundmetrology/cm/results/1-259165763" TargetMode="External"/><Relationship Id="rId125" Type="http://schemas.openxmlformats.org/officeDocument/2006/relationships/hyperlink" Target="https://fgis.gost.ru/fundmetrology/cm/results/1-208032994" TargetMode="External"/><Relationship Id="rId332" Type="http://schemas.openxmlformats.org/officeDocument/2006/relationships/hyperlink" Target="https://fgis.gost.ru/fundmetrology/cm/results/1-256311282" TargetMode="External"/><Relationship Id="rId777" Type="http://schemas.openxmlformats.org/officeDocument/2006/relationships/hyperlink" Target="https://fgis.gost.ru/fundmetrology/cm/results/1-32467957" TargetMode="External"/><Relationship Id="rId984" Type="http://schemas.openxmlformats.org/officeDocument/2006/relationships/hyperlink" Target="https://fgis.gost.ru/fundmetrology/cm/results/1-356791728" TargetMode="External"/><Relationship Id="rId637" Type="http://schemas.openxmlformats.org/officeDocument/2006/relationships/hyperlink" Target="https://fgis.gost.ru/fundmetrology/cm/results/1-32467889" TargetMode="External"/><Relationship Id="rId844" Type="http://schemas.openxmlformats.org/officeDocument/2006/relationships/hyperlink" Target="https://fgis.gost.ru/fundmetrology/cm/results/1-88830763" TargetMode="External"/><Relationship Id="rId276" Type="http://schemas.openxmlformats.org/officeDocument/2006/relationships/hyperlink" Target="https://fgis.gost.ru/fundmetrology/cm/results/1-244530109" TargetMode="External"/><Relationship Id="rId483" Type="http://schemas.openxmlformats.org/officeDocument/2006/relationships/hyperlink" Target="https://fgis.gost.ru/fundmetrology/cm/results/1-335125753" TargetMode="External"/><Relationship Id="rId690" Type="http://schemas.openxmlformats.org/officeDocument/2006/relationships/hyperlink" Target="https://fgis.gost.ru/fundmetrology/cm/results/1-396720624" TargetMode="External"/><Relationship Id="rId704" Type="http://schemas.openxmlformats.org/officeDocument/2006/relationships/hyperlink" Target="https://fgis.gost.ru/fundmetrology/cm/results/1-256311794" TargetMode="External"/><Relationship Id="rId911" Type="http://schemas.openxmlformats.org/officeDocument/2006/relationships/hyperlink" Target="https://fgis.gost.ru/fundmetrology/cm/results/1-259165763" TargetMode="External"/><Relationship Id="rId1127" Type="http://schemas.openxmlformats.org/officeDocument/2006/relationships/hyperlink" Target="https://fgis.gost.ru/fundmetrology/cm/results/1-288002619" TargetMode="External"/><Relationship Id="rId40" Type="http://schemas.openxmlformats.org/officeDocument/2006/relationships/hyperlink" Target="https://fgis.gost.ru/fundmetrology/cm/results/1-256311832" TargetMode="External"/><Relationship Id="rId136" Type="http://schemas.openxmlformats.org/officeDocument/2006/relationships/hyperlink" Target="https://fgis.gost.ru/fundmetrology/cm/results/1-208033132" TargetMode="External"/><Relationship Id="rId343" Type="http://schemas.openxmlformats.org/officeDocument/2006/relationships/hyperlink" Target="https://fgis.gost.ru/fundmetrology/cm/results/1-244530107" TargetMode="External"/><Relationship Id="rId550" Type="http://schemas.openxmlformats.org/officeDocument/2006/relationships/hyperlink" Target="https://fgis.gost.ru/fundmetrology/cm/results/1-337164249" TargetMode="External"/><Relationship Id="rId788" Type="http://schemas.openxmlformats.org/officeDocument/2006/relationships/hyperlink" Target="https://fgis.gost.ru/fundmetrology/cm/results/1-32467962" TargetMode="External"/><Relationship Id="rId995" Type="http://schemas.openxmlformats.org/officeDocument/2006/relationships/hyperlink" Target="https://fgis.gost.ru/fundmetrology/cm/results/1-356791731" TargetMode="External"/><Relationship Id="rId203" Type="http://schemas.openxmlformats.org/officeDocument/2006/relationships/hyperlink" Target="https://fgis.gost.ru/fundmetrology/cm/results/1-244530105" TargetMode="External"/><Relationship Id="rId648" Type="http://schemas.openxmlformats.org/officeDocument/2006/relationships/hyperlink" Target="https://fgis.gost.ru/fundmetrology/cm/results/1-32467885" TargetMode="External"/><Relationship Id="rId855" Type="http://schemas.openxmlformats.org/officeDocument/2006/relationships/hyperlink" Target="https://fgis.gost.ru/fundmetrology/cm/results/1-390885434" TargetMode="External"/><Relationship Id="rId1040" Type="http://schemas.openxmlformats.org/officeDocument/2006/relationships/hyperlink" Target="https://fgis.gost.ru/fundmetrology/cm/results/1-356791736" TargetMode="External"/><Relationship Id="rId287" Type="http://schemas.openxmlformats.org/officeDocument/2006/relationships/hyperlink" Target="https://fgis.gost.ru/fundmetrology/cm/results/1-244530107" TargetMode="External"/><Relationship Id="rId410" Type="http://schemas.openxmlformats.org/officeDocument/2006/relationships/hyperlink" Target="https://fgis.gost.ru/fundmetrology/cm/results/1-169638077" TargetMode="External"/><Relationship Id="rId494" Type="http://schemas.openxmlformats.org/officeDocument/2006/relationships/hyperlink" Target="https://fgis.gost.ru/fundmetrology/cm/results/1-336341793" TargetMode="External"/><Relationship Id="rId508" Type="http://schemas.openxmlformats.org/officeDocument/2006/relationships/hyperlink" Target="https://fgis.gost.ru/fundmetrology/cm/results/1-336341795" TargetMode="External"/><Relationship Id="rId715" Type="http://schemas.openxmlformats.org/officeDocument/2006/relationships/hyperlink" Target="https://fgis.gost.ru/fundmetrology/cm/results/1-88830564" TargetMode="External"/><Relationship Id="rId922" Type="http://schemas.openxmlformats.org/officeDocument/2006/relationships/hyperlink" Target="https://fgis.gost.ru/fundmetrology/cm/results/1-88830727" TargetMode="External"/><Relationship Id="rId1138" Type="http://schemas.openxmlformats.org/officeDocument/2006/relationships/comments" Target="../comments1.xml"/><Relationship Id="rId147" Type="http://schemas.openxmlformats.org/officeDocument/2006/relationships/hyperlink" Target="https://fgis.gost.ru/fundmetrology/cm/results/1-256311826" TargetMode="External"/><Relationship Id="rId354" Type="http://schemas.openxmlformats.org/officeDocument/2006/relationships/hyperlink" Target="https://fgis.gost.ru/fundmetrology/cm/results/1-244530104" TargetMode="External"/><Relationship Id="rId799" Type="http://schemas.openxmlformats.org/officeDocument/2006/relationships/hyperlink" Target="https://fgis.gost.ru/fundmetrology/cm/results/1-32467971" TargetMode="External"/><Relationship Id="rId51" Type="http://schemas.openxmlformats.org/officeDocument/2006/relationships/hyperlink" Target="https://fgis.gost.ru/fundmetrology/cm/results/1-258871762" TargetMode="External"/><Relationship Id="rId561" Type="http://schemas.openxmlformats.org/officeDocument/2006/relationships/hyperlink" Target="https://fgis.gost.ru/fundmetrology/cm/results/1-288002643" TargetMode="External"/><Relationship Id="rId659" Type="http://schemas.openxmlformats.org/officeDocument/2006/relationships/hyperlink" Target="https://fgis.gost.ru/fundmetrology/cm/results/2-177330646" TargetMode="External"/><Relationship Id="rId866" Type="http://schemas.openxmlformats.org/officeDocument/2006/relationships/hyperlink" Target="https://fgis.gost.ru/fundmetrology/cm/results/1-208032985" TargetMode="External"/><Relationship Id="rId214" Type="http://schemas.openxmlformats.org/officeDocument/2006/relationships/hyperlink" Target="https://fgis.gost.ru/fundmetrology/cm/results/1-244530109" TargetMode="External"/><Relationship Id="rId298" Type="http://schemas.openxmlformats.org/officeDocument/2006/relationships/hyperlink" Target="https://fgis.gost.ru/fundmetrology/cm/results/1-244530107" TargetMode="External"/><Relationship Id="rId421" Type="http://schemas.openxmlformats.org/officeDocument/2006/relationships/hyperlink" Target="https://fgis.gost.ru/fundmetrology/cm/results/1-334719746" TargetMode="External"/><Relationship Id="rId519" Type="http://schemas.openxmlformats.org/officeDocument/2006/relationships/hyperlink" Target="https://fgis.gost.ru/fundmetrology/cm/results/1-288002636" TargetMode="External"/><Relationship Id="rId1051" Type="http://schemas.openxmlformats.org/officeDocument/2006/relationships/hyperlink" Target="https://fgis.gost.ru/fundmetrology/cm/results/1-169638054" TargetMode="External"/><Relationship Id="rId158" Type="http://schemas.openxmlformats.org/officeDocument/2006/relationships/hyperlink" Target="https://fgis.gost.ru/fundmetrology/cm/results/1-179500517" TargetMode="External"/><Relationship Id="rId726" Type="http://schemas.openxmlformats.org/officeDocument/2006/relationships/hyperlink" Target="https://fgis.gost.ru/fundmetrology/cm/results/1-88830717" TargetMode="External"/><Relationship Id="rId933" Type="http://schemas.openxmlformats.org/officeDocument/2006/relationships/hyperlink" Target="https://fgis.gost.ru/fundmetrology/cm/results/1-88830730" TargetMode="External"/><Relationship Id="rId1009" Type="http://schemas.openxmlformats.org/officeDocument/2006/relationships/hyperlink" Target="https://fgis.gost.ru/fundmetrology/cm/results/1-356791732" TargetMode="External"/><Relationship Id="rId62" Type="http://schemas.openxmlformats.org/officeDocument/2006/relationships/hyperlink" Target="https://fgis.gost.ru/fundmetrology/cm/results/1-208033128" TargetMode="External"/><Relationship Id="rId365" Type="http://schemas.openxmlformats.org/officeDocument/2006/relationships/hyperlink" Target="https://fgis.gost.ru/fundmetrology/cm/results/1-208033005" TargetMode="External"/><Relationship Id="rId572" Type="http://schemas.openxmlformats.org/officeDocument/2006/relationships/hyperlink" Target="https://fgis.gost.ru/fundmetrology/cm/results/1-337164241" TargetMode="External"/><Relationship Id="rId225" Type="http://schemas.openxmlformats.org/officeDocument/2006/relationships/hyperlink" Target="https://fgis.gost.ru/fundmetrology/cm/results/1-256311301" TargetMode="External"/><Relationship Id="rId432" Type="http://schemas.openxmlformats.org/officeDocument/2006/relationships/hyperlink" Target="https://fgis.gost.ru/fundmetrology/cm/results/1-207651686" TargetMode="External"/><Relationship Id="rId877" Type="http://schemas.openxmlformats.org/officeDocument/2006/relationships/hyperlink" Target="https://fgis.gost.ru/fundmetrology/cm/results/1-259165762" TargetMode="External"/><Relationship Id="rId1062" Type="http://schemas.openxmlformats.org/officeDocument/2006/relationships/hyperlink" Target="https://fgis.gost.ru/fundmetrology/cm/results/1-356791783" TargetMode="External"/><Relationship Id="rId737" Type="http://schemas.openxmlformats.org/officeDocument/2006/relationships/hyperlink" Target="https://fgis.gost.ru/fundmetrology/cm/results/1-32467908" TargetMode="External"/><Relationship Id="rId944" Type="http://schemas.openxmlformats.org/officeDocument/2006/relationships/hyperlink" Target="https://fgis.gost.ru/fundmetrology/cm/results/1-17950048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139"/>
  <sheetViews>
    <sheetView tabSelected="1" topLeftCell="C1" zoomScale="85" workbookViewId="0">
      <pane ySplit="3" topLeftCell="A4" activePane="bottomLeft" state="frozen"/>
      <selection activeCell="AC862" sqref="AC862"/>
      <selection pane="bottomLeft" activeCell="N10" sqref="N10:N12"/>
    </sheetView>
  </sheetViews>
  <sheetFormatPr defaultColWidth="9.140625" defaultRowHeight="12.75" x14ac:dyDescent="0.25"/>
  <cols>
    <col min="1" max="1" width="4.5703125" style="1" customWidth="1"/>
    <col min="2" max="2" width="14.7109375" style="1" customWidth="1"/>
    <col min="3" max="3" width="17.7109375" style="1" customWidth="1"/>
    <col min="4" max="4" width="10.42578125" style="1" customWidth="1"/>
    <col min="5" max="5" width="20.7109375" style="1" customWidth="1"/>
    <col min="6" max="6" width="12.7109375" style="1" customWidth="1"/>
    <col min="7" max="7" width="9.28515625" style="1" customWidth="1"/>
    <col min="8" max="8" width="16" style="1" customWidth="1"/>
    <col min="9" max="9" width="11.28515625" style="2" customWidth="1"/>
    <col min="10" max="16" width="10.7109375" style="1" customWidth="1"/>
    <col min="17" max="17" width="14.5703125" style="2" customWidth="1"/>
    <col min="18" max="18" width="10.7109375" style="1" customWidth="1"/>
    <col min="19" max="19" width="12.5703125" style="1" customWidth="1"/>
    <col min="20" max="20" width="11.85546875" style="1" customWidth="1"/>
    <col min="21" max="21" width="16" style="1" customWidth="1"/>
    <col min="22" max="22" width="20.28515625" style="1" customWidth="1"/>
    <col min="23" max="23" width="15.28515625" style="1" customWidth="1"/>
    <col min="24" max="24" width="10.7109375" style="1" customWidth="1"/>
    <col min="25" max="25" width="17" style="1" customWidth="1"/>
    <col min="26" max="31" width="10.7109375" style="1" customWidth="1"/>
    <col min="32" max="32" width="20.7109375" style="1" customWidth="1"/>
    <col min="33" max="16384" width="9.140625" style="1"/>
  </cols>
  <sheetData>
    <row r="1" spans="1:32" ht="15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spans="1:32" ht="15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 ht="15" customHeight="1" x14ac:dyDescent="0.2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 spans="1:32" ht="15" customHeight="1" x14ac:dyDescent="0.25">
      <c r="A4" s="40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 spans="1:32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 spans="1:32" ht="14.25" customHeight="1" x14ac:dyDescent="0.25">
      <c r="A6" s="42" t="s">
        <v>4</v>
      </c>
      <c r="B6" s="42" t="s">
        <v>5</v>
      </c>
      <c r="C6" s="42" t="s">
        <v>6</v>
      </c>
      <c r="D6" s="42" t="s">
        <v>7</v>
      </c>
      <c r="E6" s="43" t="s">
        <v>8</v>
      </c>
      <c r="F6" s="42" t="s">
        <v>9</v>
      </c>
      <c r="G6" s="42" t="s">
        <v>10</v>
      </c>
      <c r="H6" s="42" t="s">
        <v>11</v>
      </c>
      <c r="I6" s="42"/>
      <c r="J6" s="42"/>
      <c r="K6" s="42"/>
      <c r="L6" s="42"/>
      <c r="M6" s="42"/>
      <c r="N6" s="42"/>
      <c r="O6" s="42" t="s">
        <v>12</v>
      </c>
      <c r="P6" s="42"/>
      <c r="Q6" s="42"/>
      <c r="R6" s="42"/>
      <c r="S6" s="42"/>
      <c r="T6" s="42"/>
      <c r="U6" s="42"/>
      <c r="V6" s="42"/>
      <c r="W6" s="42" t="s">
        <v>13</v>
      </c>
      <c r="X6" s="42"/>
      <c r="Y6" s="42"/>
      <c r="Z6" s="42"/>
      <c r="AA6" s="42"/>
      <c r="AB6" s="42"/>
      <c r="AC6" s="42"/>
      <c r="AD6" s="42"/>
      <c r="AE6" s="42" t="s">
        <v>14</v>
      </c>
      <c r="AF6" s="42" t="s">
        <v>15</v>
      </c>
    </row>
    <row r="7" spans="1:32" ht="14.25" customHeight="1" x14ac:dyDescent="0.25">
      <c r="A7" s="42"/>
      <c r="B7" s="42"/>
      <c r="C7" s="42"/>
      <c r="D7" s="42"/>
      <c r="E7" s="42"/>
      <c r="F7" s="42"/>
      <c r="G7" s="42"/>
      <c r="H7" s="42" t="s">
        <v>16</v>
      </c>
      <c r="I7" s="42"/>
      <c r="J7" s="42"/>
      <c r="K7" s="42"/>
      <c r="L7" s="42" t="s">
        <v>17</v>
      </c>
      <c r="M7" s="42"/>
      <c r="N7" s="42"/>
      <c r="O7" s="42" t="s">
        <v>16</v>
      </c>
      <c r="P7" s="42"/>
      <c r="Q7" s="42"/>
      <c r="R7" s="42"/>
      <c r="S7" s="42"/>
      <c r="T7" s="42" t="s">
        <v>17</v>
      </c>
      <c r="U7" s="42"/>
      <c r="V7" s="42"/>
      <c r="W7" s="42" t="s">
        <v>16</v>
      </c>
      <c r="X7" s="42"/>
      <c r="Y7" s="42"/>
      <c r="Z7" s="42"/>
      <c r="AA7" s="42"/>
      <c r="AB7" s="42" t="s">
        <v>17</v>
      </c>
      <c r="AC7" s="42"/>
      <c r="AD7" s="42"/>
      <c r="AE7" s="42"/>
      <c r="AF7" s="42"/>
    </row>
    <row r="8" spans="1:32" ht="51" x14ac:dyDescent="0.25">
      <c r="A8" s="42"/>
      <c r="B8" s="42"/>
      <c r="C8" s="42"/>
      <c r="D8" s="42"/>
      <c r="E8" s="42"/>
      <c r="F8" s="42"/>
      <c r="G8" s="42"/>
      <c r="H8" s="4" t="s">
        <v>18</v>
      </c>
      <c r="I8" s="6" t="s">
        <v>19</v>
      </c>
      <c r="J8" s="4" t="s">
        <v>20</v>
      </c>
      <c r="K8" s="5" t="s">
        <v>21</v>
      </c>
      <c r="L8" s="5" t="s">
        <v>22</v>
      </c>
      <c r="M8" s="5" t="s">
        <v>23</v>
      </c>
      <c r="N8" s="4" t="s">
        <v>24</v>
      </c>
      <c r="O8" s="4" t="s">
        <v>25</v>
      </c>
      <c r="P8" s="5" t="s">
        <v>26</v>
      </c>
      <c r="Q8" s="6" t="s">
        <v>19</v>
      </c>
      <c r="R8" s="4" t="s">
        <v>20</v>
      </c>
      <c r="S8" s="5" t="s">
        <v>21</v>
      </c>
      <c r="T8" s="5" t="s">
        <v>22</v>
      </c>
      <c r="U8" s="5" t="s">
        <v>23</v>
      </c>
      <c r="V8" s="4" t="s">
        <v>24</v>
      </c>
      <c r="W8" s="4" t="s">
        <v>27</v>
      </c>
      <c r="X8" s="5" t="s">
        <v>26</v>
      </c>
      <c r="Y8" s="5" t="s">
        <v>19</v>
      </c>
      <c r="Z8" s="4" t="s">
        <v>20</v>
      </c>
      <c r="AA8" s="5" t="s">
        <v>21</v>
      </c>
      <c r="AB8" s="5" t="s">
        <v>22</v>
      </c>
      <c r="AC8" s="5" t="s">
        <v>23</v>
      </c>
      <c r="AD8" s="4" t="s">
        <v>24</v>
      </c>
      <c r="AE8" s="42"/>
      <c r="AF8" s="42"/>
    </row>
    <row r="9" spans="1:32" x14ac:dyDescent="0.25">
      <c r="A9" s="4">
        <v>1</v>
      </c>
      <c r="B9" s="7" t="e">
        <f>A9Паспорт1</f>
        <v>#NAME?</v>
      </c>
      <c r="C9" s="7" t="e">
        <f>B9Паспорт1</f>
        <v>#NAME?</v>
      </c>
      <c r="D9" s="7" t="e">
        <f t="shared" ref="D9:AF9" si="0">C9+1</f>
        <v>#NAME?</v>
      </c>
      <c r="E9" s="7" t="e">
        <f t="shared" si="0"/>
        <v>#NAME?</v>
      </c>
      <c r="F9" s="7" t="e">
        <f t="shared" si="0"/>
        <v>#NAME?</v>
      </c>
      <c r="G9" s="7" t="e">
        <f t="shared" si="0"/>
        <v>#NAME?</v>
      </c>
      <c r="H9" s="7" t="e">
        <f t="shared" si="0"/>
        <v>#NAME?</v>
      </c>
      <c r="I9" s="8" t="e">
        <f t="shared" si="0"/>
        <v>#NAME?</v>
      </c>
      <c r="J9" s="7" t="e">
        <f t="shared" si="0"/>
        <v>#NAME?</v>
      </c>
      <c r="K9" s="7" t="e">
        <f t="shared" si="0"/>
        <v>#NAME?</v>
      </c>
      <c r="L9" s="7" t="e">
        <f t="shared" si="0"/>
        <v>#NAME?</v>
      </c>
      <c r="M9" s="7" t="e">
        <f t="shared" si="0"/>
        <v>#NAME?</v>
      </c>
      <c r="N9" s="7" t="e">
        <f t="shared" si="0"/>
        <v>#NAME?</v>
      </c>
      <c r="O9" s="7" t="e">
        <f t="shared" si="0"/>
        <v>#NAME?</v>
      </c>
      <c r="P9" s="7" t="e">
        <f t="shared" si="0"/>
        <v>#NAME?</v>
      </c>
      <c r="Q9" s="8" t="e">
        <f t="shared" si="0"/>
        <v>#NAME?</v>
      </c>
      <c r="R9" s="7" t="e">
        <f t="shared" si="0"/>
        <v>#NAME?</v>
      </c>
      <c r="S9" s="7" t="e">
        <f t="shared" si="0"/>
        <v>#NAME?</v>
      </c>
      <c r="T9" s="7" t="e">
        <f t="shared" si="0"/>
        <v>#NAME?</v>
      </c>
      <c r="U9" s="7" t="e">
        <f t="shared" si="0"/>
        <v>#NAME?</v>
      </c>
      <c r="V9" s="7" t="e">
        <f t="shared" si="0"/>
        <v>#NAME?</v>
      </c>
      <c r="W9" s="7" t="e">
        <f t="shared" si="0"/>
        <v>#NAME?</v>
      </c>
      <c r="X9" s="7" t="e">
        <f t="shared" si="0"/>
        <v>#NAME?</v>
      </c>
      <c r="Y9" s="7" t="e">
        <f t="shared" si="0"/>
        <v>#NAME?</v>
      </c>
      <c r="Z9" s="7" t="e">
        <f t="shared" si="0"/>
        <v>#NAME?</v>
      </c>
      <c r="AA9" s="7" t="e">
        <f t="shared" si="0"/>
        <v>#NAME?</v>
      </c>
      <c r="AB9" s="7" t="e">
        <f t="shared" si="0"/>
        <v>#NAME?</v>
      </c>
      <c r="AC9" s="7" t="e">
        <f t="shared" si="0"/>
        <v>#NAME?</v>
      </c>
      <c r="AD9" s="7" t="e">
        <f t="shared" si="0"/>
        <v>#NAME?</v>
      </c>
      <c r="AE9" s="7" t="e">
        <f t="shared" si="0"/>
        <v>#NAME?</v>
      </c>
      <c r="AF9" s="7" t="e">
        <f t="shared" si="0"/>
        <v>#NAME?</v>
      </c>
    </row>
    <row r="10" spans="1:32" ht="23.85" customHeight="1" x14ac:dyDescent="0.25">
      <c r="A10" s="44">
        <v>1</v>
      </c>
      <c r="B10" s="42" t="s">
        <v>28</v>
      </c>
      <c r="C10" s="42" t="s">
        <v>29</v>
      </c>
      <c r="D10" s="42">
        <v>104264</v>
      </c>
      <c r="E10" s="42" t="s">
        <v>30</v>
      </c>
      <c r="F10" s="42" t="s">
        <v>31</v>
      </c>
      <c r="G10" s="42" t="s">
        <v>32</v>
      </c>
      <c r="H10" s="45" t="s">
        <v>33</v>
      </c>
      <c r="I10" s="47" t="s">
        <v>34</v>
      </c>
      <c r="J10" s="42" t="s">
        <v>35</v>
      </c>
      <c r="K10" s="42"/>
      <c r="L10" s="50">
        <v>43720</v>
      </c>
      <c r="M10" s="50">
        <v>49564</v>
      </c>
      <c r="N10" s="63" t="s">
        <v>36</v>
      </c>
      <c r="O10" s="11" t="s">
        <v>37</v>
      </c>
      <c r="P10" s="11" t="s">
        <v>38</v>
      </c>
      <c r="Q10" s="11" t="s">
        <v>39</v>
      </c>
      <c r="R10" s="11">
        <v>0.5</v>
      </c>
      <c r="S10" s="11"/>
      <c r="T10" s="12">
        <v>45090</v>
      </c>
      <c r="U10" s="12">
        <v>48012</v>
      </c>
      <c r="V10" s="13" t="s">
        <v>40</v>
      </c>
      <c r="W10" s="11" t="s">
        <v>41</v>
      </c>
      <c r="X10" s="11" t="s">
        <v>42</v>
      </c>
      <c r="Y10" s="11" t="s">
        <v>43</v>
      </c>
      <c r="Z10" s="11">
        <v>0.5</v>
      </c>
      <c r="AA10" s="11"/>
      <c r="AB10" s="12">
        <v>45089</v>
      </c>
      <c r="AC10" s="12">
        <v>48011</v>
      </c>
      <c r="AD10" s="14" t="s">
        <v>44</v>
      </c>
      <c r="AE10" s="42"/>
      <c r="AF10" s="43" t="s">
        <v>45</v>
      </c>
    </row>
    <row r="11" spans="1:32" ht="90" x14ac:dyDescent="0.25">
      <c r="A11" s="44"/>
      <c r="B11" s="42"/>
      <c r="C11" s="42"/>
      <c r="D11" s="42"/>
      <c r="E11" s="42"/>
      <c r="F11" s="42"/>
      <c r="G11" s="42"/>
      <c r="H11" s="42"/>
      <c r="I11" s="48"/>
      <c r="J11" s="42"/>
      <c r="K11" s="42"/>
      <c r="L11" s="42"/>
      <c r="M11" s="42"/>
      <c r="N11" s="42"/>
      <c r="O11" s="11" t="s">
        <v>37</v>
      </c>
      <c r="P11" s="11" t="s">
        <v>38</v>
      </c>
      <c r="Q11" s="11" t="s">
        <v>46</v>
      </c>
      <c r="R11" s="11">
        <v>0.5</v>
      </c>
      <c r="S11" s="11"/>
      <c r="T11" s="12">
        <v>45090</v>
      </c>
      <c r="U11" s="12">
        <v>48012</v>
      </c>
      <c r="V11" s="13" t="s">
        <v>47</v>
      </c>
      <c r="W11" s="11" t="s">
        <v>41</v>
      </c>
      <c r="X11" s="11" t="s">
        <v>42</v>
      </c>
      <c r="Y11" s="11" t="s">
        <v>48</v>
      </c>
      <c r="Z11" s="11">
        <v>0.5</v>
      </c>
      <c r="AA11" s="11"/>
      <c r="AB11" s="12">
        <v>45089</v>
      </c>
      <c r="AC11" s="12">
        <v>48011</v>
      </c>
      <c r="AD11" s="14" t="s">
        <v>49</v>
      </c>
      <c r="AE11" s="42"/>
      <c r="AF11" s="42"/>
    </row>
    <row r="12" spans="1:32" ht="90" x14ac:dyDescent="0.25">
      <c r="A12" s="44"/>
      <c r="B12" s="42"/>
      <c r="C12" s="42"/>
      <c r="D12" s="42"/>
      <c r="E12" s="42"/>
      <c r="F12" s="42"/>
      <c r="G12" s="42"/>
      <c r="H12" s="46"/>
      <c r="I12" s="49"/>
      <c r="J12" s="42"/>
      <c r="K12" s="42"/>
      <c r="L12" s="46"/>
      <c r="M12" s="46"/>
      <c r="N12" s="46"/>
      <c r="O12" s="11" t="s">
        <v>50</v>
      </c>
      <c r="P12" s="11" t="s">
        <v>38</v>
      </c>
      <c r="Q12" s="11">
        <v>7378</v>
      </c>
      <c r="R12" s="11">
        <v>0.5</v>
      </c>
      <c r="S12" s="11"/>
      <c r="T12" s="12">
        <v>45090</v>
      </c>
      <c r="U12" s="12">
        <v>48012</v>
      </c>
      <c r="V12" s="13" t="s">
        <v>51</v>
      </c>
      <c r="W12" s="11" t="s">
        <v>52</v>
      </c>
      <c r="X12" s="11" t="s">
        <v>42</v>
      </c>
      <c r="Y12" s="11" t="s">
        <v>53</v>
      </c>
      <c r="Z12" s="11">
        <v>0.5</v>
      </c>
      <c r="AA12" s="11"/>
      <c r="AB12" s="12">
        <v>45089</v>
      </c>
      <c r="AC12" s="12">
        <v>48011</v>
      </c>
      <c r="AD12" s="14" t="s">
        <v>54</v>
      </c>
      <c r="AE12" s="42"/>
      <c r="AF12" s="42"/>
    </row>
    <row r="13" spans="1:32" ht="23.85" customHeight="1" x14ac:dyDescent="0.25">
      <c r="A13" s="44">
        <v>2</v>
      </c>
      <c r="B13" s="42" t="s">
        <v>28</v>
      </c>
      <c r="C13" s="42" t="s">
        <v>29</v>
      </c>
      <c r="D13" s="42">
        <v>104264</v>
      </c>
      <c r="E13" s="42" t="s">
        <v>55</v>
      </c>
      <c r="F13" s="42" t="s">
        <v>31</v>
      </c>
      <c r="G13" s="42" t="s">
        <v>32</v>
      </c>
      <c r="H13" s="45" t="s">
        <v>33</v>
      </c>
      <c r="I13" s="47" t="s">
        <v>56</v>
      </c>
      <c r="J13" s="45" t="s">
        <v>35</v>
      </c>
      <c r="K13" s="45"/>
      <c r="L13" s="50">
        <v>43720</v>
      </c>
      <c r="M13" s="50">
        <v>49564</v>
      </c>
      <c r="N13" s="51" t="s">
        <v>57</v>
      </c>
      <c r="O13" s="11" t="s">
        <v>58</v>
      </c>
      <c r="P13" s="11" t="s">
        <v>59</v>
      </c>
      <c r="Q13" s="11" t="s">
        <v>60</v>
      </c>
      <c r="R13" s="11">
        <v>0.5</v>
      </c>
      <c r="S13" s="11"/>
      <c r="T13" s="12" t="s">
        <v>61</v>
      </c>
      <c r="U13" s="12">
        <v>47798</v>
      </c>
      <c r="V13" s="13" t="s">
        <v>62</v>
      </c>
      <c r="W13" s="11" t="s">
        <v>41</v>
      </c>
      <c r="X13" s="11" t="s">
        <v>42</v>
      </c>
      <c r="Y13" s="11" t="s">
        <v>43</v>
      </c>
      <c r="Z13" s="11">
        <v>0.5</v>
      </c>
      <c r="AA13" s="11"/>
      <c r="AB13" s="12">
        <v>45089</v>
      </c>
      <c r="AC13" s="12">
        <v>48011</v>
      </c>
      <c r="AD13" s="14" t="s">
        <v>44</v>
      </c>
      <c r="AE13" s="42"/>
      <c r="AF13" s="43" t="s">
        <v>45</v>
      </c>
    </row>
    <row r="14" spans="1:32" ht="90" x14ac:dyDescent="0.25">
      <c r="A14" s="44"/>
      <c r="B14" s="42"/>
      <c r="C14" s="42"/>
      <c r="D14" s="42"/>
      <c r="E14" s="42"/>
      <c r="F14" s="42"/>
      <c r="G14" s="42"/>
      <c r="H14" s="42"/>
      <c r="I14" s="48"/>
      <c r="J14" s="42"/>
      <c r="K14" s="42"/>
      <c r="L14" s="42"/>
      <c r="M14" s="42"/>
      <c r="N14" s="42"/>
      <c r="O14" s="11" t="s">
        <v>58</v>
      </c>
      <c r="P14" s="11" t="s">
        <v>59</v>
      </c>
      <c r="Q14" s="11" t="s">
        <v>63</v>
      </c>
      <c r="R14" s="11">
        <v>0.5</v>
      </c>
      <c r="S14" s="11"/>
      <c r="T14" s="12" t="s">
        <v>61</v>
      </c>
      <c r="U14" s="12">
        <v>47798</v>
      </c>
      <c r="V14" s="13" t="s">
        <v>64</v>
      </c>
      <c r="W14" s="11" t="s">
        <v>41</v>
      </c>
      <c r="X14" s="11" t="s">
        <v>42</v>
      </c>
      <c r="Y14" s="11" t="s">
        <v>48</v>
      </c>
      <c r="Z14" s="11">
        <v>0.5</v>
      </c>
      <c r="AA14" s="11"/>
      <c r="AB14" s="12">
        <v>45089</v>
      </c>
      <c r="AC14" s="12">
        <v>48011</v>
      </c>
      <c r="AD14" s="14" t="s">
        <v>49</v>
      </c>
      <c r="AE14" s="42"/>
      <c r="AF14" s="42"/>
    </row>
    <row r="15" spans="1:32" ht="90" x14ac:dyDescent="0.25">
      <c r="A15" s="44"/>
      <c r="B15" s="42"/>
      <c r="C15" s="42"/>
      <c r="D15" s="42"/>
      <c r="E15" s="42"/>
      <c r="F15" s="42"/>
      <c r="G15" s="42"/>
      <c r="H15" s="46"/>
      <c r="I15" s="49"/>
      <c r="J15" s="46"/>
      <c r="K15" s="46"/>
      <c r="L15" s="46"/>
      <c r="M15" s="46"/>
      <c r="N15" s="46"/>
      <c r="O15" s="11" t="s">
        <v>65</v>
      </c>
      <c r="P15" s="11" t="s">
        <v>59</v>
      </c>
      <c r="Q15" s="11">
        <v>2518</v>
      </c>
      <c r="R15" s="11">
        <v>0.5</v>
      </c>
      <c r="S15" s="11"/>
      <c r="T15" s="12" t="s">
        <v>61</v>
      </c>
      <c r="U15" s="12">
        <v>47798</v>
      </c>
      <c r="V15" s="13" t="s">
        <v>66</v>
      </c>
      <c r="W15" s="11" t="s">
        <v>52</v>
      </c>
      <c r="X15" s="11" t="s">
        <v>42</v>
      </c>
      <c r="Y15" s="11" t="s">
        <v>53</v>
      </c>
      <c r="Z15" s="11">
        <v>0.5</v>
      </c>
      <c r="AA15" s="11"/>
      <c r="AB15" s="12">
        <v>45089</v>
      </c>
      <c r="AC15" s="12">
        <v>48011</v>
      </c>
      <c r="AD15" s="14" t="s">
        <v>54</v>
      </c>
      <c r="AE15" s="42"/>
      <c r="AF15" s="42"/>
    </row>
    <row r="16" spans="1:32" ht="23.85" customHeight="1" x14ac:dyDescent="0.25">
      <c r="A16" s="44">
        <v>3</v>
      </c>
      <c r="B16" s="42" t="s">
        <v>28</v>
      </c>
      <c r="C16" s="42" t="s">
        <v>29</v>
      </c>
      <c r="D16" s="42">
        <v>104264</v>
      </c>
      <c r="E16" s="42" t="s">
        <v>67</v>
      </c>
      <c r="F16" s="42" t="s">
        <v>31</v>
      </c>
      <c r="G16" s="42" t="s">
        <v>68</v>
      </c>
      <c r="H16" s="42" t="s">
        <v>69</v>
      </c>
      <c r="I16" s="48" t="s">
        <v>70</v>
      </c>
      <c r="J16" s="42" t="s">
        <v>71</v>
      </c>
      <c r="K16" s="42"/>
      <c r="L16" s="42" t="s">
        <v>72</v>
      </c>
      <c r="M16" s="52">
        <v>47081</v>
      </c>
      <c r="N16" s="53" t="s">
        <v>73</v>
      </c>
      <c r="O16" s="11" t="s">
        <v>58</v>
      </c>
      <c r="P16" s="11" t="s">
        <v>74</v>
      </c>
      <c r="Q16" s="11" t="s">
        <v>75</v>
      </c>
      <c r="R16" s="11">
        <v>0.5</v>
      </c>
      <c r="S16" s="11"/>
      <c r="T16" s="12" t="s">
        <v>61</v>
      </c>
      <c r="U16" s="12">
        <v>47798</v>
      </c>
      <c r="V16" s="13" t="s">
        <v>76</v>
      </c>
      <c r="W16" s="11" t="s">
        <v>41</v>
      </c>
      <c r="X16" s="11" t="s">
        <v>42</v>
      </c>
      <c r="Y16" s="11" t="s">
        <v>43</v>
      </c>
      <c r="Z16" s="11">
        <v>0.5</v>
      </c>
      <c r="AA16" s="11"/>
      <c r="AB16" s="12">
        <v>45089</v>
      </c>
      <c r="AC16" s="12">
        <v>48011</v>
      </c>
      <c r="AD16" s="14" t="s">
        <v>44</v>
      </c>
      <c r="AE16" s="42"/>
      <c r="AF16" s="43" t="s">
        <v>45</v>
      </c>
    </row>
    <row r="17" spans="1:32" ht="90" x14ac:dyDescent="0.25">
      <c r="A17" s="44"/>
      <c r="B17" s="42"/>
      <c r="C17" s="42"/>
      <c r="D17" s="42"/>
      <c r="E17" s="42"/>
      <c r="F17" s="42"/>
      <c r="G17" s="42"/>
      <c r="H17" s="42"/>
      <c r="I17" s="48"/>
      <c r="J17" s="42"/>
      <c r="K17" s="42"/>
      <c r="L17" s="42"/>
      <c r="M17" s="42"/>
      <c r="N17" s="53"/>
      <c r="O17" s="11" t="s">
        <v>77</v>
      </c>
      <c r="P17" s="11" t="s">
        <v>77</v>
      </c>
      <c r="Q17" s="11" t="s">
        <v>77</v>
      </c>
      <c r="R17" s="11" t="s">
        <v>77</v>
      </c>
      <c r="S17" s="11"/>
      <c r="T17" s="12" t="s">
        <v>77</v>
      </c>
      <c r="U17" s="12" t="s">
        <v>77</v>
      </c>
      <c r="V17" s="4"/>
      <c r="W17" s="11" t="s">
        <v>41</v>
      </c>
      <c r="X17" s="11" t="s">
        <v>42</v>
      </c>
      <c r="Y17" s="11" t="s">
        <v>48</v>
      </c>
      <c r="Z17" s="11">
        <v>0.5</v>
      </c>
      <c r="AA17" s="11"/>
      <c r="AB17" s="12">
        <v>45089</v>
      </c>
      <c r="AC17" s="12">
        <v>48011</v>
      </c>
      <c r="AD17" s="14" t="s">
        <v>49</v>
      </c>
      <c r="AE17" s="42"/>
      <c r="AF17" s="42"/>
    </row>
    <row r="18" spans="1:32" ht="90" x14ac:dyDescent="0.25">
      <c r="A18" s="44"/>
      <c r="B18" s="42"/>
      <c r="C18" s="42"/>
      <c r="D18" s="42"/>
      <c r="E18" s="42"/>
      <c r="F18" s="42"/>
      <c r="G18" s="42"/>
      <c r="H18" s="42"/>
      <c r="I18" s="48"/>
      <c r="J18" s="42"/>
      <c r="K18" s="42"/>
      <c r="L18" s="42"/>
      <c r="M18" s="42"/>
      <c r="N18" s="53"/>
      <c r="O18" s="11" t="s">
        <v>65</v>
      </c>
      <c r="P18" s="11" t="s">
        <v>74</v>
      </c>
      <c r="Q18" s="11" t="s">
        <v>78</v>
      </c>
      <c r="R18" s="11">
        <v>0.5</v>
      </c>
      <c r="S18" s="11"/>
      <c r="T18" s="12" t="s">
        <v>79</v>
      </c>
      <c r="U18" s="12">
        <v>47799</v>
      </c>
      <c r="V18" s="13" t="s">
        <v>80</v>
      </c>
      <c r="W18" s="11" t="s">
        <v>52</v>
      </c>
      <c r="X18" s="11" t="s">
        <v>42</v>
      </c>
      <c r="Y18" s="11" t="s">
        <v>53</v>
      </c>
      <c r="Z18" s="11">
        <v>0.5</v>
      </c>
      <c r="AA18" s="11"/>
      <c r="AB18" s="12">
        <v>45089</v>
      </c>
      <c r="AC18" s="12">
        <v>48011</v>
      </c>
      <c r="AD18" s="14" t="s">
        <v>54</v>
      </c>
      <c r="AE18" s="42"/>
      <c r="AF18" s="42"/>
    </row>
    <row r="19" spans="1:32" ht="23.85" customHeight="1" x14ac:dyDescent="0.25">
      <c r="A19" s="44">
        <v>4</v>
      </c>
      <c r="B19" s="42" t="s">
        <v>28</v>
      </c>
      <c r="C19" s="42" t="s">
        <v>29</v>
      </c>
      <c r="D19" s="42">
        <v>104264</v>
      </c>
      <c r="E19" s="42" t="s">
        <v>81</v>
      </c>
      <c r="F19" s="42" t="s">
        <v>31</v>
      </c>
      <c r="G19" s="42" t="s">
        <v>32</v>
      </c>
      <c r="H19" s="42" t="s">
        <v>69</v>
      </c>
      <c r="I19" s="48" t="s">
        <v>82</v>
      </c>
      <c r="J19" s="42" t="s">
        <v>71</v>
      </c>
      <c r="K19" s="42"/>
      <c r="L19" s="42" t="s">
        <v>72</v>
      </c>
      <c r="M19" s="52">
        <v>47081</v>
      </c>
      <c r="N19" s="53" t="s">
        <v>83</v>
      </c>
      <c r="O19" s="11" t="s">
        <v>58</v>
      </c>
      <c r="P19" s="11" t="s">
        <v>84</v>
      </c>
      <c r="Q19" s="11" t="s">
        <v>85</v>
      </c>
      <c r="R19" s="11">
        <v>0.5</v>
      </c>
      <c r="S19" s="11"/>
      <c r="T19" s="12" t="s">
        <v>61</v>
      </c>
      <c r="U19" s="12">
        <v>47798</v>
      </c>
      <c r="V19" s="13" t="s">
        <v>86</v>
      </c>
      <c r="W19" s="11" t="s">
        <v>41</v>
      </c>
      <c r="X19" s="11" t="s">
        <v>42</v>
      </c>
      <c r="Y19" s="11" t="s">
        <v>43</v>
      </c>
      <c r="Z19" s="11">
        <v>0.5</v>
      </c>
      <c r="AA19" s="11"/>
      <c r="AB19" s="12">
        <v>45089</v>
      </c>
      <c r="AC19" s="12">
        <v>48011</v>
      </c>
      <c r="AD19" s="14" t="s">
        <v>44</v>
      </c>
      <c r="AE19" s="42"/>
      <c r="AF19" s="43" t="s">
        <v>45</v>
      </c>
    </row>
    <row r="20" spans="1:32" ht="90" x14ac:dyDescent="0.25">
      <c r="A20" s="44"/>
      <c r="B20" s="42"/>
      <c r="C20" s="42"/>
      <c r="D20" s="42"/>
      <c r="E20" s="42"/>
      <c r="F20" s="42"/>
      <c r="G20" s="42"/>
      <c r="H20" s="42"/>
      <c r="I20" s="48"/>
      <c r="J20" s="42"/>
      <c r="K20" s="42"/>
      <c r="L20" s="42"/>
      <c r="M20" s="42"/>
      <c r="N20" s="53"/>
      <c r="O20" s="11" t="s">
        <v>77</v>
      </c>
      <c r="P20" s="11" t="s">
        <v>77</v>
      </c>
      <c r="Q20" s="11" t="s">
        <v>77</v>
      </c>
      <c r="R20" s="11" t="s">
        <v>77</v>
      </c>
      <c r="S20" s="11"/>
      <c r="T20" s="12" t="s">
        <v>77</v>
      </c>
      <c r="U20" s="12" t="s">
        <v>77</v>
      </c>
      <c r="V20" s="4"/>
      <c r="W20" s="11" t="s">
        <v>41</v>
      </c>
      <c r="X20" s="11" t="s">
        <v>42</v>
      </c>
      <c r="Y20" s="11" t="s">
        <v>48</v>
      </c>
      <c r="Z20" s="11">
        <v>0.5</v>
      </c>
      <c r="AA20" s="11"/>
      <c r="AB20" s="12">
        <v>45089</v>
      </c>
      <c r="AC20" s="12">
        <v>48011</v>
      </c>
      <c r="AD20" s="14" t="s">
        <v>49</v>
      </c>
      <c r="AE20" s="42"/>
      <c r="AF20" s="42"/>
    </row>
    <row r="21" spans="1:32" ht="90" x14ac:dyDescent="0.25">
      <c r="A21" s="44"/>
      <c r="B21" s="42"/>
      <c r="C21" s="42"/>
      <c r="D21" s="42"/>
      <c r="E21" s="42"/>
      <c r="F21" s="42"/>
      <c r="G21" s="42"/>
      <c r="H21" s="42"/>
      <c r="I21" s="48"/>
      <c r="J21" s="42"/>
      <c r="K21" s="42"/>
      <c r="L21" s="42"/>
      <c r="M21" s="42"/>
      <c r="N21" s="53"/>
      <c r="O21" s="11" t="s">
        <v>65</v>
      </c>
      <c r="P21" s="11" t="s">
        <v>84</v>
      </c>
      <c r="Q21" s="11" t="s">
        <v>87</v>
      </c>
      <c r="R21" s="11">
        <v>0.5</v>
      </c>
      <c r="S21" s="11"/>
      <c r="T21" s="12" t="s">
        <v>79</v>
      </c>
      <c r="U21" s="12">
        <v>47799</v>
      </c>
      <c r="V21" s="13" t="s">
        <v>88</v>
      </c>
      <c r="W21" s="11" t="s">
        <v>52</v>
      </c>
      <c r="X21" s="11" t="s">
        <v>42</v>
      </c>
      <c r="Y21" s="11" t="s">
        <v>53</v>
      </c>
      <c r="Z21" s="11">
        <v>0.5</v>
      </c>
      <c r="AA21" s="11"/>
      <c r="AB21" s="12">
        <v>45089</v>
      </c>
      <c r="AC21" s="12">
        <v>48011</v>
      </c>
      <c r="AD21" s="14" t="s">
        <v>54</v>
      </c>
      <c r="AE21" s="42"/>
      <c r="AF21" s="42"/>
    </row>
    <row r="22" spans="1:32" ht="23.85" customHeight="1" x14ac:dyDescent="0.25">
      <c r="A22" s="44">
        <v>5</v>
      </c>
      <c r="B22" s="42" t="s">
        <v>28</v>
      </c>
      <c r="C22" s="42" t="s">
        <v>29</v>
      </c>
      <c r="D22" s="42">
        <v>104264</v>
      </c>
      <c r="E22" s="42" t="s">
        <v>89</v>
      </c>
      <c r="F22" s="42" t="s">
        <v>31</v>
      </c>
      <c r="G22" s="42" t="s">
        <v>90</v>
      </c>
      <c r="H22" s="42" t="s">
        <v>33</v>
      </c>
      <c r="I22" s="48">
        <v>40791720</v>
      </c>
      <c r="J22" s="42" t="s">
        <v>35</v>
      </c>
      <c r="K22" s="42"/>
      <c r="L22" s="42" t="s">
        <v>91</v>
      </c>
      <c r="M22" s="52">
        <v>49667</v>
      </c>
      <c r="N22" s="42" t="s">
        <v>92</v>
      </c>
      <c r="O22" s="11" t="s">
        <v>58</v>
      </c>
      <c r="P22" s="11" t="s">
        <v>93</v>
      </c>
      <c r="Q22" s="11" t="s">
        <v>94</v>
      </c>
      <c r="R22" s="11">
        <v>0.5</v>
      </c>
      <c r="S22" s="11"/>
      <c r="T22" s="12" t="s">
        <v>61</v>
      </c>
      <c r="U22" s="12">
        <v>47798</v>
      </c>
      <c r="V22" s="13" t="s">
        <v>95</v>
      </c>
      <c r="W22" s="11" t="s">
        <v>41</v>
      </c>
      <c r="X22" s="11" t="s">
        <v>42</v>
      </c>
      <c r="Y22" s="11" t="s">
        <v>43</v>
      </c>
      <c r="Z22" s="11">
        <v>0.5</v>
      </c>
      <c r="AA22" s="11"/>
      <c r="AB22" s="12">
        <v>45089</v>
      </c>
      <c r="AC22" s="12">
        <v>48011</v>
      </c>
      <c r="AD22" s="14" t="s">
        <v>44</v>
      </c>
      <c r="AE22" s="42"/>
      <c r="AF22" s="43" t="s">
        <v>45</v>
      </c>
    </row>
    <row r="23" spans="1:32" ht="90" x14ac:dyDescent="0.25">
      <c r="A23" s="44"/>
      <c r="B23" s="42"/>
      <c r="C23" s="42"/>
      <c r="D23" s="42"/>
      <c r="E23" s="42"/>
      <c r="F23" s="42"/>
      <c r="G23" s="42"/>
      <c r="H23" s="42"/>
      <c r="I23" s="48"/>
      <c r="J23" s="42"/>
      <c r="K23" s="42"/>
      <c r="L23" s="42"/>
      <c r="M23" s="42"/>
      <c r="N23" s="42"/>
      <c r="O23" s="11" t="s">
        <v>77</v>
      </c>
      <c r="P23" s="11" t="s">
        <v>77</v>
      </c>
      <c r="Q23" s="11" t="s">
        <v>77</v>
      </c>
      <c r="R23" s="11" t="s">
        <v>77</v>
      </c>
      <c r="S23" s="11"/>
      <c r="T23" s="12" t="s">
        <v>77</v>
      </c>
      <c r="U23" s="12" t="s">
        <v>77</v>
      </c>
      <c r="V23" s="4"/>
      <c r="W23" s="11" t="s">
        <v>41</v>
      </c>
      <c r="X23" s="11" t="s">
        <v>42</v>
      </c>
      <c r="Y23" s="11" t="s">
        <v>48</v>
      </c>
      <c r="Z23" s="11">
        <v>0.5</v>
      </c>
      <c r="AA23" s="11"/>
      <c r="AB23" s="12">
        <v>45089</v>
      </c>
      <c r="AC23" s="12">
        <v>48011</v>
      </c>
      <c r="AD23" s="14" t="s">
        <v>49</v>
      </c>
      <c r="AE23" s="42"/>
      <c r="AF23" s="42"/>
    </row>
    <row r="24" spans="1:32" ht="90" x14ac:dyDescent="0.25">
      <c r="A24" s="44"/>
      <c r="B24" s="42"/>
      <c r="C24" s="42"/>
      <c r="D24" s="42"/>
      <c r="E24" s="42"/>
      <c r="F24" s="42"/>
      <c r="G24" s="42"/>
      <c r="H24" s="42"/>
      <c r="I24" s="48"/>
      <c r="J24" s="42"/>
      <c r="K24" s="42"/>
      <c r="L24" s="42"/>
      <c r="M24" s="42"/>
      <c r="N24" s="42"/>
      <c r="O24" s="11" t="s">
        <v>65</v>
      </c>
      <c r="P24" s="11" t="s">
        <v>93</v>
      </c>
      <c r="Q24" s="11" t="s">
        <v>96</v>
      </c>
      <c r="R24" s="11">
        <v>0.5</v>
      </c>
      <c r="S24" s="11"/>
      <c r="T24" s="12" t="s">
        <v>61</v>
      </c>
      <c r="U24" s="12">
        <v>47798</v>
      </c>
      <c r="V24" s="13" t="s">
        <v>97</v>
      </c>
      <c r="W24" s="11" t="s">
        <v>52</v>
      </c>
      <c r="X24" s="11" t="s">
        <v>42</v>
      </c>
      <c r="Y24" s="11" t="s">
        <v>53</v>
      </c>
      <c r="Z24" s="11">
        <v>0.5</v>
      </c>
      <c r="AA24" s="11"/>
      <c r="AB24" s="12">
        <v>45089</v>
      </c>
      <c r="AC24" s="12">
        <v>48011</v>
      </c>
      <c r="AD24" s="14" t="s">
        <v>54</v>
      </c>
      <c r="AE24" s="42"/>
      <c r="AF24" s="42"/>
    </row>
    <row r="25" spans="1:32" ht="23.85" customHeight="1" x14ac:dyDescent="0.25">
      <c r="A25" s="44">
        <v>6</v>
      </c>
      <c r="B25" s="42" t="s">
        <v>28</v>
      </c>
      <c r="C25" s="42" t="s">
        <v>29</v>
      </c>
      <c r="D25" s="42">
        <v>104264</v>
      </c>
      <c r="E25" s="42" t="s">
        <v>98</v>
      </c>
      <c r="F25" s="42" t="s">
        <v>31</v>
      </c>
      <c r="G25" s="42" t="s">
        <v>90</v>
      </c>
      <c r="H25" s="42" t="s">
        <v>33</v>
      </c>
      <c r="I25" s="48" t="s">
        <v>99</v>
      </c>
      <c r="J25" s="42" t="s">
        <v>35</v>
      </c>
      <c r="K25" s="42"/>
      <c r="L25" s="42" t="s">
        <v>91</v>
      </c>
      <c r="M25" s="52">
        <v>49667</v>
      </c>
      <c r="N25" s="42" t="s">
        <v>92</v>
      </c>
      <c r="O25" s="11" t="s">
        <v>58</v>
      </c>
      <c r="P25" s="11" t="s">
        <v>93</v>
      </c>
      <c r="Q25" s="11" t="s">
        <v>100</v>
      </c>
      <c r="R25" s="11">
        <v>0.5</v>
      </c>
      <c r="S25" s="11"/>
      <c r="T25" s="12" t="s">
        <v>61</v>
      </c>
      <c r="U25" s="12">
        <v>47798</v>
      </c>
      <c r="V25" s="13" t="s">
        <v>101</v>
      </c>
      <c r="W25" s="11" t="s">
        <v>41</v>
      </c>
      <c r="X25" s="11" t="s">
        <v>42</v>
      </c>
      <c r="Y25" s="11" t="s">
        <v>43</v>
      </c>
      <c r="Z25" s="11">
        <v>0.5</v>
      </c>
      <c r="AA25" s="11"/>
      <c r="AB25" s="12">
        <v>45089</v>
      </c>
      <c r="AC25" s="12">
        <v>48011</v>
      </c>
      <c r="AD25" s="14" t="s">
        <v>44</v>
      </c>
      <c r="AE25" s="42"/>
      <c r="AF25" s="43" t="s">
        <v>45</v>
      </c>
    </row>
    <row r="26" spans="1:32" ht="90" x14ac:dyDescent="0.25">
      <c r="A26" s="44"/>
      <c r="B26" s="42"/>
      <c r="C26" s="42"/>
      <c r="D26" s="42"/>
      <c r="E26" s="42"/>
      <c r="F26" s="42"/>
      <c r="G26" s="42"/>
      <c r="H26" s="42"/>
      <c r="I26" s="48"/>
      <c r="J26" s="42"/>
      <c r="K26" s="42"/>
      <c r="L26" s="42"/>
      <c r="M26" s="42"/>
      <c r="N26" s="42"/>
      <c r="O26" s="11" t="s">
        <v>58</v>
      </c>
      <c r="P26" s="11" t="s">
        <v>93</v>
      </c>
      <c r="Q26" s="11" t="s">
        <v>102</v>
      </c>
      <c r="R26" s="11">
        <v>0.5</v>
      </c>
      <c r="S26" s="11"/>
      <c r="T26" s="12" t="s">
        <v>61</v>
      </c>
      <c r="U26" s="12">
        <v>47798</v>
      </c>
      <c r="V26" s="13" t="s">
        <v>103</v>
      </c>
      <c r="W26" s="11" t="s">
        <v>41</v>
      </c>
      <c r="X26" s="11" t="s">
        <v>42</v>
      </c>
      <c r="Y26" s="11" t="s">
        <v>48</v>
      </c>
      <c r="Z26" s="11">
        <v>0.5</v>
      </c>
      <c r="AA26" s="11"/>
      <c r="AB26" s="12">
        <v>45089</v>
      </c>
      <c r="AC26" s="12">
        <v>48011</v>
      </c>
      <c r="AD26" s="14" t="s">
        <v>49</v>
      </c>
      <c r="AE26" s="42"/>
      <c r="AF26" s="42"/>
    </row>
    <row r="27" spans="1:32" ht="90" x14ac:dyDescent="0.25">
      <c r="A27" s="44"/>
      <c r="B27" s="42"/>
      <c r="C27" s="42"/>
      <c r="D27" s="42"/>
      <c r="E27" s="42"/>
      <c r="F27" s="42"/>
      <c r="G27" s="42"/>
      <c r="H27" s="42"/>
      <c r="I27" s="48"/>
      <c r="J27" s="42"/>
      <c r="K27" s="42"/>
      <c r="L27" s="42"/>
      <c r="M27" s="42"/>
      <c r="N27" s="42"/>
      <c r="O27" s="11" t="s">
        <v>65</v>
      </c>
      <c r="P27" s="11" t="s">
        <v>93</v>
      </c>
      <c r="Q27" s="11" t="s">
        <v>104</v>
      </c>
      <c r="R27" s="11">
        <v>0.5</v>
      </c>
      <c r="S27" s="11"/>
      <c r="T27" s="12" t="s">
        <v>61</v>
      </c>
      <c r="U27" s="12">
        <v>47798</v>
      </c>
      <c r="V27" s="13" t="s">
        <v>105</v>
      </c>
      <c r="W27" s="11" t="s">
        <v>52</v>
      </c>
      <c r="X27" s="11" t="s">
        <v>42</v>
      </c>
      <c r="Y27" s="11" t="s">
        <v>53</v>
      </c>
      <c r="Z27" s="11">
        <v>0.5</v>
      </c>
      <c r="AA27" s="11"/>
      <c r="AB27" s="12">
        <v>45089</v>
      </c>
      <c r="AC27" s="12">
        <v>48011</v>
      </c>
      <c r="AD27" s="14" t="s">
        <v>54</v>
      </c>
      <c r="AE27" s="42"/>
      <c r="AF27" s="42"/>
    </row>
    <row r="28" spans="1:32" ht="23.85" customHeight="1" x14ac:dyDescent="0.25">
      <c r="A28" s="44">
        <v>7</v>
      </c>
      <c r="B28" s="42" t="s">
        <v>28</v>
      </c>
      <c r="C28" s="42" t="s">
        <v>29</v>
      </c>
      <c r="D28" s="42">
        <v>104264</v>
      </c>
      <c r="E28" s="42" t="s">
        <v>106</v>
      </c>
      <c r="F28" s="42" t="s">
        <v>31</v>
      </c>
      <c r="G28" s="42" t="s">
        <v>107</v>
      </c>
      <c r="H28" s="42" t="s">
        <v>33</v>
      </c>
      <c r="I28" s="48" t="s">
        <v>108</v>
      </c>
      <c r="J28" s="42" t="s">
        <v>35</v>
      </c>
      <c r="K28" s="42"/>
      <c r="L28" s="42" t="s">
        <v>91</v>
      </c>
      <c r="M28" s="52">
        <v>49667</v>
      </c>
      <c r="N28" s="42" t="s">
        <v>92</v>
      </c>
      <c r="O28" s="11" t="s">
        <v>58</v>
      </c>
      <c r="P28" s="11" t="s">
        <v>84</v>
      </c>
      <c r="Q28" s="11" t="s">
        <v>109</v>
      </c>
      <c r="R28" s="11">
        <v>0.5</v>
      </c>
      <c r="S28" s="11"/>
      <c r="T28" s="12" t="s">
        <v>61</v>
      </c>
      <c r="U28" s="12">
        <v>47798</v>
      </c>
      <c r="V28" s="13" t="s">
        <v>110</v>
      </c>
      <c r="W28" s="11" t="s">
        <v>41</v>
      </c>
      <c r="X28" s="11" t="s">
        <v>42</v>
      </c>
      <c r="Y28" s="11" t="s">
        <v>43</v>
      </c>
      <c r="Z28" s="11">
        <v>0.5</v>
      </c>
      <c r="AA28" s="11"/>
      <c r="AB28" s="12">
        <v>45089</v>
      </c>
      <c r="AC28" s="12">
        <v>48011</v>
      </c>
      <c r="AD28" s="14" t="s">
        <v>44</v>
      </c>
      <c r="AE28" s="42"/>
      <c r="AF28" s="43" t="s">
        <v>45</v>
      </c>
    </row>
    <row r="29" spans="1:32" ht="90" x14ac:dyDescent="0.25">
      <c r="A29" s="44"/>
      <c r="B29" s="42"/>
      <c r="C29" s="42"/>
      <c r="D29" s="42"/>
      <c r="E29" s="42"/>
      <c r="F29" s="42"/>
      <c r="G29" s="42"/>
      <c r="H29" s="42"/>
      <c r="I29" s="48"/>
      <c r="J29" s="42"/>
      <c r="K29" s="42"/>
      <c r="L29" s="42"/>
      <c r="M29" s="42"/>
      <c r="N29" s="42"/>
      <c r="O29" s="11" t="s">
        <v>77</v>
      </c>
      <c r="P29" s="11" t="s">
        <v>77</v>
      </c>
      <c r="Q29" s="11" t="s">
        <v>77</v>
      </c>
      <c r="R29" s="11" t="s">
        <v>77</v>
      </c>
      <c r="S29" s="11"/>
      <c r="T29" s="12" t="s">
        <v>77</v>
      </c>
      <c r="U29" s="12" t="s">
        <v>77</v>
      </c>
      <c r="V29" s="4"/>
      <c r="W29" s="11" t="s">
        <v>41</v>
      </c>
      <c r="X29" s="11" t="s">
        <v>42</v>
      </c>
      <c r="Y29" s="11" t="s">
        <v>48</v>
      </c>
      <c r="Z29" s="11">
        <v>0.5</v>
      </c>
      <c r="AA29" s="11"/>
      <c r="AB29" s="12">
        <v>45089</v>
      </c>
      <c r="AC29" s="12">
        <v>48011</v>
      </c>
      <c r="AD29" s="14" t="s">
        <v>49</v>
      </c>
      <c r="AE29" s="42"/>
      <c r="AF29" s="42"/>
    </row>
    <row r="30" spans="1:32" ht="90" x14ac:dyDescent="0.25">
      <c r="A30" s="44"/>
      <c r="B30" s="42"/>
      <c r="C30" s="42"/>
      <c r="D30" s="42"/>
      <c r="E30" s="42"/>
      <c r="F30" s="42"/>
      <c r="G30" s="42"/>
      <c r="H30" s="42"/>
      <c r="I30" s="48"/>
      <c r="J30" s="42"/>
      <c r="K30" s="42"/>
      <c r="L30" s="42"/>
      <c r="M30" s="42"/>
      <c r="N30" s="42"/>
      <c r="O30" s="11" t="s">
        <v>65</v>
      </c>
      <c r="P30" s="11" t="s">
        <v>84</v>
      </c>
      <c r="Q30" s="11" t="s">
        <v>111</v>
      </c>
      <c r="R30" s="11">
        <v>0.5</v>
      </c>
      <c r="S30" s="11"/>
      <c r="T30" s="12" t="s">
        <v>79</v>
      </c>
      <c r="U30" s="12">
        <v>47799</v>
      </c>
      <c r="V30" s="13" t="s">
        <v>112</v>
      </c>
      <c r="W30" s="11" t="s">
        <v>52</v>
      </c>
      <c r="X30" s="11" t="s">
        <v>42</v>
      </c>
      <c r="Y30" s="11" t="s">
        <v>53</v>
      </c>
      <c r="Z30" s="11">
        <v>0.5</v>
      </c>
      <c r="AA30" s="11"/>
      <c r="AB30" s="12">
        <v>45089</v>
      </c>
      <c r="AC30" s="12">
        <v>48011</v>
      </c>
      <c r="AD30" s="14" t="s">
        <v>54</v>
      </c>
      <c r="AE30" s="42"/>
      <c r="AF30" s="42"/>
    </row>
    <row r="31" spans="1:32" ht="23.85" customHeight="1" x14ac:dyDescent="0.25">
      <c r="A31" s="44">
        <v>8</v>
      </c>
      <c r="B31" s="42" t="s">
        <v>28</v>
      </c>
      <c r="C31" s="42" t="s">
        <v>29</v>
      </c>
      <c r="D31" s="42">
        <v>104264</v>
      </c>
      <c r="E31" s="42" t="s">
        <v>113</v>
      </c>
      <c r="F31" s="42" t="s">
        <v>31</v>
      </c>
      <c r="G31" s="42" t="s">
        <v>32</v>
      </c>
      <c r="H31" s="42" t="s">
        <v>69</v>
      </c>
      <c r="I31" s="48" t="s">
        <v>114</v>
      </c>
      <c r="J31" s="42" t="s">
        <v>71</v>
      </c>
      <c r="K31" s="42"/>
      <c r="L31" s="42" t="s">
        <v>72</v>
      </c>
      <c r="M31" s="52">
        <v>47081</v>
      </c>
      <c r="N31" s="53" t="s">
        <v>115</v>
      </c>
      <c r="O31" s="11" t="s">
        <v>58</v>
      </c>
      <c r="P31" s="11" t="s">
        <v>116</v>
      </c>
      <c r="Q31" s="11" t="s">
        <v>117</v>
      </c>
      <c r="R31" s="11">
        <v>0.5</v>
      </c>
      <c r="S31" s="11"/>
      <c r="T31" s="12" t="s">
        <v>61</v>
      </c>
      <c r="U31" s="12">
        <v>47798</v>
      </c>
      <c r="V31" s="13" t="s">
        <v>118</v>
      </c>
      <c r="W31" s="11" t="s">
        <v>41</v>
      </c>
      <c r="X31" s="11" t="s">
        <v>42</v>
      </c>
      <c r="Y31" s="11" t="s">
        <v>43</v>
      </c>
      <c r="Z31" s="11">
        <v>0.5</v>
      </c>
      <c r="AA31" s="11"/>
      <c r="AB31" s="12">
        <v>45089</v>
      </c>
      <c r="AC31" s="12">
        <v>48011</v>
      </c>
      <c r="AD31" s="14" t="s">
        <v>44</v>
      </c>
      <c r="AE31" s="42"/>
      <c r="AF31" s="43" t="s">
        <v>45</v>
      </c>
    </row>
    <row r="32" spans="1:32" ht="90" x14ac:dyDescent="0.25">
      <c r="A32" s="44"/>
      <c r="B32" s="42"/>
      <c r="C32" s="42"/>
      <c r="D32" s="42"/>
      <c r="E32" s="42"/>
      <c r="F32" s="42"/>
      <c r="G32" s="42"/>
      <c r="H32" s="42"/>
      <c r="I32" s="48"/>
      <c r="J32" s="42"/>
      <c r="K32" s="42"/>
      <c r="L32" s="42"/>
      <c r="M32" s="42"/>
      <c r="N32" s="53"/>
      <c r="O32" s="11" t="s">
        <v>77</v>
      </c>
      <c r="P32" s="11" t="s">
        <v>77</v>
      </c>
      <c r="Q32" s="11" t="s">
        <v>77</v>
      </c>
      <c r="R32" s="11" t="s">
        <v>77</v>
      </c>
      <c r="S32" s="11"/>
      <c r="T32" s="12" t="s">
        <v>77</v>
      </c>
      <c r="U32" s="12" t="s">
        <v>77</v>
      </c>
      <c r="V32" s="4"/>
      <c r="W32" s="11" t="s">
        <v>41</v>
      </c>
      <c r="X32" s="11" t="s">
        <v>42</v>
      </c>
      <c r="Y32" s="11" t="s">
        <v>48</v>
      </c>
      <c r="Z32" s="11">
        <v>0.5</v>
      </c>
      <c r="AA32" s="11"/>
      <c r="AB32" s="12">
        <v>45089</v>
      </c>
      <c r="AC32" s="12">
        <v>48011</v>
      </c>
      <c r="AD32" s="14" t="s">
        <v>49</v>
      </c>
      <c r="AE32" s="42"/>
      <c r="AF32" s="42"/>
    </row>
    <row r="33" spans="1:32" ht="90" x14ac:dyDescent="0.25">
      <c r="A33" s="44"/>
      <c r="B33" s="42"/>
      <c r="C33" s="42"/>
      <c r="D33" s="42"/>
      <c r="E33" s="42"/>
      <c r="F33" s="42"/>
      <c r="G33" s="42"/>
      <c r="H33" s="42"/>
      <c r="I33" s="48"/>
      <c r="J33" s="42"/>
      <c r="K33" s="42"/>
      <c r="L33" s="42"/>
      <c r="M33" s="42"/>
      <c r="N33" s="53"/>
      <c r="O33" s="11" t="s">
        <v>65</v>
      </c>
      <c r="P33" s="11" t="s">
        <v>116</v>
      </c>
      <c r="Q33" s="11" t="s">
        <v>119</v>
      </c>
      <c r="R33" s="11">
        <v>0.5</v>
      </c>
      <c r="S33" s="11"/>
      <c r="T33" s="12" t="s">
        <v>61</v>
      </c>
      <c r="U33" s="12">
        <v>47798</v>
      </c>
      <c r="V33" s="13" t="s">
        <v>120</v>
      </c>
      <c r="W33" s="11" t="s">
        <v>52</v>
      </c>
      <c r="X33" s="11" t="s">
        <v>42</v>
      </c>
      <c r="Y33" s="11" t="s">
        <v>53</v>
      </c>
      <c r="Z33" s="11">
        <v>0.5</v>
      </c>
      <c r="AA33" s="11"/>
      <c r="AB33" s="12">
        <v>45089</v>
      </c>
      <c r="AC33" s="12">
        <v>48011</v>
      </c>
      <c r="AD33" s="14" t="s">
        <v>54</v>
      </c>
      <c r="AE33" s="42"/>
      <c r="AF33" s="42"/>
    </row>
    <row r="34" spans="1:32" ht="23.85" customHeight="1" x14ac:dyDescent="0.25">
      <c r="A34" s="44">
        <v>9</v>
      </c>
      <c r="B34" s="42" t="s">
        <v>28</v>
      </c>
      <c r="C34" s="42" t="s">
        <v>29</v>
      </c>
      <c r="D34" s="42">
        <v>104264</v>
      </c>
      <c r="E34" s="42" t="s">
        <v>121</v>
      </c>
      <c r="F34" s="42" t="s">
        <v>31</v>
      </c>
      <c r="G34" s="42" t="s">
        <v>32</v>
      </c>
      <c r="H34" s="42" t="s">
        <v>69</v>
      </c>
      <c r="I34" s="48" t="s">
        <v>122</v>
      </c>
      <c r="J34" s="42" t="s">
        <v>71</v>
      </c>
      <c r="K34" s="42"/>
      <c r="L34" s="42" t="s">
        <v>123</v>
      </c>
      <c r="M34" s="54">
        <v>46611</v>
      </c>
      <c r="N34" s="42" t="s">
        <v>124</v>
      </c>
      <c r="O34" s="11" t="s">
        <v>58</v>
      </c>
      <c r="P34" s="11" t="s">
        <v>38</v>
      </c>
      <c r="Q34" s="11" t="s">
        <v>125</v>
      </c>
      <c r="R34" s="11">
        <v>0.5</v>
      </c>
      <c r="S34" s="11"/>
      <c r="T34" s="12">
        <v>45090</v>
      </c>
      <c r="U34" s="12">
        <v>48012</v>
      </c>
      <c r="V34" s="13" t="s">
        <v>126</v>
      </c>
      <c r="W34" s="11" t="s">
        <v>41</v>
      </c>
      <c r="X34" s="11" t="s">
        <v>42</v>
      </c>
      <c r="Y34" s="11" t="s">
        <v>127</v>
      </c>
      <c r="Z34" s="11">
        <v>0.5</v>
      </c>
      <c r="AA34" s="11"/>
      <c r="AB34" s="12">
        <v>45089</v>
      </c>
      <c r="AC34" s="12">
        <v>48011</v>
      </c>
      <c r="AD34" s="14" t="s">
        <v>128</v>
      </c>
      <c r="AE34" s="42"/>
      <c r="AF34" s="43" t="s">
        <v>45</v>
      </c>
    </row>
    <row r="35" spans="1:32" ht="90" x14ac:dyDescent="0.25">
      <c r="A35" s="44"/>
      <c r="B35" s="42"/>
      <c r="C35" s="42"/>
      <c r="D35" s="42"/>
      <c r="E35" s="42"/>
      <c r="F35" s="42"/>
      <c r="G35" s="42"/>
      <c r="H35" s="42"/>
      <c r="I35" s="48"/>
      <c r="J35" s="42"/>
      <c r="K35" s="42"/>
      <c r="L35" s="42"/>
      <c r="M35" s="42"/>
      <c r="N35" s="42"/>
      <c r="O35" s="11" t="s">
        <v>58</v>
      </c>
      <c r="P35" s="11" t="s">
        <v>38</v>
      </c>
      <c r="Q35" s="17" t="s">
        <v>129</v>
      </c>
      <c r="R35" s="11">
        <v>0.5</v>
      </c>
      <c r="S35" s="11"/>
      <c r="T35" s="18" t="s">
        <v>130</v>
      </c>
      <c r="U35" s="18">
        <v>45071</v>
      </c>
      <c r="V35" s="19" t="s">
        <v>124</v>
      </c>
      <c r="W35" s="11" t="s">
        <v>41</v>
      </c>
      <c r="X35" s="11" t="s">
        <v>42</v>
      </c>
      <c r="Y35" s="11" t="s">
        <v>131</v>
      </c>
      <c r="Z35" s="11">
        <v>0.5</v>
      </c>
      <c r="AA35" s="11"/>
      <c r="AB35" s="12">
        <v>45089</v>
      </c>
      <c r="AC35" s="12">
        <v>48011</v>
      </c>
      <c r="AD35" s="14" t="s">
        <v>132</v>
      </c>
      <c r="AE35" s="42"/>
      <c r="AF35" s="42"/>
    </row>
    <row r="36" spans="1:32" ht="90" x14ac:dyDescent="0.25">
      <c r="A36" s="44"/>
      <c r="B36" s="42"/>
      <c r="C36" s="42"/>
      <c r="D36" s="42"/>
      <c r="E36" s="42"/>
      <c r="F36" s="42"/>
      <c r="G36" s="42"/>
      <c r="H36" s="42"/>
      <c r="I36" s="48"/>
      <c r="J36" s="42"/>
      <c r="K36" s="42"/>
      <c r="L36" s="42"/>
      <c r="M36" s="42"/>
      <c r="N36" s="42"/>
      <c r="O36" s="11" t="s">
        <v>65</v>
      </c>
      <c r="P36" s="11" t="s">
        <v>38</v>
      </c>
      <c r="Q36" s="11">
        <v>7334</v>
      </c>
      <c r="R36" s="11">
        <v>0.5</v>
      </c>
      <c r="S36" s="11"/>
      <c r="T36" s="12">
        <v>45090</v>
      </c>
      <c r="U36" s="12">
        <v>48012</v>
      </c>
      <c r="V36" s="13" t="s">
        <v>133</v>
      </c>
      <c r="W36" s="11" t="s">
        <v>52</v>
      </c>
      <c r="X36" s="11" t="s">
        <v>42</v>
      </c>
      <c r="Y36" s="11" t="s">
        <v>134</v>
      </c>
      <c r="Z36" s="11">
        <v>0.5</v>
      </c>
      <c r="AA36" s="11"/>
      <c r="AB36" s="12">
        <v>45089</v>
      </c>
      <c r="AC36" s="12">
        <v>48011</v>
      </c>
      <c r="AD36" s="14" t="s">
        <v>135</v>
      </c>
      <c r="AE36" s="42"/>
      <c r="AF36" s="42"/>
    </row>
    <row r="37" spans="1:32" ht="23.85" customHeight="1" x14ac:dyDescent="0.25">
      <c r="A37" s="44">
        <v>10</v>
      </c>
      <c r="B37" s="42" t="s">
        <v>28</v>
      </c>
      <c r="C37" s="42" t="s">
        <v>29</v>
      </c>
      <c r="D37" s="42">
        <v>104264</v>
      </c>
      <c r="E37" s="42" t="s">
        <v>136</v>
      </c>
      <c r="F37" s="42" t="s">
        <v>31</v>
      </c>
      <c r="G37" s="42" t="s">
        <v>32</v>
      </c>
      <c r="H37" s="42" t="s">
        <v>137</v>
      </c>
      <c r="I37" s="48" t="s">
        <v>138</v>
      </c>
      <c r="J37" s="42" t="s">
        <v>71</v>
      </c>
      <c r="K37" s="42"/>
      <c r="L37" s="52">
        <v>45595</v>
      </c>
      <c r="M37" s="52">
        <v>48517</v>
      </c>
      <c r="N37" s="53" t="s">
        <v>139</v>
      </c>
      <c r="O37" s="11" t="s">
        <v>58</v>
      </c>
      <c r="P37" s="11" t="s">
        <v>59</v>
      </c>
      <c r="Q37" s="11" t="s">
        <v>140</v>
      </c>
      <c r="R37" s="11">
        <v>0.5</v>
      </c>
      <c r="S37" s="11"/>
      <c r="T37" s="12" t="s">
        <v>141</v>
      </c>
      <c r="U37" s="12">
        <v>47801</v>
      </c>
      <c r="V37" s="13" t="s">
        <v>142</v>
      </c>
      <c r="W37" s="11" t="s">
        <v>41</v>
      </c>
      <c r="X37" s="11" t="s">
        <v>42</v>
      </c>
      <c r="Y37" s="11" t="s">
        <v>127</v>
      </c>
      <c r="Z37" s="11">
        <v>0.5</v>
      </c>
      <c r="AA37" s="11"/>
      <c r="AB37" s="12">
        <v>45089</v>
      </c>
      <c r="AC37" s="12">
        <v>48011</v>
      </c>
      <c r="AD37" s="14" t="s">
        <v>128</v>
      </c>
      <c r="AE37" s="42"/>
      <c r="AF37" s="43" t="s">
        <v>45</v>
      </c>
    </row>
    <row r="38" spans="1:32" ht="90" x14ac:dyDescent="0.25">
      <c r="A38" s="44"/>
      <c r="B38" s="42"/>
      <c r="C38" s="42"/>
      <c r="D38" s="42"/>
      <c r="E38" s="42"/>
      <c r="F38" s="42"/>
      <c r="G38" s="42"/>
      <c r="H38" s="42"/>
      <c r="I38" s="48"/>
      <c r="J38" s="42"/>
      <c r="K38" s="42"/>
      <c r="L38" s="42"/>
      <c r="M38" s="42"/>
      <c r="N38" s="53"/>
      <c r="O38" s="11" t="s">
        <v>58</v>
      </c>
      <c r="P38" s="11" t="s">
        <v>59</v>
      </c>
      <c r="Q38" s="11" t="s">
        <v>143</v>
      </c>
      <c r="R38" s="11">
        <v>0.5</v>
      </c>
      <c r="S38" s="11"/>
      <c r="T38" s="12" t="s">
        <v>141</v>
      </c>
      <c r="U38" s="12">
        <v>47801</v>
      </c>
      <c r="V38" s="13" t="s">
        <v>144</v>
      </c>
      <c r="W38" s="11" t="s">
        <v>41</v>
      </c>
      <c r="X38" s="11" t="s">
        <v>42</v>
      </c>
      <c r="Y38" s="11" t="s">
        <v>131</v>
      </c>
      <c r="Z38" s="11">
        <v>0.5</v>
      </c>
      <c r="AA38" s="11"/>
      <c r="AB38" s="12">
        <v>45089</v>
      </c>
      <c r="AC38" s="12">
        <v>48011</v>
      </c>
      <c r="AD38" s="14" t="s">
        <v>132</v>
      </c>
      <c r="AE38" s="42"/>
      <c r="AF38" s="42"/>
    </row>
    <row r="39" spans="1:32" ht="90" x14ac:dyDescent="0.25">
      <c r="A39" s="44"/>
      <c r="B39" s="42"/>
      <c r="C39" s="42"/>
      <c r="D39" s="42"/>
      <c r="E39" s="42"/>
      <c r="F39" s="42"/>
      <c r="G39" s="42"/>
      <c r="H39" s="42"/>
      <c r="I39" s="48"/>
      <c r="J39" s="42"/>
      <c r="K39" s="42"/>
      <c r="L39" s="42"/>
      <c r="M39" s="42"/>
      <c r="N39" s="53"/>
      <c r="O39" s="11" t="s">
        <v>65</v>
      </c>
      <c r="P39" s="11" t="s">
        <v>59</v>
      </c>
      <c r="Q39" s="11" t="s">
        <v>145</v>
      </c>
      <c r="R39" s="11">
        <v>0.5</v>
      </c>
      <c r="S39" s="11"/>
      <c r="T39" s="12" t="s">
        <v>141</v>
      </c>
      <c r="U39" s="12">
        <v>47801</v>
      </c>
      <c r="V39" s="13" t="s">
        <v>146</v>
      </c>
      <c r="W39" s="11" t="s">
        <v>52</v>
      </c>
      <c r="X39" s="11" t="s">
        <v>42</v>
      </c>
      <c r="Y39" s="11" t="s">
        <v>134</v>
      </c>
      <c r="Z39" s="11">
        <v>0.5</v>
      </c>
      <c r="AA39" s="11"/>
      <c r="AB39" s="12">
        <v>45089</v>
      </c>
      <c r="AC39" s="12">
        <v>48011</v>
      </c>
      <c r="AD39" s="14" t="s">
        <v>135</v>
      </c>
      <c r="AE39" s="42"/>
      <c r="AF39" s="42"/>
    </row>
    <row r="40" spans="1:32" ht="23.85" customHeight="1" x14ac:dyDescent="0.25">
      <c r="A40" s="44">
        <v>11</v>
      </c>
      <c r="B40" s="42" t="s">
        <v>28</v>
      </c>
      <c r="C40" s="42" t="s">
        <v>29</v>
      </c>
      <c r="D40" s="42">
        <v>104264</v>
      </c>
      <c r="E40" s="42" t="s">
        <v>147</v>
      </c>
      <c r="F40" s="42" t="s">
        <v>31</v>
      </c>
      <c r="G40" s="42" t="s">
        <v>32</v>
      </c>
      <c r="H40" s="42" t="s">
        <v>69</v>
      </c>
      <c r="I40" s="48" t="s">
        <v>148</v>
      </c>
      <c r="J40" s="42" t="s">
        <v>71</v>
      </c>
      <c r="K40" s="42"/>
      <c r="L40" s="42" t="s">
        <v>72</v>
      </c>
      <c r="M40" s="52">
        <v>47081</v>
      </c>
      <c r="N40" s="53" t="s">
        <v>149</v>
      </c>
      <c r="O40" s="11" t="s">
        <v>58</v>
      </c>
      <c r="P40" s="11" t="s">
        <v>84</v>
      </c>
      <c r="Q40" s="11" t="s">
        <v>150</v>
      </c>
      <c r="R40" s="11">
        <v>0.5</v>
      </c>
      <c r="S40" s="11"/>
      <c r="T40" s="12" t="s">
        <v>141</v>
      </c>
      <c r="U40" s="12">
        <v>47801</v>
      </c>
      <c r="V40" s="13" t="s">
        <v>151</v>
      </c>
      <c r="W40" s="11" t="s">
        <v>41</v>
      </c>
      <c r="X40" s="11" t="s">
        <v>42</v>
      </c>
      <c r="Y40" s="11" t="s">
        <v>127</v>
      </c>
      <c r="Z40" s="11">
        <v>0.5</v>
      </c>
      <c r="AA40" s="11"/>
      <c r="AB40" s="12">
        <v>45089</v>
      </c>
      <c r="AC40" s="12">
        <v>48011</v>
      </c>
      <c r="AD40" s="14" t="s">
        <v>128</v>
      </c>
      <c r="AE40" s="42"/>
      <c r="AF40" s="43" t="s">
        <v>45</v>
      </c>
    </row>
    <row r="41" spans="1:32" ht="90" x14ac:dyDescent="0.25">
      <c r="A41" s="44"/>
      <c r="B41" s="42"/>
      <c r="C41" s="42"/>
      <c r="D41" s="42"/>
      <c r="E41" s="42"/>
      <c r="F41" s="42"/>
      <c r="G41" s="42"/>
      <c r="H41" s="42"/>
      <c r="I41" s="48"/>
      <c r="J41" s="42"/>
      <c r="K41" s="42"/>
      <c r="L41" s="42"/>
      <c r="M41" s="42"/>
      <c r="N41" s="53"/>
      <c r="O41" s="11" t="s">
        <v>77</v>
      </c>
      <c r="P41" s="11" t="s">
        <v>77</v>
      </c>
      <c r="Q41" s="11" t="s">
        <v>77</v>
      </c>
      <c r="R41" s="11" t="s">
        <v>77</v>
      </c>
      <c r="S41" s="11"/>
      <c r="T41" s="12" t="s">
        <v>77</v>
      </c>
      <c r="U41" s="12" t="s">
        <v>77</v>
      </c>
      <c r="V41" s="4"/>
      <c r="W41" s="11" t="s">
        <v>41</v>
      </c>
      <c r="X41" s="11" t="s">
        <v>42</v>
      </c>
      <c r="Y41" s="11" t="s">
        <v>131</v>
      </c>
      <c r="Z41" s="11">
        <v>0.5</v>
      </c>
      <c r="AA41" s="11"/>
      <c r="AB41" s="12">
        <v>45089</v>
      </c>
      <c r="AC41" s="12">
        <v>48011</v>
      </c>
      <c r="AD41" s="14" t="s">
        <v>132</v>
      </c>
      <c r="AE41" s="42"/>
      <c r="AF41" s="42"/>
    </row>
    <row r="42" spans="1:32" ht="90" x14ac:dyDescent="0.25">
      <c r="A42" s="44"/>
      <c r="B42" s="42"/>
      <c r="C42" s="42"/>
      <c r="D42" s="42"/>
      <c r="E42" s="42"/>
      <c r="F42" s="42"/>
      <c r="G42" s="42"/>
      <c r="H42" s="42"/>
      <c r="I42" s="48"/>
      <c r="J42" s="42"/>
      <c r="K42" s="42"/>
      <c r="L42" s="42"/>
      <c r="M42" s="42"/>
      <c r="N42" s="53"/>
      <c r="O42" s="11" t="s">
        <v>65</v>
      </c>
      <c r="P42" s="11" t="s">
        <v>84</v>
      </c>
      <c r="Q42" s="11" t="s">
        <v>152</v>
      </c>
      <c r="R42" s="11">
        <v>0.5</v>
      </c>
      <c r="S42" s="11"/>
      <c r="T42" s="12" t="s">
        <v>141</v>
      </c>
      <c r="U42" s="12">
        <v>47801</v>
      </c>
      <c r="V42" s="13" t="s">
        <v>153</v>
      </c>
      <c r="W42" s="11" t="s">
        <v>52</v>
      </c>
      <c r="X42" s="11" t="s">
        <v>42</v>
      </c>
      <c r="Y42" s="11" t="s">
        <v>134</v>
      </c>
      <c r="Z42" s="11">
        <v>0.5</v>
      </c>
      <c r="AA42" s="11"/>
      <c r="AB42" s="12">
        <v>45089</v>
      </c>
      <c r="AC42" s="12">
        <v>48011</v>
      </c>
      <c r="AD42" s="14" t="s">
        <v>135</v>
      </c>
      <c r="AE42" s="42"/>
      <c r="AF42" s="42"/>
    </row>
    <row r="43" spans="1:32" ht="23.85" customHeight="1" x14ac:dyDescent="0.25">
      <c r="A43" s="44">
        <v>12</v>
      </c>
      <c r="B43" s="42" t="s">
        <v>28</v>
      </c>
      <c r="C43" s="42" t="s">
        <v>29</v>
      </c>
      <c r="D43" s="42">
        <v>104264</v>
      </c>
      <c r="E43" s="42" t="s">
        <v>154</v>
      </c>
      <c r="F43" s="42" t="s">
        <v>31</v>
      </c>
      <c r="G43" s="42" t="s">
        <v>90</v>
      </c>
      <c r="H43" s="42" t="s">
        <v>33</v>
      </c>
      <c r="I43" s="48" t="s">
        <v>155</v>
      </c>
      <c r="J43" s="42" t="s">
        <v>35</v>
      </c>
      <c r="K43" s="42"/>
      <c r="L43" s="42" t="s">
        <v>91</v>
      </c>
      <c r="M43" s="52">
        <v>49667</v>
      </c>
      <c r="N43" s="42" t="s">
        <v>92</v>
      </c>
      <c r="O43" s="11" t="s">
        <v>58</v>
      </c>
      <c r="P43" s="11" t="s">
        <v>156</v>
      </c>
      <c r="Q43" s="11" t="s">
        <v>157</v>
      </c>
      <c r="R43" s="11">
        <v>0.5</v>
      </c>
      <c r="S43" s="11"/>
      <c r="T43" s="12" t="s">
        <v>141</v>
      </c>
      <c r="U43" s="12">
        <v>47801</v>
      </c>
      <c r="V43" s="13" t="s">
        <v>158</v>
      </c>
      <c r="W43" s="11" t="s">
        <v>41</v>
      </c>
      <c r="X43" s="11" t="s">
        <v>42</v>
      </c>
      <c r="Y43" s="11" t="s">
        <v>127</v>
      </c>
      <c r="Z43" s="11">
        <v>0.5</v>
      </c>
      <c r="AA43" s="11"/>
      <c r="AB43" s="12">
        <v>45089</v>
      </c>
      <c r="AC43" s="12">
        <v>48011</v>
      </c>
      <c r="AD43" s="14" t="s">
        <v>128</v>
      </c>
      <c r="AE43" s="42"/>
      <c r="AF43" s="43" t="s">
        <v>45</v>
      </c>
    </row>
    <row r="44" spans="1:32" ht="90" x14ac:dyDescent="0.25">
      <c r="A44" s="44"/>
      <c r="B44" s="42"/>
      <c r="C44" s="42"/>
      <c r="D44" s="42"/>
      <c r="E44" s="42"/>
      <c r="F44" s="42"/>
      <c r="G44" s="42"/>
      <c r="H44" s="42"/>
      <c r="I44" s="48"/>
      <c r="J44" s="42"/>
      <c r="K44" s="42"/>
      <c r="L44" s="42"/>
      <c r="M44" s="42"/>
      <c r="N44" s="42"/>
      <c r="O44" s="11" t="s">
        <v>77</v>
      </c>
      <c r="P44" s="11" t="s">
        <v>77</v>
      </c>
      <c r="Q44" s="11" t="s">
        <v>77</v>
      </c>
      <c r="R44" s="11" t="s">
        <v>77</v>
      </c>
      <c r="S44" s="11"/>
      <c r="T44" s="12" t="s">
        <v>77</v>
      </c>
      <c r="U44" s="12" t="s">
        <v>77</v>
      </c>
      <c r="V44" s="4"/>
      <c r="W44" s="11" t="s">
        <v>41</v>
      </c>
      <c r="X44" s="11" t="s">
        <v>42</v>
      </c>
      <c r="Y44" s="11" t="s">
        <v>131</v>
      </c>
      <c r="Z44" s="11">
        <v>0.5</v>
      </c>
      <c r="AA44" s="11"/>
      <c r="AB44" s="12">
        <v>45089</v>
      </c>
      <c r="AC44" s="12">
        <v>48011</v>
      </c>
      <c r="AD44" s="14" t="s">
        <v>132</v>
      </c>
      <c r="AE44" s="42"/>
      <c r="AF44" s="42"/>
    </row>
    <row r="45" spans="1:32" ht="90" x14ac:dyDescent="0.25">
      <c r="A45" s="44"/>
      <c r="B45" s="42"/>
      <c r="C45" s="42"/>
      <c r="D45" s="42"/>
      <c r="E45" s="42"/>
      <c r="F45" s="42"/>
      <c r="G45" s="42"/>
      <c r="H45" s="42"/>
      <c r="I45" s="48"/>
      <c r="J45" s="42"/>
      <c r="K45" s="42"/>
      <c r="L45" s="42"/>
      <c r="M45" s="42"/>
      <c r="N45" s="42"/>
      <c r="O45" s="11" t="s">
        <v>65</v>
      </c>
      <c r="P45" s="11" t="s">
        <v>156</v>
      </c>
      <c r="Q45" s="11" t="s">
        <v>159</v>
      </c>
      <c r="R45" s="11">
        <v>0.5</v>
      </c>
      <c r="S45" s="11"/>
      <c r="T45" s="12" t="s">
        <v>141</v>
      </c>
      <c r="U45" s="12">
        <v>47801</v>
      </c>
      <c r="V45" s="13" t="s">
        <v>160</v>
      </c>
      <c r="W45" s="11" t="s">
        <v>52</v>
      </c>
      <c r="X45" s="11" t="s">
        <v>42</v>
      </c>
      <c r="Y45" s="11" t="s">
        <v>134</v>
      </c>
      <c r="Z45" s="11">
        <v>0.5</v>
      </c>
      <c r="AA45" s="11"/>
      <c r="AB45" s="12">
        <v>45089</v>
      </c>
      <c r="AC45" s="12">
        <v>48011</v>
      </c>
      <c r="AD45" s="14" t="s">
        <v>135</v>
      </c>
      <c r="AE45" s="42"/>
      <c r="AF45" s="42"/>
    </row>
    <row r="46" spans="1:32" ht="23.85" customHeight="1" x14ac:dyDescent="0.25">
      <c r="A46" s="44">
        <v>13</v>
      </c>
      <c r="B46" s="42" t="s">
        <v>28</v>
      </c>
      <c r="C46" s="42" t="s">
        <v>29</v>
      </c>
      <c r="D46" s="42">
        <v>104264</v>
      </c>
      <c r="E46" s="42" t="s">
        <v>161</v>
      </c>
      <c r="F46" s="42" t="s">
        <v>31</v>
      </c>
      <c r="G46" s="42" t="s">
        <v>90</v>
      </c>
      <c r="H46" s="42" t="s">
        <v>33</v>
      </c>
      <c r="I46" s="48" t="s">
        <v>162</v>
      </c>
      <c r="J46" s="42" t="s">
        <v>35</v>
      </c>
      <c r="K46" s="42"/>
      <c r="L46" s="42" t="s">
        <v>91</v>
      </c>
      <c r="M46" s="52">
        <v>49667</v>
      </c>
      <c r="N46" s="42" t="s">
        <v>92</v>
      </c>
      <c r="O46" s="11" t="s">
        <v>58</v>
      </c>
      <c r="P46" s="11" t="s">
        <v>163</v>
      </c>
      <c r="Q46" s="11" t="s">
        <v>164</v>
      </c>
      <c r="R46" s="11">
        <v>0.5</v>
      </c>
      <c r="S46" s="11"/>
      <c r="T46" s="12" t="s">
        <v>141</v>
      </c>
      <c r="U46" s="12">
        <v>47801</v>
      </c>
      <c r="V46" s="13" t="s">
        <v>165</v>
      </c>
      <c r="W46" s="11" t="s">
        <v>41</v>
      </c>
      <c r="X46" s="11" t="s">
        <v>42</v>
      </c>
      <c r="Y46" s="11" t="s">
        <v>127</v>
      </c>
      <c r="Z46" s="11">
        <v>0.5</v>
      </c>
      <c r="AA46" s="11"/>
      <c r="AB46" s="12">
        <v>45089</v>
      </c>
      <c r="AC46" s="12">
        <v>48011</v>
      </c>
      <c r="AD46" s="14" t="s">
        <v>128</v>
      </c>
      <c r="AE46" s="42"/>
      <c r="AF46" s="43" t="s">
        <v>45</v>
      </c>
    </row>
    <row r="47" spans="1:32" ht="90" x14ac:dyDescent="0.25">
      <c r="A47" s="44"/>
      <c r="B47" s="42"/>
      <c r="C47" s="42"/>
      <c r="D47" s="42"/>
      <c r="E47" s="42"/>
      <c r="F47" s="42"/>
      <c r="G47" s="42"/>
      <c r="H47" s="42"/>
      <c r="I47" s="48"/>
      <c r="J47" s="42"/>
      <c r="K47" s="42"/>
      <c r="L47" s="42"/>
      <c r="M47" s="42"/>
      <c r="N47" s="42"/>
      <c r="O47" s="11" t="s">
        <v>77</v>
      </c>
      <c r="P47" s="11" t="s">
        <v>77</v>
      </c>
      <c r="Q47" s="11" t="s">
        <v>77</v>
      </c>
      <c r="R47" s="11" t="s">
        <v>77</v>
      </c>
      <c r="S47" s="11"/>
      <c r="T47" s="12" t="s">
        <v>77</v>
      </c>
      <c r="U47" s="12" t="s">
        <v>77</v>
      </c>
      <c r="V47" s="4"/>
      <c r="W47" s="11" t="s">
        <v>41</v>
      </c>
      <c r="X47" s="11" t="s">
        <v>42</v>
      </c>
      <c r="Y47" s="11" t="s">
        <v>131</v>
      </c>
      <c r="Z47" s="11">
        <v>0.5</v>
      </c>
      <c r="AA47" s="11"/>
      <c r="AB47" s="12">
        <v>45089</v>
      </c>
      <c r="AC47" s="12">
        <v>48011</v>
      </c>
      <c r="AD47" s="14" t="s">
        <v>132</v>
      </c>
      <c r="AE47" s="42"/>
      <c r="AF47" s="42"/>
    </row>
    <row r="48" spans="1:32" ht="90" x14ac:dyDescent="0.25">
      <c r="A48" s="44"/>
      <c r="B48" s="42"/>
      <c r="C48" s="42"/>
      <c r="D48" s="42"/>
      <c r="E48" s="42"/>
      <c r="F48" s="42"/>
      <c r="G48" s="42"/>
      <c r="H48" s="42"/>
      <c r="I48" s="48"/>
      <c r="J48" s="42"/>
      <c r="K48" s="42"/>
      <c r="L48" s="42"/>
      <c r="M48" s="42"/>
      <c r="N48" s="42"/>
      <c r="O48" s="11" t="s">
        <v>65</v>
      </c>
      <c r="P48" s="11" t="s">
        <v>163</v>
      </c>
      <c r="Q48" s="11" t="s">
        <v>166</v>
      </c>
      <c r="R48" s="11">
        <v>0.5</v>
      </c>
      <c r="S48" s="11"/>
      <c r="T48" s="12">
        <v>44879</v>
      </c>
      <c r="U48" s="12">
        <v>47801</v>
      </c>
      <c r="V48" s="13" t="s">
        <v>167</v>
      </c>
      <c r="W48" s="11" t="s">
        <v>52</v>
      </c>
      <c r="X48" s="11" t="s">
        <v>42</v>
      </c>
      <c r="Y48" s="11" t="s">
        <v>134</v>
      </c>
      <c r="Z48" s="11">
        <v>0.5</v>
      </c>
      <c r="AA48" s="11"/>
      <c r="AB48" s="12">
        <v>45089</v>
      </c>
      <c r="AC48" s="12">
        <v>48011</v>
      </c>
      <c r="AD48" s="14" t="s">
        <v>135</v>
      </c>
      <c r="AE48" s="42"/>
      <c r="AF48" s="42"/>
    </row>
    <row r="49" spans="1:32" ht="23.85" customHeight="1" x14ac:dyDescent="0.25">
      <c r="A49" s="44">
        <v>14</v>
      </c>
      <c r="B49" s="42" t="s">
        <v>28</v>
      </c>
      <c r="C49" s="42" t="s">
        <v>29</v>
      </c>
      <c r="D49" s="42">
        <v>104264</v>
      </c>
      <c r="E49" s="42" t="s">
        <v>168</v>
      </c>
      <c r="F49" s="42" t="s">
        <v>31</v>
      </c>
      <c r="G49" s="42" t="s">
        <v>90</v>
      </c>
      <c r="H49" s="42" t="s">
        <v>33</v>
      </c>
      <c r="I49" s="48" t="s">
        <v>169</v>
      </c>
      <c r="J49" s="42" t="s">
        <v>35</v>
      </c>
      <c r="K49" s="42"/>
      <c r="L49" s="42" t="s">
        <v>91</v>
      </c>
      <c r="M49" s="52">
        <v>49667</v>
      </c>
      <c r="N49" s="42" t="s">
        <v>92</v>
      </c>
      <c r="O49" s="11" t="s">
        <v>58</v>
      </c>
      <c r="P49" s="11" t="s">
        <v>163</v>
      </c>
      <c r="Q49" s="11" t="s">
        <v>170</v>
      </c>
      <c r="R49" s="11">
        <v>0.5</v>
      </c>
      <c r="S49" s="11"/>
      <c r="T49" s="12" t="s">
        <v>141</v>
      </c>
      <c r="U49" s="12">
        <v>47801</v>
      </c>
      <c r="V49" s="13" t="s">
        <v>171</v>
      </c>
      <c r="W49" s="11" t="s">
        <v>41</v>
      </c>
      <c r="X49" s="11" t="s">
        <v>42</v>
      </c>
      <c r="Y49" s="11" t="s">
        <v>127</v>
      </c>
      <c r="Z49" s="11">
        <v>0.5</v>
      </c>
      <c r="AA49" s="11"/>
      <c r="AB49" s="12">
        <v>45089</v>
      </c>
      <c r="AC49" s="12">
        <v>48011</v>
      </c>
      <c r="AD49" s="14" t="s">
        <v>128</v>
      </c>
      <c r="AE49" s="42"/>
      <c r="AF49" s="43" t="s">
        <v>45</v>
      </c>
    </row>
    <row r="50" spans="1:32" ht="90" x14ac:dyDescent="0.25">
      <c r="A50" s="44"/>
      <c r="B50" s="42"/>
      <c r="C50" s="42"/>
      <c r="D50" s="42"/>
      <c r="E50" s="42"/>
      <c r="F50" s="42"/>
      <c r="G50" s="42"/>
      <c r="H50" s="42"/>
      <c r="I50" s="48"/>
      <c r="J50" s="42"/>
      <c r="K50" s="42"/>
      <c r="L50" s="42"/>
      <c r="M50" s="42"/>
      <c r="N50" s="42"/>
      <c r="O50" s="11" t="s">
        <v>77</v>
      </c>
      <c r="P50" s="11" t="s">
        <v>77</v>
      </c>
      <c r="Q50" s="11" t="s">
        <v>77</v>
      </c>
      <c r="R50" s="11" t="s">
        <v>77</v>
      </c>
      <c r="S50" s="11"/>
      <c r="T50" s="12" t="s">
        <v>77</v>
      </c>
      <c r="U50" s="12" t="s">
        <v>77</v>
      </c>
      <c r="V50" s="4"/>
      <c r="W50" s="11" t="s">
        <v>41</v>
      </c>
      <c r="X50" s="11" t="s">
        <v>42</v>
      </c>
      <c r="Y50" s="11" t="s">
        <v>131</v>
      </c>
      <c r="Z50" s="11">
        <v>0.5</v>
      </c>
      <c r="AA50" s="11"/>
      <c r="AB50" s="12">
        <v>45089</v>
      </c>
      <c r="AC50" s="12">
        <v>48011</v>
      </c>
      <c r="AD50" s="14" t="s">
        <v>132</v>
      </c>
      <c r="AE50" s="42"/>
      <c r="AF50" s="42"/>
    </row>
    <row r="51" spans="1:32" ht="90" x14ac:dyDescent="0.25">
      <c r="A51" s="44"/>
      <c r="B51" s="42"/>
      <c r="C51" s="42"/>
      <c r="D51" s="42"/>
      <c r="E51" s="42"/>
      <c r="F51" s="42"/>
      <c r="G51" s="42"/>
      <c r="H51" s="42"/>
      <c r="I51" s="48"/>
      <c r="J51" s="42"/>
      <c r="K51" s="42"/>
      <c r="L51" s="42"/>
      <c r="M51" s="42"/>
      <c r="N51" s="42"/>
      <c r="O51" s="11" t="s">
        <v>65</v>
      </c>
      <c r="P51" s="11" t="s">
        <v>163</v>
      </c>
      <c r="Q51" s="11" t="s">
        <v>172</v>
      </c>
      <c r="R51" s="11">
        <v>0.5</v>
      </c>
      <c r="S51" s="11"/>
      <c r="T51" s="12" t="s">
        <v>141</v>
      </c>
      <c r="U51" s="12">
        <v>47801</v>
      </c>
      <c r="V51" s="13" t="s">
        <v>173</v>
      </c>
      <c r="W51" s="11" t="s">
        <v>52</v>
      </c>
      <c r="X51" s="11" t="s">
        <v>42</v>
      </c>
      <c r="Y51" s="11" t="s">
        <v>134</v>
      </c>
      <c r="Z51" s="11">
        <v>0.5</v>
      </c>
      <c r="AA51" s="11"/>
      <c r="AB51" s="12">
        <v>45089</v>
      </c>
      <c r="AC51" s="12">
        <v>48011</v>
      </c>
      <c r="AD51" s="14" t="s">
        <v>135</v>
      </c>
      <c r="AE51" s="42"/>
      <c r="AF51" s="42"/>
    </row>
    <row r="52" spans="1:32" ht="23.85" customHeight="1" x14ac:dyDescent="0.25">
      <c r="A52" s="44">
        <v>15</v>
      </c>
      <c r="B52" s="42" t="s">
        <v>28</v>
      </c>
      <c r="C52" s="42" t="s">
        <v>29</v>
      </c>
      <c r="D52" s="42">
        <v>104264</v>
      </c>
      <c r="E52" s="42" t="s">
        <v>174</v>
      </c>
      <c r="F52" s="42" t="s">
        <v>31</v>
      </c>
      <c r="G52" s="42" t="s">
        <v>32</v>
      </c>
      <c r="H52" s="42" t="s">
        <v>69</v>
      </c>
      <c r="I52" s="48" t="s">
        <v>175</v>
      </c>
      <c r="J52" s="42" t="s">
        <v>71</v>
      </c>
      <c r="K52" s="42"/>
      <c r="L52" s="42" t="s">
        <v>72</v>
      </c>
      <c r="M52" s="52">
        <v>47081</v>
      </c>
      <c r="N52" s="53" t="s">
        <v>176</v>
      </c>
      <c r="O52" s="11" t="s">
        <v>37</v>
      </c>
      <c r="P52" s="11" t="s">
        <v>38</v>
      </c>
      <c r="Q52" s="11" t="s">
        <v>177</v>
      </c>
      <c r="R52" s="11">
        <v>0.5</v>
      </c>
      <c r="S52" s="11"/>
      <c r="T52" s="12" t="s">
        <v>141</v>
      </c>
      <c r="U52" s="12">
        <v>47801</v>
      </c>
      <c r="V52" s="13" t="s">
        <v>178</v>
      </c>
      <c r="W52" s="11" t="s">
        <v>41</v>
      </c>
      <c r="X52" s="11" t="s">
        <v>42</v>
      </c>
      <c r="Y52" s="11" t="s">
        <v>179</v>
      </c>
      <c r="Z52" s="11">
        <v>0.5</v>
      </c>
      <c r="AA52" s="11"/>
      <c r="AB52" s="12">
        <v>45089</v>
      </c>
      <c r="AC52" s="12">
        <v>48011</v>
      </c>
      <c r="AD52" s="14" t="s">
        <v>180</v>
      </c>
      <c r="AE52" s="42"/>
      <c r="AF52" s="43" t="s">
        <v>45</v>
      </c>
    </row>
    <row r="53" spans="1:32" ht="90" x14ac:dyDescent="0.25">
      <c r="A53" s="44"/>
      <c r="B53" s="42"/>
      <c r="C53" s="42"/>
      <c r="D53" s="42"/>
      <c r="E53" s="42"/>
      <c r="F53" s="42"/>
      <c r="G53" s="42"/>
      <c r="H53" s="42"/>
      <c r="I53" s="48"/>
      <c r="J53" s="42"/>
      <c r="K53" s="42"/>
      <c r="L53" s="42"/>
      <c r="M53" s="42"/>
      <c r="N53" s="53"/>
      <c r="O53" s="11" t="s">
        <v>37</v>
      </c>
      <c r="P53" s="11" t="s">
        <v>38</v>
      </c>
      <c r="Q53" s="11" t="s">
        <v>181</v>
      </c>
      <c r="R53" s="11">
        <v>0.5</v>
      </c>
      <c r="S53" s="11"/>
      <c r="T53" s="12" t="s">
        <v>141</v>
      </c>
      <c r="U53" s="12">
        <v>47801</v>
      </c>
      <c r="V53" s="13" t="s">
        <v>182</v>
      </c>
      <c r="W53" s="11" t="s">
        <v>41</v>
      </c>
      <c r="X53" s="11" t="s">
        <v>42</v>
      </c>
      <c r="Y53" s="11" t="s">
        <v>183</v>
      </c>
      <c r="Z53" s="11">
        <v>0.5</v>
      </c>
      <c r="AA53" s="11"/>
      <c r="AB53" s="12">
        <v>45089</v>
      </c>
      <c r="AC53" s="12">
        <v>48011</v>
      </c>
      <c r="AD53" s="14" t="s">
        <v>184</v>
      </c>
      <c r="AE53" s="42"/>
      <c r="AF53" s="42"/>
    </row>
    <row r="54" spans="1:32" ht="90" x14ac:dyDescent="0.25">
      <c r="A54" s="44"/>
      <c r="B54" s="42"/>
      <c r="C54" s="42"/>
      <c r="D54" s="42"/>
      <c r="E54" s="42"/>
      <c r="F54" s="42"/>
      <c r="G54" s="42"/>
      <c r="H54" s="42"/>
      <c r="I54" s="48"/>
      <c r="J54" s="42"/>
      <c r="K54" s="42"/>
      <c r="L54" s="42"/>
      <c r="M54" s="42"/>
      <c r="N54" s="53"/>
      <c r="O54" s="11" t="s">
        <v>50</v>
      </c>
      <c r="P54" s="11" t="s">
        <v>38</v>
      </c>
      <c r="Q54" s="11" t="s">
        <v>185</v>
      </c>
      <c r="R54" s="11">
        <v>0.5</v>
      </c>
      <c r="S54" s="11"/>
      <c r="T54" s="12" t="s">
        <v>186</v>
      </c>
      <c r="U54" s="12">
        <v>47804</v>
      </c>
      <c r="V54" s="13" t="s">
        <v>187</v>
      </c>
      <c r="W54" s="11" t="s">
        <v>52</v>
      </c>
      <c r="X54" s="11" t="s">
        <v>42</v>
      </c>
      <c r="Y54" s="11">
        <v>4255</v>
      </c>
      <c r="Z54" s="11">
        <v>0.5</v>
      </c>
      <c r="AA54" s="11"/>
      <c r="AB54" s="12">
        <v>45089</v>
      </c>
      <c r="AC54" s="12">
        <v>48011</v>
      </c>
      <c r="AD54" s="14" t="s">
        <v>188</v>
      </c>
      <c r="AE54" s="42"/>
      <c r="AF54" s="42"/>
    </row>
    <row r="55" spans="1:32" ht="23.85" customHeight="1" x14ac:dyDescent="0.25">
      <c r="A55" s="44">
        <v>16</v>
      </c>
      <c r="B55" s="42" t="s">
        <v>28</v>
      </c>
      <c r="C55" s="42" t="s">
        <v>29</v>
      </c>
      <c r="D55" s="42">
        <v>104264</v>
      </c>
      <c r="E55" s="42" t="s">
        <v>189</v>
      </c>
      <c r="F55" s="42" t="s">
        <v>31</v>
      </c>
      <c r="G55" s="42" t="s">
        <v>32</v>
      </c>
      <c r="H55" s="42" t="s">
        <v>69</v>
      </c>
      <c r="I55" s="48" t="s">
        <v>190</v>
      </c>
      <c r="J55" s="42" t="s">
        <v>71</v>
      </c>
      <c r="K55" s="42"/>
      <c r="L55" s="42" t="s">
        <v>72</v>
      </c>
      <c r="M55" s="52">
        <v>47081</v>
      </c>
      <c r="N55" s="53" t="s">
        <v>191</v>
      </c>
      <c r="O55" s="11" t="s">
        <v>58</v>
      </c>
      <c r="P55" s="11" t="s">
        <v>59</v>
      </c>
      <c r="Q55" s="11" t="s">
        <v>192</v>
      </c>
      <c r="R55" s="11">
        <v>0.5</v>
      </c>
      <c r="S55" s="11"/>
      <c r="T55" s="12" t="s">
        <v>141</v>
      </c>
      <c r="U55" s="12">
        <v>47801</v>
      </c>
      <c r="V55" s="13" t="s">
        <v>193</v>
      </c>
      <c r="W55" s="11" t="s">
        <v>41</v>
      </c>
      <c r="X55" s="11" t="s">
        <v>42</v>
      </c>
      <c r="Y55" s="11" t="s">
        <v>179</v>
      </c>
      <c r="Z55" s="11">
        <v>0.5</v>
      </c>
      <c r="AA55" s="11"/>
      <c r="AB55" s="12">
        <v>45089</v>
      </c>
      <c r="AC55" s="12">
        <v>48011</v>
      </c>
      <c r="AD55" s="14" t="s">
        <v>180</v>
      </c>
      <c r="AE55" s="42"/>
      <c r="AF55" s="43" t="s">
        <v>45</v>
      </c>
    </row>
    <row r="56" spans="1:32" ht="90" x14ac:dyDescent="0.25">
      <c r="A56" s="44"/>
      <c r="B56" s="42"/>
      <c r="C56" s="42"/>
      <c r="D56" s="42"/>
      <c r="E56" s="42"/>
      <c r="F56" s="42"/>
      <c r="G56" s="42"/>
      <c r="H56" s="42"/>
      <c r="I56" s="48"/>
      <c r="J56" s="42"/>
      <c r="K56" s="42"/>
      <c r="L56" s="42"/>
      <c r="M56" s="42"/>
      <c r="N56" s="53"/>
      <c r="O56" s="11" t="s">
        <v>58</v>
      </c>
      <c r="P56" s="11" t="s">
        <v>59</v>
      </c>
      <c r="Q56" s="11" t="s">
        <v>194</v>
      </c>
      <c r="R56" s="11">
        <v>0.5</v>
      </c>
      <c r="S56" s="11"/>
      <c r="T56" s="12" t="s">
        <v>186</v>
      </c>
      <c r="U56" s="12">
        <v>47804</v>
      </c>
      <c r="V56" s="13" t="s">
        <v>195</v>
      </c>
      <c r="W56" s="11" t="s">
        <v>41</v>
      </c>
      <c r="X56" s="11" t="s">
        <v>42</v>
      </c>
      <c r="Y56" s="11" t="s">
        <v>183</v>
      </c>
      <c r="Z56" s="11">
        <v>0.5</v>
      </c>
      <c r="AA56" s="11"/>
      <c r="AB56" s="12">
        <v>45089</v>
      </c>
      <c r="AC56" s="12">
        <v>48011</v>
      </c>
      <c r="AD56" s="14" t="s">
        <v>184</v>
      </c>
      <c r="AE56" s="42"/>
      <c r="AF56" s="42"/>
    </row>
    <row r="57" spans="1:32" ht="90" x14ac:dyDescent="0.25">
      <c r="A57" s="44"/>
      <c r="B57" s="42"/>
      <c r="C57" s="42"/>
      <c r="D57" s="42"/>
      <c r="E57" s="42"/>
      <c r="F57" s="42"/>
      <c r="G57" s="42"/>
      <c r="H57" s="42"/>
      <c r="I57" s="48"/>
      <c r="J57" s="42"/>
      <c r="K57" s="42"/>
      <c r="L57" s="42"/>
      <c r="M57" s="42"/>
      <c r="N57" s="53"/>
      <c r="O57" s="11" t="s">
        <v>65</v>
      </c>
      <c r="P57" s="11" t="s">
        <v>59</v>
      </c>
      <c r="Q57" s="11" t="s">
        <v>196</v>
      </c>
      <c r="R57" s="11">
        <v>0.5</v>
      </c>
      <c r="S57" s="11"/>
      <c r="T57" s="12" t="s">
        <v>186</v>
      </c>
      <c r="U57" s="12">
        <v>47804</v>
      </c>
      <c r="V57" s="13" t="s">
        <v>197</v>
      </c>
      <c r="W57" s="11" t="s">
        <v>52</v>
      </c>
      <c r="X57" s="11" t="s">
        <v>42</v>
      </c>
      <c r="Y57" s="11" t="s">
        <v>198</v>
      </c>
      <c r="Z57" s="11">
        <v>0.5</v>
      </c>
      <c r="AA57" s="11"/>
      <c r="AB57" s="12">
        <v>45089</v>
      </c>
      <c r="AC57" s="12">
        <v>48011</v>
      </c>
      <c r="AD57" s="14" t="s">
        <v>188</v>
      </c>
      <c r="AE57" s="42"/>
      <c r="AF57" s="42"/>
    </row>
    <row r="58" spans="1:32" ht="23.85" customHeight="1" x14ac:dyDescent="0.25">
      <c r="A58" s="44">
        <v>17</v>
      </c>
      <c r="B58" s="42" t="s">
        <v>28</v>
      </c>
      <c r="C58" s="42" t="s">
        <v>29</v>
      </c>
      <c r="D58" s="42">
        <v>104264</v>
      </c>
      <c r="E58" s="42" t="s">
        <v>199</v>
      </c>
      <c r="F58" s="42" t="s">
        <v>31</v>
      </c>
      <c r="G58" s="42" t="s">
        <v>68</v>
      </c>
      <c r="H58" s="42" t="s">
        <v>69</v>
      </c>
      <c r="I58" s="48" t="s">
        <v>200</v>
      </c>
      <c r="J58" s="42" t="s">
        <v>71</v>
      </c>
      <c r="K58" s="42"/>
      <c r="L58" s="42" t="s">
        <v>72</v>
      </c>
      <c r="M58" s="52">
        <v>47081</v>
      </c>
      <c r="N58" s="53" t="s">
        <v>201</v>
      </c>
      <c r="O58" s="11" t="s">
        <v>58</v>
      </c>
      <c r="P58" s="11" t="s">
        <v>74</v>
      </c>
      <c r="Q58" s="11" t="s">
        <v>202</v>
      </c>
      <c r="R58" s="11">
        <v>0.5</v>
      </c>
      <c r="S58" s="11"/>
      <c r="T58" s="12" t="s">
        <v>186</v>
      </c>
      <c r="U58" s="12">
        <v>47804</v>
      </c>
      <c r="V58" s="13" t="s">
        <v>203</v>
      </c>
      <c r="W58" s="11" t="s">
        <v>41</v>
      </c>
      <c r="X58" s="11" t="s">
        <v>42</v>
      </c>
      <c r="Y58" s="11" t="s">
        <v>179</v>
      </c>
      <c r="Z58" s="11">
        <v>0.5</v>
      </c>
      <c r="AA58" s="11"/>
      <c r="AB58" s="12">
        <v>45089</v>
      </c>
      <c r="AC58" s="12">
        <v>48011</v>
      </c>
      <c r="AD58" s="14" t="s">
        <v>180</v>
      </c>
      <c r="AE58" s="42"/>
      <c r="AF58" s="43" t="s">
        <v>45</v>
      </c>
    </row>
    <row r="59" spans="1:32" ht="90" x14ac:dyDescent="0.25">
      <c r="A59" s="44"/>
      <c r="B59" s="42"/>
      <c r="C59" s="42"/>
      <c r="D59" s="42"/>
      <c r="E59" s="42"/>
      <c r="F59" s="42"/>
      <c r="G59" s="42"/>
      <c r="H59" s="42"/>
      <c r="I59" s="48"/>
      <c r="J59" s="42"/>
      <c r="K59" s="42"/>
      <c r="L59" s="42"/>
      <c r="M59" s="42"/>
      <c r="N59" s="53"/>
      <c r="O59" s="11" t="s">
        <v>77</v>
      </c>
      <c r="P59" s="11" t="s">
        <v>77</v>
      </c>
      <c r="Q59" s="11" t="s">
        <v>77</v>
      </c>
      <c r="R59" s="11" t="s">
        <v>77</v>
      </c>
      <c r="S59" s="11"/>
      <c r="T59" s="12" t="s">
        <v>77</v>
      </c>
      <c r="U59" s="12" t="s">
        <v>77</v>
      </c>
      <c r="V59" s="4"/>
      <c r="W59" s="11" t="s">
        <v>41</v>
      </c>
      <c r="X59" s="11" t="s">
        <v>42</v>
      </c>
      <c r="Y59" s="11" t="s">
        <v>183</v>
      </c>
      <c r="Z59" s="11">
        <v>0.5</v>
      </c>
      <c r="AA59" s="11"/>
      <c r="AB59" s="12">
        <v>45089</v>
      </c>
      <c r="AC59" s="12">
        <v>48011</v>
      </c>
      <c r="AD59" s="14" t="s">
        <v>184</v>
      </c>
      <c r="AE59" s="42"/>
      <c r="AF59" s="42"/>
    </row>
    <row r="60" spans="1:32" ht="90" x14ac:dyDescent="0.25">
      <c r="A60" s="44"/>
      <c r="B60" s="42"/>
      <c r="C60" s="42"/>
      <c r="D60" s="42"/>
      <c r="E60" s="42"/>
      <c r="F60" s="42"/>
      <c r="G60" s="42"/>
      <c r="H60" s="42"/>
      <c r="I60" s="48"/>
      <c r="J60" s="42"/>
      <c r="K60" s="42"/>
      <c r="L60" s="42"/>
      <c r="M60" s="42"/>
      <c r="N60" s="53"/>
      <c r="O60" s="11" t="s">
        <v>65</v>
      </c>
      <c r="P60" s="11" t="s">
        <v>74</v>
      </c>
      <c r="Q60" s="11" t="s">
        <v>204</v>
      </c>
      <c r="R60" s="11">
        <v>0.5</v>
      </c>
      <c r="S60" s="11"/>
      <c r="T60" s="12" t="s">
        <v>186</v>
      </c>
      <c r="U60" s="12">
        <v>47804</v>
      </c>
      <c r="V60" s="13" t="s">
        <v>205</v>
      </c>
      <c r="W60" s="11" t="s">
        <v>52</v>
      </c>
      <c r="X60" s="11" t="s">
        <v>42</v>
      </c>
      <c r="Y60" s="11" t="s">
        <v>198</v>
      </c>
      <c r="Z60" s="11">
        <v>0.5</v>
      </c>
      <c r="AA60" s="11"/>
      <c r="AB60" s="12">
        <v>45089</v>
      </c>
      <c r="AC60" s="12">
        <v>48011</v>
      </c>
      <c r="AD60" s="14" t="s">
        <v>188</v>
      </c>
      <c r="AE60" s="42"/>
      <c r="AF60" s="42"/>
    </row>
    <row r="61" spans="1:32" ht="23.85" customHeight="1" x14ac:dyDescent="0.25">
      <c r="A61" s="44">
        <v>18</v>
      </c>
      <c r="B61" s="42" t="s">
        <v>28</v>
      </c>
      <c r="C61" s="42" t="s">
        <v>29</v>
      </c>
      <c r="D61" s="42">
        <v>104264</v>
      </c>
      <c r="E61" s="42" t="s">
        <v>206</v>
      </c>
      <c r="F61" s="42" t="s">
        <v>31</v>
      </c>
      <c r="G61" s="42" t="s">
        <v>32</v>
      </c>
      <c r="H61" s="42" t="s">
        <v>69</v>
      </c>
      <c r="I61" s="48" t="s">
        <v>207</v>
      </c>
      <c r="J61" s="42" t="s">
        <v>71</v>
      </c>
      <c r="K61" s="42"/>
      <c r="L61" s="42" t="s">
        <v>72</v>
      </c>
      <c r="M61" s="52">
        <v>47081</v>
      </c>
      <c r="N61" s="53" t="s">
        <v>208</v>
      </c>
      <c r="O61" s="11" t="s">
        <v>58</v>
      </c>
      <c r="P61" s="11" t="s">
        <v>84</v>
      </c>
      <c r="Q61" s="11" t="s">
        <v>209</v>
      </c>
      <c r="R61" s="11">
        <v>0.5</v>
      </c>
      <c r="S61" s="11"/>
      <c r="T61" s="12" t="s">
        <v>186</v>
      </c>
      <c r="U61" s="12">
        <v>47804</v>
      </c>
      <c r="V61" s="13" t="s">
        <v>210</v>
      </c>
      <c r="W61" s="11" t="s">
        <v>41</v>
      </c>
      <c r="X61" s="11" t="s">
        <v>42</v>
      </c>
      <c r="Y61" s="11" t="s">
        <v>179</v>
      </c>
      <c r="Z61" s="11">
        <v>0.5</v>
      </c>
      <c r="AA61" s="11"/>
      <c r="AB61" s="12">
        <v>45089</v>
      </c>
      <c r="AC61" s="12">
        <v>48011</v>
      </c>
      <c r="AD61" s="14" t="s">
        <v>180</v>
      </c>
      <c r="AE61" s="42"/>
      <c r="AF61" s="43" t="s">
        <v>45</v>
      </c>
    </row>
    <row r="62" spans="1:32" ht="90" x14ac:dyDescent="0.25">
      <c r="A62" s="44"/>
      <c r="B62" s="42"/>
      <c r="C62" s="42"/>
      <c r="D62" s="42"/>
      <c r="E62" s="42"/>
      <c r="F62" s="42"/>
      <c r="G62" s="42"/>
      <c r="H62" s="42"/>
      <c r="I62" s="48"/>
      <c r="J62" s="42"/>
      <c r="K62" s="42"/>
      <c r="L62" s="42"/>
      <c r="M62" s="42"/>
      <c r="N62" s="53"/>
      <c r="O62" s="11" t="s">
        <v>77</v>
      </c>
      <c r="P62" s="11" t="s">
        <v>77</v>
      </c>
      <c r="Q62" s="11" t="s">
        <v>77</v>
      </c>
      <c r="R62" s="11" t="s">
        <v>77</v>
      </c>
      <c r="S62" s="11"/>
      <c r="T62" s="12" t="s">
        <v>77</v>
      </c>
      <c r="U62" s="12" t="s">
        <v>77</v>
      </c>
      <c r="V62" s="4"/>
      <c r="W62" s="11" t="s">
        <v>41</v>
      </c>
      <c r="X62" s="11" t="s">
        <v>42</v>
      </c>
      <c r="Y62" s="11" t="s">
        <v>183</v>
      </c>
      <c r="Z62" s="11">
        <v>0.5</v>
      </c>
      <c r="AA62" s="11"/>
      <c r="AB62" s="12">
        <v>45089</v>
      </c>
      <c r="AC62" s="12">
        <v>48011</v>
      </c>
      <c r="AD62" s="14" t="s">
        <v>184</v>
      </c>
      <c r="AE62" s="42"/>
      <c r="AF62" s="42"/>
    </row>
    <row r="63" spans="1:32" ht="90" x14ac:dyDescent="0.25">
      <c r="A63" s="44"/>
      <c r="B63" s="42"/>
      <c r="C63" s="42"/>
      <c r="D63" s="42"/>
      <c r="E63" s="42"/>
      <c r="F63" s="42"/>
      <c r="G63" s="42"/>
      <c r="H63" s="42"/>
      <c r="I63" s="48"/>
      <c r="J63" s="42"/>
      <c r="K63" s="42"/>
      <c r="L63" s="42"/>
      <c r="M63" s="42"/>
      <c r="N63" s="53"/>
      <c r="O63" s="11" t="s">
        <v>65</v>
      </c>
      <c r="P63" s="11" t="s">
        <v>84</v>
      </c>
      <c r="Q63" s="11" t="s">
        <v>211</v>
      </c>
      <c r="R63" s="11">
        <v>0.5</v>
      </c>
      <c r="S63" s="11"/>
      <c r="T63" s="12" t="s">
        <v>186</v>
      </c>
      <c r="U63" s="12">
        <v>47804</v>
      </c>
      <c r="V63" s="13" t="s">
        <v>212</v>
      </c>
      <c r="W63" s="11" t="s">
        <v>52</v>
      </c>
      <c r="X63" s="11" t="s">
        <v>42</v>
      </c>
      <c r="Y63" s="11" t="s">
        <v>198</v>
      </c>
      <c r="Z63" s="11">
        <v>0.5</v>
      </c>
      <c r="AA63" s="11"/>
      <c r="AB63" s="12">
        <v>45089</v>
      </c>
      <c r="AC63" s="12">
        <v>48011</v>
      </c>
      <c r="AD63" s="14" t="s">
        <v>188</v>
      </c>
      <c r="AE63" s="42"/>
      <c r="AF63" s="42"/>
    </row>
    <row r="64" spans="1:32" ht="23.85" customHeight="1" x14ac:dyDescent="0.25">
      <c r="A64" s="44">
        <v>19</v>
      </c>
      <c r="B64" s="42" t="s">
        <v>28</v>
      </c>
      <c r="C64" s="42" t="s">
        <v>29</v>
      </c>
      <c r="D64" s="42">
        <v>104264</v>
      </c>
      <c r="E64" s="42" t="s">
        <v>213</v>
      </c>
      <c r="F64" s="42" t="s">
        <v>31</v>
      </c>
      <c r="G64" s="42" t="s">
        <v>90</v>
      </c>
      <c r="H64" s="42" t="s">
        <v>33</v>
      </c>
      <c r="I64" s="48" t="s">
        <v>214</v>
      </c>
      <c r="J64" s="42" t="s">
        <v>35</v>
      </c>
      <c r="K64" s="42"/>
      <c r="L64" s="42" t="s">
        <v>91</v>
      </c>
      <c r="M64" s="52">
        <v>49667</v>
      </c>
      <c r="N64" s="42" t="s">
        <v>92</v>
      </c>
      <c r="O64" s="11" t="s">
        <v>58</v>
      </c>
      <c r="P64" s="11" t="s">
        <v>93</v>
      </c>
      <c r="Q64" s="11" t="s">
        <v>215</v>
      </c>
      <c r="R64" s="11">
        <v>0.5</v>
      </c>
      <c r="S64" s="11"/>
      <c r="T64" s="12" t="s">
        <v>186</v>
      </c>
      <c r="U64" s="12">
        <v>47804</v>
      </c>
      <c r="V64" s="13" t="s">
        <v>216</v>
      </c>
      <c r="W64" s="11" t="s">
        <v>41</v>
      </c>
      <c r="X64" s="11" t="s">
        <v>42</v>
      </c>
      <c r="Y64" s="11" t="s">
        <v>179</v>
      </c>
      <c r="Z64" s="11">
        <v>0.5</v>
      </c>
      <c r="AA64" s="11"/>
      <c r="AB64" s="12">
        <v>45089</v>
      </c>
      <c r="AC64" s="12">
        <v>48011</v>
      </c>
      <c r="AD64" s="14" t="s">
        <v>180</v>
      </c>
      <c r="AE64" s="42"/>
      <c r="AF64" s="43" t="s">
        <v>45</v>
      </c>
    </row>
    <row r="65" spans="1:32" ht="90" x14ac:dyDescent="0.25">
      <c r="A65" s="44"/>
      <c r="B65" s="42"/>
      <c r="C65" s="42"/>
      <c r="D65" s="42"/>
      <c r="E65" s="42"/>
      <c r="F65" s="42"/>
      <c r="G65" s="42"/>
      <c r="H65" s="42"/>
      <c r="I65" s="48"/>
      <c r="J65" s="42"/>
      <c r="K65" s="42"/>
      <c r="L65" s="42"/>
      <c r="M65" s="42"/>
      <c r="N65" s="42"/>
      <c r="O65" s="11" t="s">
        <v>77</v>
      </c>
      <c r="P65" s="11" t="s">
        <v>77</v>
      </c>
      <c r="Q65" s="11" t="s">
        <v>77</v>
      </c>
      <c r="R65" s="11" t="s">
        <v>77</v>
      </c>
      <c r="S65" s="11"/>
      <c r="T65" s="12" t="s">
        <v>77</v>
      </c>
      <c r="U65" s="12" t="s">
        <v>77</v>
      </c>
      <c r="V65" s="4"/>
      <c r="W65" s="11" t="s">
        <v>41</v>
      </c>
      <c r="X65" s="11" t="s">
        <v>42</v>
      </c>
      <c r="Y65" s="11" t="s">
        <v>183</v>
      </c>
      <c r="Z65" s="11">
        <v>0.5</v>
      </c>
      <c r="AA65" s="11"/>
      <c r="AB65" s="12">
        <v>45089</v>
      </c>
      <c r="AC65" s="12">
        <v>48011</v>
      </c>
      <c r="AD65" s="14" t="s">
        <v>184</v>
      </c>
      <c r="AE65" s="42"/>
      <c r="AF65" s="42"/>
    </row>
    <row r="66" spans="1:32" ht="90" x14ac:dyDescent="0.25">
      <c r="A66" s="44"/>
      <c r="B66" s="42"/>
      <c r="C66" s="42"/>
      <c r="D66" s="42"/>
      <c r="E66" s="42"/>
      <c r="F66" s="42"/>
      <c r="G66" s="42"/>
      <c r="H66" s="42"/>
      <c r="I66" s="48"/>
      <c r="J66" s="42"/>
      <c r="K66" s="42"/>
      <c r="L66" s="42"/>
      <c r="M66" s="42"/>
      <c r="N66" s="42"/>
      <c r="O66" s="11" t="s">
        <v>65</v>
      </c>
      <c r="P66" s="11" t="s">
        <v>93</v>
      </c>
      <c r="Q66" s="11" t="s">
        <v>217</v>
      </c>
      <c r="R66" s="11">
        <v>0.5</v>
      </c>
      <c r="S66" s="11"/>
      <c r="T66" s="12" t="s">
        <v>186</v>
      </c>
      <c r="U66" s="12">
        <v>47804</v>
      </c>
      <c r="V66" s="13" t="s">
        <v>218</v>
      </c>
      <c r="W66" s="11" t="s">
        <v>52</v>
      </c>
      <c r="X66" s="11" t="s">
        <v>42</v>
      </c>
      <c r="Y66" s="11" t="s">
        <v>198</v>
      </c>
      <c r="Z66" s="11">
        <v>0.5</v>
      </c>
      <c r="AA66" s="11"/>
      <c r="AB66" s="12">
        <v>45089</v>
      </c>
      <c r="AC66" s="12">
        <v>48011</v>
      </c>
      <c r="AD66" s="14" t="s">
        <v>188</v>
      </c>
      <c r="AE66" s="42"/>
      <c r="AF66" s="42"/>
    </row>
    <row r="67" spans="1:32" ht="23.85" customHeight="1" x14ac:dyDescent="0.25">
      <c r="A67" s="44">
        <v>20</v>
      </c>
      <c r="B67" s="42" t="s">
        <v>28</v>
      </c>
      <c r="C67" s="42" t="s">
        <v>29</v>
      </c>
      <c r="D67" s="42">
        <v>104264</v>
      </c>
      <c r="E67" s="42" t="s">
        <v>219</v>
      </c>
      <c r="F67" s="42" t="s">
        <v>31</v>
      </c>
      <c r="G67" s="42" t="s">
        <v>90</v>
      </c>
      <c r="H67" s="42" t="s">
        <v>33</v>
      </c>
      <c r="I67" s="48" t="s">
        <v>220</v>
      </c>
      <c r="J67" s="42" t="s">
        <v>35</v>
      </c>
      <c r="K67" s="42"/>
      <c r="L67" s="42" t="s">
        <v>91</v>
      </c>
      <c r="M67" s="52">
        <v>49667</v>
      </c>
      <c r="N67" s="42" t="s">
        <v>92</v>
      </c>
      <c r="O67" s="11" t="s">
        <v>58</v>
      </c>
      <c r="P67" s="11" t="s">
        <v>93</v>
      </c>
      <c r="Q67" s="11" t="s">
        <v>221</v>
      </c>
      <c r="R67" s="11">
        <v>0.5</v>
      </c>
      <c r="S67" s="11"/>
      <c r="T67" s="12" t="s">
        <v>186</v>
      </c>
      <c r="U67" s="12">
        <v>47804</v>
      </c>
      <c r="V67" s="13" t="s">
        <v>222</v>
      </c>
      <c r="W67" s="11" t="s">
        <v>41</v>
      </c>
      <c r="X67" s="11" t="s">
        <v>42</v>
      </c>
      <c r="Y67" s="11" t="s">
        <v>179</v>
      </c>
      <c r="Z67" s="11">
        <v>0.5</v>
      </c>
      <c r="AA67" s="11"/>
      <c r="AB67" s="12">
        <v>45089</v>
      </c>
      <c r="AC67" s="12">
        <v>48011</v>
      </c>
      <c r="AD67" s="14" t="s">
        <v>180</v>
      </c>
      <c r="AE67" s="42"/>
      <c r="AF67" s="43" t="s">
        <v>45</v>
      </c>
    </row>
    <row r="68" spans="1:32" ht="90" x14ac:dyDescent="0.25">
      <c r="A68" s="44"/>
      <c r="B68" s="42"/>
      <c r="C68" s="42"/>
      <c r="D68" s="42"/>
      <c r="E68" s="42"/>
      <c r="F68" s="42"/>
      <c r="G68" s="42"/>
      <c r="H68" s="42"/>
      <c r="I68" s="48"/>
      <c r="J68" s="42"/>
      <c r="K68" s="42"/>
      <c r="L68" s="42"/>
      <c r="M68" s="42"/>
      <c r="N68" s="42"/>
      <c r="O68" s="11" t="s">
        <v>58</v>
      </c>
      <c r="P68" s="11" t="s">
        <v>93</v>
      </c>
      <c r="Q68" s="11" t="s">
        <v>223</v>
      </c>
      <c r="R68" s="11">
        <v>0.5</v>
      </c>
      <c r="S68" s="11"/>
      <c r="T68" s="12" t="s">
        <v>186</v>
      </c>
      <c r="U68" s="12">
        <v>47804</v>
      </c>
      <c r="V68" s="13" t="s">
        <v>224</v>
      </c>
      <c r="W68" s="11" t="s">
        <v>41</v>
      </c>
      <c r="X68" s="11" t="s">
        <v>42</v>
      </c>
      <c r="Y68" s="11" t="s">
        <v>183</v>
      </c>
      <c r="Z68" s="11">
        <v>0.5</v>
      </c>
      <c r="AA68" s="11"/>
      <c r="AB68" s="12">
        <v>45089</v>
      </c>
      <c r="AC68" s="12">
        <v>48011</v>
      </c>
      <c r="AD68" s="14" t="s">
        <v>184</v>
      </c>
      <c r="AE68" s="42"/>
      <c r="AF68" s="42"/>
    </row>
    <row r="69" spans="1:32" ht="90" x14ac:dyDescent="0.25">
      <c r="A69" s="44"/>
      <c r="B69" s="42"/>
      <c r="C69" s="42"/>
      <c r="D69" s="42"/>
      <c r="E69" s="42"/>
      <c r="F69" s="42"/>
      <c r="G69" s="42"/>
      <c r="H69" s="42"/>
      <c r="I69" s="48"/>
      <c r="J69" s="42"/>
      <c r="K69" s="42"/>
      <c r="L69" s="42"/>
      <c r="M69" s="42"/>
      <c r="N69" s="42"/>
      <c r="O69" s="11" t="s">
        <v>65</v>
      </c>
      <c r="P69" s="11" t="s">
        <v>93</v>
      </c>
      <c r="Q69" s="11" t="s">
        <v>225</v>
      </c>
      <c r="R69" s="11">
        <v>0.5</v>
      </c>
      <c r="S69" s="11"/>
      <c r="T69" s="12" t="s">
        <v>186</v>
      </c>
      <c r="U69" s="12">
        <v>47804</v>
      </c>
      <c r="V69" s="13" t="s">
        <v>226</v>
      </c>
      <c r="W69" s="11" t="s">
        <v>52</v>
      </c>
      <c r="X69" s="11" t="s">
        <v>42</v>
      </c>
      <c r="Y69" s="11" t="s">
        <v>198</v>
      </c>
      <c r="Z69" s="11">
        <v>0.5</v>
      </c>
      <c r="AA69" s="11"/>
      <c r="AB69" s="12">
        <v>45089</v>
      </c>
      <c r="AC69" s="12">
        <v>48011</v>
      </c>
      <c r="AD69" s="14" t="s">
        <v>188</v>
      </c>
      <c r="AE69" s="42"/>
      <c r="AF69" s="42"/>
    </row>
    <row r="70" spans="1:32" ht="23.85" customHeight="1" x14ac:dyDescent="0.25">
      <c r="A70" s="44">
        <v>21</v>
      </c>
      <c r="B70" s="42" t="s">
        <v>28</v>
      </c>
      <c r="C70" s="42" t="s">
        <v>29</v>
      </c>
      <c r="D70" s="42">
        <v>104264</v>
      </c>
      <c r="E70" s="42" t="s">
        <v>227</v>
      </c>
      <c r="F70" s="42" t="s">
        <v>31</v>
      </c>
      <c r="G70" s="42" t="s">
        <v>107</v>
      </c>
      <c r="H70" s="42" t="s">
        <v>33</v>
      </c>
      <c r="I70" s="48" t="s">
        <v>228</v>
      </c>
      <c r="J70" s="42" t="s">
        <v>35</v>
      </c>
      <c r="K70" s="42"/>
      <c r="L70" s="42" t="s">
        <v>91</v>
      </c>
      <c r="M70" s="52">
        <v>49667</v>
      </c>
      <c r="N70" s="42" t="s">
        <v>92</v>
      </c>
      <c r="O70" s="11" t="s">
        <v>58</v>
      </c>
      <c r="P70" s="11" t="s">
        <v>84</v>
      </c>
      <c r="Q70" s="11" t="s">
        <v>229</v>
      </c>
      <c r="R70" s="11">
        <v>0.5</v>
      </c>
      <c r="S70" s="11"/>
      <c r="T70" s="12" t="s">
        <v>186</v>
      </c>
      <c r="U70" s="12">
        <v>47804</v>
      </c>
      <c r="V70" s="13" t="s">
        <v>230</v>
      </c>
      <c r="W70" s="11" t="s">
        <v>41</v>
      </c>
      <c r="X70" s="11" t="s">
        <v>42</v>
      </c>
      <c r="Y70" s="11" t="s">
        <v>179</v>
      </c>
      <c r="Z70" s="11">
        <v>0.5</v>
      </c>
      <c r="AA70" s="11"/>
      <c r="AB70" s="12">
        <v>45089</v>
      </c>
      <c r="AC70" s="12">
        <v>48011</v>
      </c>
      <c r="AD70" s="14" t="s">
        <v>180</v>
      </c>
      <c r="AE70" s="42"/>
      <c r="AF70" s="43" t="s">
        <v>45</v>
      </c>
    </row>
    <row r="71" spans="1:32" ht="90" x14ac:dyDescent="0.25">
      <c r="A71" s="44"/>
      <c r="B71" s="42"/>
      <c r="C71" s="42"/>
      <c r="D71" s="42"/>
      <c r="E71" s="42"/>
      <c r="F71" s="42"/>
      <c r="G71" s="42"/>
      <c r="H71" s="42"/>
      <c r="I71" s="48"/>
      <c r="J71" s="42"/>
      <c r="K71" s="42"/>
      <c r="L71" s="42"/>
      <c r="M71" s="42"/>
      <c r="N71" s="42"/>
      <c r="O71" s="11" t="s">
        <v>77</v>
      </c>
      <c r="P71" s="11" t="s">
        <v>77</v>
      </c>
      <c r="Q71" s="11" t="s">
        <v>77</v>
      </c>
      <c r="R71" s="11" t="s">
        <v>77</v>
      </c>
      <c r="S71" s="11"/>
      <c r="T71" s="12" t="s">
        <v>77</v>
      </c>
      <c r="U71" s="12" t="s">
        <v>77</v>
      </c>
      <c r="V71" s="4"/>
      <c r="W71" s="11" t="s">
        <v>41</v>
      </c>
      <c r="X71" s="11" t="s">
        <v>42</v>
      </c>
      <c r="Y71" s="11" t="s">
        <v>183</v>
      </c>
      <c r="Z71" s="11">
        <v>0.5</v>
      </c>
      <c r="AA71" s="11"/>
      <c r="AB71" s="12">
        <v>45089</v>
      </c>
      <c r="AC71" s="12">
        <v>48011</v>
      </c>
      <c r="AD71" s="14" t="s">
        <v>184</v>
      </c>
      <c r="AE71" s="42"/>
      <c r="AF71" s="42"/>
    </row>
    <row r="72" spans="1:32" ht="90" x14ac:dyDescent="0.25">
      <c r="A72" s="44"/>
      <c r="B72" s="42"/>
      <c r="C72" s="42"/>
      <c r="D72" s="42"/>
      <c r="E72" s="42"/>
      <c r="F72" s="42"/>
      <c r="G72" s="42"/>
      <c r="H72" s="42"/>
      <c r="I72" s="48"/>
      <c r="J72" s="42"/>
      <c r="K72" s="42"/>
      <c r="L72" s="42"/>
      <c r="M72" s="42"/>
      <c r="N72" s="42"/>
      <c r="O72" s="11" t="s">
        <v>65</v>
      </c>
      <c r="P72" s="11" t="s">
        <v>84</v>
      </c>
      <c r="Q72" s="11" t="s">
        <v>231</v>
      </c>
      <c r="R72" s="11">
        <v>0.5</v>
      </c>
      <c r="S72" s="11"/>
      <c r="T72" s="12" t="s">
        <v>186</v>
      </c>
      <c r="U72" s="12">
        <v>47804</v>
      </c>
      <c r="V72" s="13" t="s">
        <v>232</v>
      </c>
      <c r="W72" s="11" t="s">
        <v>52</v>
      </c>
      <c r="X72" s="11" t="s">
        <v>42</v>
      </c>
      <c r="Y72" s="11" t="s">
        <v>198</v>
      </c>
      <c r="Z72" s="11">
        <v>0.5</v>
      </c>
      <c r="AA72" s="11"/>
      <c r="AB72" s="12">
        <v>45089</v>
      </c>
      <c r="AC72" s="12">
        <v>48011</v>
      </c>
      <c r="AD72" s="14" t="s">
        <v>188</v>
      </c>
      <c r="AE72" s="42"/>
      <c r="AF72" s="42"/>
    </row>
    <row r="73" spans="1:32" ht="23.85" customHeight="1" x14ac:dyDescent="0.25">
      <c r="A73" s="44">
        <v>22</v>
      </c>
      <c r="B73" s="42" t="s">
        <v>28</v>
      </c>
      <c r="C73" s="42" t="s">
        <v>29</v>
      </c>
      <c r="D73" s="42">
        <v>104264</v>
      </c>
      <c r="E73" s="42" t="s">
        <v>233</v>
      </c>
      <c r="F73" s="42" t="s">
        <v>31</v>
      </c>
      <c r="G73" s="42" t="s">
        <v>32</v>
      </c>
      <c r="H73" s="42" t="s">
        <v>69</v>
      </c>
      <c r="I73" s="48" t="s">
        <v>234</v>
      </c>
      <c r="J73" s="42" t="s">
        <v>71</v>
      </c>
      <c r="K73" s="42"/>
      <c r="L73" s="42" t="s">
        <v>72</v>
      </c>
      <c r="M73" s="52">
        <v>47081</v>
      </c>
      <c r="N73" s="53" t="s">
        <v>235</v>
      </c>
      <c r="O73" s="11" t="s">
        <v>37</v>
      </c>
      <c r="P73" s="11" t="s">
        <v>38</v>
      </c>
      <c r="Q73" s="11" t="s">
        <v>236</v>
      </c>
      <c r="R73" s="11">
        <v>0.5</v>
      </c>
      <c r="S73" s="11"/>
      <c r="T73" s="12" t="s">
        <v>141</v>
      </c>
      <c r="U73" s="12">
        <v>47801</v>
      </c>
      <c r="V73" s="13" t="s">
        <v>237</v>
      </c>
      <c r="W73" s="11" t="s">
        <v>41</v>
      </c>
      <c r="X73" s="11" t="s">
        <v>42</v>
      </c>
      <c r="Y73" s="11" t="s">
        <v>238</v>
      </c>
      <c r="Z73" s="11">
        <v>0.5</v>
      </c>
      <c r="AA73" s="11"/>
      <c r="AB73" s="12">
        <v>45089</v>
      </c>
      <c r="AC73" s="12">
        <v>48011</v>
      </c>
      <c r="AD73" s="14" t="s">
        <v>239</v>
      </c>
      <c r="AE73" s="42"/>
      <c r="AF73" s="43" t="s">
        <v>45</v>
      </c>
    </row>
    <row r="74" spans="1:32" ht="90" x14ac:dyDescent="0.25">
      <c r="A74" s="44"/>
      <c r="B74" s="42"/>
      <c r="C74" s="42"/>
      <c r="D74" s="42"/>
      <c r="E74" s="42"/>
      <c r="F74" s="42"/>
      <c r="G74" s="42"/>
      <c r="H74" s="42"/>
      <c r="I74" s="48"/>
      <c r="J74" s="42"/>
      <c r="K74" s="42"/>
      <c r="L74" s="42"/>
      <c r="M74" s="42"/>
      <c r="N74" s="53"/>
      <c r="O74" s="11" t="s">
        <v>37</v>
      </c>
      <c r="P74" s="11" t="s">
        <v>38</v>
      </c>
      <c r="Q74" s="11" t="s">
        <v>240</v>
      </c>
      <c r="R74" s="11">
        <v>0.5</v>
      </c>
      <c r="S74" s="11"/>
      <c r="T74" s="12" t="s">
        <v>241</v>
      </c>
      <c r="U74" s="12">
        <v>47805</v>
      </c>
      <c r="V74" s="13" t="s">
        <v>242</v>
      </c>
      <c r="W74" s="11" t="s">
        <v>41</v>
      </c>
      <c r="X74" s="11" t="s">
        <v>42</v>
      </c>
      <c r="Y74" s="11" t="s">
        <v>243</v>
      </c>
      <c r="Z74" s="11">
        <v>0.5</v>
      </c>
      <c r="AA74" s="11"/>
      <c r="AB74" s="12">
        <v>45089</v>
      </c>
      <c r="AC74" s="12">
        <v>48011</v>
      </c>
      <c r="AD74" s="14" t="s">
        <v>244</v>
      </c>
      <c r="AE74" s="42"/>
      <c r="AF74" s="42"/>
    </row>
    <row r="75" spans="1:32" ht="90" x14ac:dyDescent="0.25">
      <c r="A75" s="44"/>
      <c r="B75" s="42"/>
      <c r="C75" s="42"/>
      <c r="D75" s="42"/>
      <c r="E75" s="42"/>
      <c r="F75" s="42"/>
      <c r="G75" s="42"/>
      <c r="H75" s="42"/>
      <c r="I75" s="48"/>
      <c r="J75" s="42"/>
      <c r="K75" s="42"/>
      <c r="L75" s="42"/>
      <c r="M75" s="42"/>
      <c r="N75" s="53"/>
      <c r="O75" s="11" t="s">
        <v>50</v>
      </c>
      <c r="P75" s="11" t="s">
        <v>38</v>
      </c>
      <c r="Q75" s="11" t="s">
        <v>245</v>
      </c>
      <c r="R75" s="11">
        <v>0.5</v>
      </c>
      <c r="S75" s="11"/>
      <c r="T75" s="12" t="s">
        <v>141</v>
      </c>
      <c r="U75" s="12">
        <v>47801</v>
      </c>
      <c r="V75" s="13" t="s">
        <v>246</v>
      </c>
      <c r="W75" s="11" t="s">
        <v>52</v>
      </c>
      <c r="X75" s="11" t="s">
        <v>42</v>
      </c>
      <c r="Y75" s="11" t="s">
        <v>247</v>
      </c>
      <c r="Z75" s="11">
        <v>0.5</v>
      </c>
      <c r="AA75" s="11"/>
      <c r="AB75" s="12">
        <v>45089</v>
      </c>
      <c r="AC75" s="12">
        <v>48011</v>
      </c>
      <c r="AD75" s="14" t="s">
        <v>248</v>
      </c>
      <c r="AE75" s="42"/>
      <c r="AF75" s="42"/>
    </row>
    <row r="76" spans="1:32" ht="23.85" customHeight="1" x14ac:dyDescent="0.25">
      <c r="A76" s="44">
        <v>23</v>
      </c>
      <c r="B76" s="42" t="s">
        <v>28</v>
      </c>
      <c r="C76" s="42" t="s">
        <v>29</v>
      </c>
      <c r="D76" s="42">
        <v>104264</v>
      </c>
      <c r="E76" s="42" t="s">
        <v>249</v>
      </c>
      <c r="F76" s="42" t="s">
        <v>31</v>
      </c>
      <c r="G76" s="42" t="s">
        <v>32</v>
      </c>
      <c r="H76" s="42" t="s">
        <v>69</v>
      </c>
      <c r="I76" s="48" t="s">
        <v>250</v>
      </c>
      <c r="J76" s="42" t="s">
        <v>71</v>
      </c>
      <c r="K76" s="42"/>
      <c r="L76" s="42" t="s">
        <v>72</v>
      </c>
      <c r="M76" s="52">
        <v>47081</v>
      </c>
      <c r="N76" s="53" t="s">
        <v>251</v>
      </c>
      <c r="O76" s="11" t="s">
        <v>58</v>
      </c>
      <c r="P76" s="11" t="s">
        <v>59</v>
      </c>
      <c r="Q76" s="11" t="s">
        <v>252</v>
      </c>
      <c r="R76" s="11">
        <v>0.5</v>
      </c>
      <c r="S76" s="11"/>
      <c r="T76" s="12" t="s">
        <v>241</v>
      </c>
      <c r="U76" s="12">
        <v>47805</v>
      </c>
      <c r="V76" s="13" t="s">
        <v>253</v>
      </c>
      <c r="W76" s="11" t="s">
        <v>41</v>
      </c>
      <c r="X76" s="11" t="s">
        <v>42</v>
      </c>
      <c r="Y76" s="11" t="s">
        <v>238</v>
      </c>
      <c r="Z76" s="11">
        <v>0.5</v>
      </c>
      <c r="AA76" s="11"/>
      <c r="AB76" s="12">
        <v>45089</v>
      </c>
      <c r="AC76" s="12">
        <v>48011</v>
      </c>
      <c r="AD76" s="14" t="s">
        <v>239</v>
      </c>
      <c r="AE76" s="42"/>
      <c r="AF76" s="43" t="s">
        <v>45</v>
      </c>
    </row>
    <row r="77" spans="1:32" ht="90" x14ac:dyDescent="0.25">
      <c r="A77" s="44"/>
      <c r="B77" s="42"/>
      <c r="C77" s="42"/>
      <c r="D77" s="42"/>
      <c r="E77" s="42"/>
      <c r="F77" s="42"/>
      <c r="G77" s="42"/>
      <c r="H77" s="42"/>
      <c r="I77" s="48"/>
      <c r="J77" s="42"/>
      <c r="K77" s="42"/>
      <c r="L77" s="42"/>
      <c r="M77" s="42"/>
      <c r="N77" s="53"/>
      <c r="O77" s="11" t="s">
        <v>58</v>
      </c>
      <c r="P77" s="11" t="s">
        <v>59</v>
      </c>
      <c r="Q77" s="11" t="s">
        <v>254</v>
      </c>
      <c r="R77" s="11">
        <v>0.5</v>
      </c>
      <c r="S77" s="11"/>
      <c r="T77" s="12" t="s">
        <v>241</v>
      </c>
      <c r="U77" s="12">
        <v>47805</v>
      </c>
      <c r="V77" s="13" t="s">
        <v>255</v>
      </c>
      <c r="W77" s="11" t="s">
        <v>41</v>
      </c>
      <c r="X77" s="11" t="s">
        <v>42</v>
      </c>
      <c r="Y77" s="11" t="s">
        <v>243</v>
      </c>
      <c r="Z77" s="11">
        <v>0.5</v>
      </c>
      <c r="AA77" s="11"/>
      <c r="AB77" s="12">
        <v>45089</v>
      </c>
      <c r="AC77" s="12">
        <v>48011</v>
      </c>
      <c r="AD77" s="14" t="s">
        <v>244</v>
      </c>
      <c r="AE77" s="42"/>
      <c r="AF77" s="42"/>
    </row>
    <row r="78" spans="1:32" ht="90" x14ac:dyDescent="0.25">
      <c r="A78" s="44"/>
      <c r="B78" s="42"/>
      <c r="C78" s="42"/>
      <c r="D78" s="42"/>
      <c r="E78" s="42"/>
      <c r="F78" s="42"/>
      <c r="G78" s="42"/>
      <c r="H78" s="42"/>
      <c r="I78" s="48"/>
      <c r="J78" s="42"/>
      <c r="K78" s="42"/>
      <c r="L78" s="42"/>
      <c r="M78" s="42"/>
      <c r="N78" s="53"/>
      <c r="O78" s="11" t="s">
        <v>65</v>
      </c>
      <c r="P78" s="11" t="s">
        <v>59</v>
      </c>
      <c r="Q78" s="11" t="s">
        <v>256</v>
      </c>
      <c r="R78" s="11">
        <v>0.5</v>
      </c>
      <c r="S78" s="11"/>
      <c r="T78" s="12" t="s">
        <v>241</v>
      </c>
      <c r="U78" s="12">
        <v>47805</v>
      </c>
      <c r="V78" s="13" t="s">
        <v>257</v>
      </c>
      <c r="W78" s="11" t="s">
        <v>52</v>
      </c>
      <c r="X78" s="11" t="s">
        <v>42</v>
      </c>
      <c r="Y78" s="11" t="s">
        <v>247</v>
      </c>
      <c r="Z78" s="11">
        <v>0.5</v>
      </c>
      <c r="AA78" s="11"/>
      <c r="AB78" s="12">
        <v>45089</v>
      </c>
      <c r="AC78" s="12">
        <v>48011</v>
      </c>
      <c r="AD78" s="14" t="s">
        <v>248</v>
      </c>
      <c r="AE78" s="42"/>
      <c r="AF78" s="42"/>
    </row>
    <row r="79" spans="1:32" ht="23.85" customHeight="1" x14ac:dyDescent="0.25">
      <c r="A79" s="44">
        <v>24</v>
      </c>
      <c r="B79" s="42" t="s">
        <v>28</v>
      </c>
      <c r="C79" s="42" t="s">
        <v>29</v>
      </c>
      <c r="D79" s="42">
        <v>104264</v>
      </c>
      <c r="E79" s="42" t="s">
        <v>258</v>
      </c>
      <c r="F79" s="42" t="s">
        <v>31</v>
      </c>
      <c r="G79" s="42" t="s">
        <v>90</v>
      </c>
      <c r="H79" s="42" t="s">
        <v>33</v>
      </c>
      <c r="I79" s="48" t="s">
        <v>259</v>
      </c>
      <c r="J79" s="42" t="s">
        <v>35</v>
      </c>
      <c r="K79" s="42"/>
      <c r="L79" s="42" t="s">
        <v>91</v>
      </c>
      <c r="M79" s="52">
        <v>49667</v>
      </c>
      <c r="N79" s="42" t="s">
        <v>92</v>
      </c>
      <c r="O79" s="11" t="s">
        <v>58</v>
      </c>
      <c r="P79" s="11" t="s">
        <v>156</v>
      </c>
      <c r="Q79" s="11" t="s">
        <v>260</v>
      </c>
      <c r="R79" s="11">
        <v>0.5</v>
      </c>
      <c r="S79" s="11"/>
      <c r="T79" s="12" t="s">
        <v>241</v>
      </c>
      <c r="U79" s="12">
        <v>47805</v>
      </c>
      <c r="V79" s="13" t="s">
        <v>261</v>
      </c>
      <c r="W79" s="11" t="s">
        <v>41</v>
      </c>
      <c r="X79" s="11" t="s">
        <v>42</v>
      </c>
      <c r="Y79" s="11" t="s">
        <v>238</v>
      </c>
      <c r="Z79" s="11">
        <v>0.5</v>
      </c>
      <c r="AA79" s="11"/>
      <c r="AB79" s="12">
        <v>45089</v>
      </c>
      <c r="AC79" s="12">
        <v>48011</v>
      </c>
      <c r="AD79" s="14" t="s">
        <v>239</v>
      </c>
      <c r="AE79" s="42"/>
      <c r="AF79" s="43" t="s">
        <v>45</v>
      </c>
    </row>
    <row r="80" spans="1:32" ht="90" x14ac:dyDescent="0.25">
      <c r="A80" s="44"/>
      <c r="B80" s="42"/>
      <c r="C80" s="42"/>
      <c r="D80" s="42"/>
      <c r="E80" s="42"/>
      <c r="F80" s="42"/>
      <c r="G80" s="42"/>
      <c r="H80" s="42"/>
      <c r="I80" s="48"/>
      <c r="J80" s="42"/>
      <c r="K80" s="42"/>
      <c r="L80" s="42"/>
      <c r="M80" s="42"/>
      <c r="N80" s="42"/>
      <c r="O80" s="11" t="s">
        <v>77</v>
      </c>
      <c r="P80" s="11" t="s">
        <v>77</v>
      </c>
      <c r="Q80" s="11" t="s">
        <v>77</v>
      </c>
      <c r="R80" s="11" t="s">
        <v>77</v>
      </c>
      <c r="S80" s="11"/>
      <c r="T80" s="12" t="s">
        <v>77</v>
      </c>
      <c r="U80" s="12" t="s">
        <v>77</v>
      </c>
      <c r="V80" s="4"/>
      <c r="W80" s="11" t="s">
        <v>41</v>
      </c>
      <c r="X80" s="11" t="s">
        <v>42</v>
      </c>
      <c r="Y80" s="11" t="s">
        <v>243</v>
      </c>
      <c r="Z80" s="11">
        <v>0.5</v>
      </c>
      <c r="AA80" s="11"/>
      <c r="AB80" s="12">
        <v>45089</v>
      </c>
      <c r="AC80" s="12">
        <v>48011</v>
      </c>
      <c r="AD80" s="14" t="s">
        <v>244</v>
      </c>
      <c r="AE80" s="42"/>
      <c r="AF80" s="42"/>
    </row>
    <row r="81" spans="1:32" ht="90" x14ac:dyDescent="0.25">
      <c r="A81" s="44"/>
      <c r="B81" s="42"/>
      <c r="C81" s="42"/>
      <c r="D81" s="42"/>
      <c r="E81" s="42"/>
      <c r="F81" s="42"/>
      <c r="G81" s="42"/>
      <c r="H81" s="42"/>
      <c r="I81" s="48"/>
      <c r="J81" s="42"/>
      <c r="K81" s="42"/>
      <c r="L81" s="42"/>
      <c r="M81" s="42"/>
      <c r="N81" s="42"/>
      <c r="O81" s="11" t="s">
        <v>65</v>
      </c>
      <c r="P81" s="11" t="s">
        <v>156</v>
      </c>
      <c r="Q81" s="11">
        <v>1748</v>
      </c>
      <c r="R81" s="11">
        <v>0.5</v>
      </c>
      <c r="S81" s="11"/>
      <c r="T81" s="12">
        <v>44883</v>
      </c>
      <c r="U81" s="12">
        <v>47805</v>
      </c>
      <c r="V81" s="13" t="s">
        <v>262</v>
      </c>
      <c r="W81" s="11" t="s">
        <v>52</v>
      </c>
      <c r="X81" s="11" t="s">
        <v>42</v>
      </c>
      <c r="Y81" s="11" t="s">
        <v>247</v>
      </c>
      <c r="Z81" s="11">
        <v>0.5</v>
      </c>
      <c r="AA81" s="11"/>
      <c r="AB81" s="12">
        <v>45089</v>
      </c>
      <c r="AC81" s="12">
        <v>48011</v>
      </c>
      <c r="AD81" s="14" t="s">
        <v>248</v>
      </c>
      <c r="AE81" s="42"/>
      <c r="AF81" s="42"/>
    </row>
    <row r="82" spans="1:32" ht="23.85" customHeight="1" x14ac:dyDescent="0.25">
      <c r="A82" s="44">
        <v>25</v>
      </c>
      <c r="B82" s="42" t="s">
        <v>28</v>
      </c>
      <c r="C82" s="42" t="s">
        <v>29</v>
      </c>
      <c r="D82" s="42">
        <v>104264</v>
      </c>
      <c r="E82" s="42" t="s">
        <v>263</v>
      </c>
      <c r="F82" s="42" t="s">
        <v>31</v>
      </c>
      <c r="G82" s="42" t="s">
        <v>90</v>
      </c>
      <c r="H82" s="42" t="s">
        <v>33</v>
      </c>
      <c r="I82" s="48" t="s">
        <v>264</v>
      </c>
      <c r="J82" s="42" t="s">
        <v>35</v>
      </c>
      <c r="K82" s="42"/>
      <c r="L82" s="42" t="s">
        <v>265</v>
      </c>
      <c r="M82" s="52">
        <v>49668</v>
      </c>
      <c r="N82" s="42" t="s">
        <v>92</v>
      </c>
      <c r="O82" s="11" t="s">
        <v>58</v>
      </c>
      <c r="P82" s="11" t="s">
        <v>163</v>
      </c>
      <c r="Q82" s="11" t="s">
        <v>266</v>
      </c>
      <c r="R82" s="11">
        <v>0.5</v>
      </c>
      <c r="S82" s="11"/>
      <c r="T82" s="12">
        <v>44883</v>
      </c>
      <c r="U82" s="12">
        <v>47805</v>
      </c>
      <c r="V82" s="13" t="s">
        <v>267</v>
      </c>
      <c r="W82" s="11" t="s">
        <v>41</v>
      </c>
      <c r="X82" s="11" t="s">
        <v>42</v>
      </c>
      <c r="Y82" s="11" t="s">
        <v>238</v>
      </c>
      <c r="Z82" s="11">
        <v>0.5</v>
      </c>
      <c r="AA82" s="11"/>
      <c r="AB82" s="12">
        <v>45089</v>
      </c>
      <c r="AC82" s="12">
        <v>48011</v>
      </c>
      <c r="AD82" s="14" t="s">
        <v>239</v>
      </c>
      <c r="AE82" s="42"/>
      <c r="AF82" s="43" t="s">
        <v>45</v>
      </c>
    </row>
    <row r="83" spans="1:32" ht="90" x14ac:dyDescent="0.25">
      <c r="A83" s="44"/>
      <c r="B83" s="42"/>
      <c r="C83" s="42"/>
      <c r="D83" s="42"/>
      <c r="E83" s="42"/>
      <c r="F83" s="42"/>
      <c r="G83" s="42"/>
      <c r="H83" s="42"/>
      <c r="I83" s="48"/>
      <c r="J83" s="42"/>
      <c r="K83" s="42"/>
      <c r="L83" s="42"/>
      <c r="M83" s="42"/>
      <c r="N83" s="42"/>
      <c r="O83" s="11" t="s">
        <v>77</v>
      </c>
      <c r="P83" s="11" t="s">
        <v>77</v>
      </c>
      <c r="Q83" s="11" t="s">
        <v>77</v>
      </c>
      <c r="R83" s="11" t="s">
        <v>77</v>
      </c>
      <c r="S83" s="11"/>
      <c r="T83" s="12" t="s">
        <v>77</v>
      </c>
      <c r="U83" s="12" t="s">
        <v>77</v>
      </c>
      <c r="V83" s="4"/>
      <c r="W83" s="11" t="s">
        <v>41</v>
      </c>
      <c r="X83" s="11" t="s">
        <v>42</v>
      </c>
      <c r="Y83" s="11" t="s">
        <v>243</v>
      </c>
      <c r="Z83" s="11">
        <v>0.5</v>
      </c>
      <c r="AA83" s="11"/>
      <c r="AB83" s="12">
        <v>45089</v>
      </c>
      <c r="AC83" s="12">
        <v>48011</v>
      </c>
      <c r="AD83" s="14" t="s">
        <v>244</v>
      </c>
      <c r="AE83" s="42"/>
      <c r="AF83" s="42"/>
    </row>
    <row r="84" spans="1:32" ht="90" x14ac:dyDescent="0.25">
      <c r="A84" s="44"/>
      <c r="B84" s="42"/>
      <c r="C84" s="42"/>
      <c r="D84" s="42"/>
      <c r="E84" s="42"/>
      <c r="F84" s="42"/>
      <c r="G84" s="42"/>
      <c r="H84" s="42"/>
      <c r="I84" s="48"/>
      <c r="J84" s="42"/>
      <c r="K84" s="42"/>
      <c r="L84" s="42"/>
      <c r="M84" s="42"/>
      <c r="N84" s="42"/>
      <c r="O84" s="11" t="s">
        <v>65</v>
      </c>
      <c r="P84" s="11" t="s">
        <v>163</v>
      </c>
      <c r="Q84" s="11" t="s">
        <v>268</v>
      </c>
      <c r="R84" s="11">
        <v>0.5</v>
      </c>
      <c r="S84" s="11"/>
      <c r="T84" s="12" t="s">
        <v>241</v>
      </c>
      <c r="U84" s="12">
        <v>47805</v>
      </c>
      <c r="V84" s="13" t="s">
        <v>269</v>
      </c>
      <c r="W84" s="11" t="s">
        <v>52</v>
      </c>
      <c r="X84" s="11" t="s">
        <v>42</v>
      </c>
      <c r="Y84" s="11" t="s">
        <v>247</v>
      </c>
      <c r="Z84" s="11">
        <v>0.5</v>
      </c>
      <c r="AA84" s="11"/>
      <c r="AB84" s="12">
        <v>45089</v>
      </c>
      <c r="AC84" s="12">
        <v>48011</v>
      </c>
      <c r="AD84" s="14" t="s">
        <v>248</v>
      </c>
      <c r="AE84" s="42"/>
      <c r="AF84" s="42"/>
    </row>
    <row r="85" spans="1:32" ht="23.85" customHeight="1" x14ac:dyDescent="0.25">
      <c r="A85" s="44">
        <v>26</v>
      </c>
      <c r="B85" s="42" t="s">
        <v>28</v>
      </c>
      <c r="C85" s="42" t="s">
        <v>29</v>
      </c>
      <c r="D85" s="42">
        <v>104264</v>
      </c>
      <c r="E85" s="42" t="s">
        <v>270</v>
      </c>
      <c r="F85" s="42" t="s">
        <v>31</v>
      </c>
      <c r="G85" s="42" t="s">
        <v>90</v>
      </c>
      <c r="H85" s="42" t="s">
        <v>33</v>
      </c>
      <c r="I85" s="48" t="s">
        <v>271</v>
      </c>
      <c r="J85" s="42" t="s">
        <v>35</v>
      </c>
      <c r="K85" s="42"/>
      <c r="L85" s="42" t="s">
        <v>91</v>
      </c>
      <c r="M85" s="52">
        <v>49667</v>
      </c>
      <c r="N85" s="42" t="s">
        <v>92</v>
      </c>
      <c r="O85" s="11" t="s">
        <v>58</v>
      </c>
      <c r="P85" s="11" t="s">
        <v>163</v>
      </c>
      <c r="Q85" s="11" t="s">
        <v>272</v>
      </c>
      <c r="R85" s="11">
        <v>0.5</v>
      </c>
      <c r="S85" s="11"/>
      <c r="T85" s="12" t="s">
        <v>241</v>
      </c>
      <c r="U85" s="12">
        <v>47805</v>
      </c>
      <c r="V85" s="13" t="s">
        <v>273</v>
      </c>
      <c r="W85" s="11" t="s">
        <v>41</v>
      </c>
      <c r="X85" s="11" t="s">
        <v>42</v>
      </c>
      <c r="Y85" s="11" t="s">
        <v>238</v>
      </c>
      <c r="Z85" s="11">
        <v>0.5</v>
      </c>
      <c r="AA85" s="11"/>
      <c r="AB85" s="12">
        <v>45089</v>
      </c>
      <c r="AC85" s="12">
        <v>48011</v>
      </c>
      <c r="AD85" s="14" t="s">
        <v>239</v>
      </c>
      <c r="AE85" s="42"/>
      <c r="AF85" s="43" t="s">
        <v>45</v>
      </c>
    </row>
    <row r="86" spans="1:32" ht="90" x14ac:dyDescent="0.25">
      <c r="A86" s="44"/>
      <c r="B86" s="42"/>
      <c r="C86" s="42"/>
      <c r="D86" s="42"/>
      <c r="E86" s="42"/>
      <c r="F86" s="42"/>
      <c r="G86" s="42"/>
      <c r="H86" s="42"/>
      <c r="I86" s="48"/>
      <c r="J86" s="42"/>
      <c r="K86" s="42"/>
      <c r="L86" s="42"/>
      <c r="M86" s="42"/>
      <c r="N86" s="42"/>
      <c r="O86" s="11" t="s">
        <v>77</v>
      </c>
      <c r="P86" s="11" t="s">
        <v>77</v>
      </c>
      <c r="Q86" s="11" t="s">
        <v>77</v>
      </c>
      <c r="R86" s="11" t="s">
        <v>77</v>
      </c>
      <c r="S86" s="11"/>
      <c r="T86" s="12" t="s">
        <v>77</v>
      </c>
      <c r="U86" s="12" t="s">
        <v>77</v>
      </c>
      <c r="V86" s="4"/>
      <c r="W86" s="11" t="s">
        <v>41</v>
      </c>
      <c r="X86" s="11" t="s">
        <v>42</v>
      </c>
      <c r="Y86" s="11" t="s">
        <v>243</v>
      </c>
      <c r="Z86" s="11">
        <v>0.5</v>
      </c>
      <c r="AA86" s="11"/>
      <c r="AB86" s="12">
        <v>45089</v>
      </c>
      <c r="AC86" s="12">
        <v>48011</v>
      </c>
      <c r="AD86" s="14" t="s">
        <v>244</v>
      </c>
      <c r="AE86" s="42"/>
      <c r="AF86" s="42"/>
    </row>
    <row r="87" spans="1:32" ht="90" x14ac:dyDescent="0.25">
      <c r="A87" s="44"/>
      <c r="B87" s="42"/>
      <c r="C87" s="42"/>
      <c r="D87" s="42"/>
      <c r="E87" s="42"/>
      <c r="F87" s="42"/>
      <c r="G87" s="42"/>
      <c r="H87" s="42"/>
      <c r="I87" s="48"/>
      <c r="J87" s="42"/>
      <c r="K87" s="42"/>
      <c r="L87" s="42"/>
      <c r="M87" s="42"/>
      <c r="N87" s="42"/>
      <c r="O87" s="11" t="s">
        <v>65</v>
      </c>
      <c r="P87" s="11" t="s">
        <v>163</v>
      </c>
      <c r="Q87" s="11" t="s">
        <v>274</v>
      </c>
      <c r="R87" s="11">
        <v>0.5</v>
      </c>
      <c r="S87" s="11"/>
      <c r="T87" s="12" t="s">
        <v>241</v>
      </c>
      <c r="U87" s="12">
        <v>47805</v>
      </c>
      <c r="V87" s="13" t="s">
        <v>275</v>
      </c>
      <c r="W87" s="11" t="s">
        <v>52</v>
      </c>
      <c r="X87" s="11" t="s">
        <v>42</v>
      </c>
      <c r="Y87" s="11" t="s">
        <v>247</v>
      </c>
      <c r="Z87" s="11">
        <v>0.5</v>
      </c>
      <c r="AA87" s="11"/>
      <c r="AB87" s="12">
        <v>45089</v>
      </c>
      <c r="AC87" s="12">
        <v>48011</v>
      </c>
      <c r="AD87" s="14" t="s">
        <v>248</v>
      </c>
      <c r="AE87" s="42"/>
      <c r="AF87" s="42"/>
    </row>
    <row r="88" spans="1:32" ht="23.85" customHeight="1" x14ac:dyDescent="0.25">
      <c r="A88" s="44">
        <v>27</v>
      </c>
      <c r="B88" s="42" t="s">
        <v>28</v>
      </c>
      <c r="C88" s="42" t="s">
        <v>29</v>
      </c>
      <c r="D88" s="42">
        <v>104264</v>
      </c>
      <c r="E88" s="42" t="s">
        <v>276</v>
      </c>
      <c r="F88" s="42" t="s">
        <v>31</v>
      </c>
      <c r="G88" s="42" t="s">
        <v>32</v>
      </c>
      <c r="H88" s="45" t="s">
        <v>33</v>
      </c>
      <c r="I88" s="47" t="s">
        <v>277</v>
      </c>
      <c r="J88" s="42" t="s">
        <v>71</v>
      </c>
      <c r="K88" s="42"/>
      <c r="L88" s="52">
        <v>43824</v>
      </c>
      <c r="M88" s="52">
        <v>49668</v>
      </c>
      <c r="N88" s="45" t="s">
        <v>92</v>
      </c>
      <c r="O88" s="11" t="s">
        <v>278</v>
      </c>
      <c r="P88" s="11" t="s">
        <v>38</v>
      </c>
      <c r="Q88" s="11" t="s">
        <v>279</v>
      </c>
      <c r="R88" s="11">
        <v>0.5</v>
      </c>
      <c r="S88" s="11"/>
      <c r="T88" s="12" t="s">
        <v>280</v>
      </c>
      <c r="U88" s="12">
        <v>42351</v>
      </c>
      <c r="V88" s="4" t="s">
        <v>124</v>
      </c>
      <c r="W88" s="11" t="s">
        <v>281</v>
      </c>
      <c r="X88" s="11" t="s">
        <v>42</v>
      </c>
      <c r="Y88" s="11" t="s">
        <v>282</v>
      </c>
      <c r="Z88" s="11">
        <v>0.5</v>
      </c>
      <c r="AA88" s="11"/>
      <c r="AB88" s="12" t="s">
        <v>241</v>
      </c>
      <c r="AC88" s="12">
        <v>47805</v>
      </c>
      <c r="AD88" s="12" t="s">
        <v>124</v>
      </c>
      <c r="AE88" s="42"/>
      <c r="AF88" s="43" t="s">
        <v>45</v>
      </c>
    </row>
    <row r="89" spans="1:32" ht="25.5" x14ac:dyDescent="0.25">
      <c r="A89" s="44"/>
      <c r="B89" s="42"/>
      <c r="C89" s="42"/>
      <c r="D89" s="42"/>
      <c r="E89" s="42"/>
      <c r="F89" s="42"/>
      <c r="G89" s="42"/>
      <c r="H89" s="42"/>
      <c r="I89" s="48"/>
      <c r="J89" s="42"/>
      <c r="K89" s="42"/>
      <c r="L89" s="42"/>
      <c r="M89" s="42"/>
      <c r="N89" s="42"/>
      <c r="O89" s="11" t="s">
        <v>278</v>
      </c>
      <c r="P89" s="11" t="s">
        <v>38</v>
      </c>
      <c r="Q89" s="11" t="s">
        <v>283</v>
      </c>
      <c r="R89" s="11">
        <v>0.5</v>
      </c>
      <c r="S89" s="11"/>
      <c r="T89" s="12" t="s">
        <v>280</v>
      </c>
      <c r="U89" s="12">
        <v>42351</v>
      </c>
      <c r="V89" s="4" t="s">
        <v>124</v>
      </c>
      <c r="W89" s="11" t="s">
        <v>281</v>
      </c>
      <c r="X89" s="11" t="s">
        <v>42</v>
      </c>
      <c r="Y89" s="11" t="s">
        <v>284</v>
      </c>
      <c r="Z89" s="11">
        <v>0.5</v>
      </c>
      <c r="AA89" s="11"/>
      <c r="AB89" s="12" t="s">
        <v>241</v>
      </c>
      <c r="AC89" s="12">
        <v>47805</v>
      </c>
      <c r="AD89" s="12" t="s">
        <v>124</v>
      </c>
      <c r="AE89" s="42"/>
      <c r="AF89" s="42"/>
    </row>
    <row r="90" spans="1:32" x14ac:dyDescent="0.25">
      <c r="A90" s="44"/>
      <c r="B90" s="42"/>
      <c r="C90" s="42"/>
      <c r="D90" s="42"/>
      <c r="E90" s="42"/>
      <c r="F90" s="42"/>
      <c r="G90" s="42"/>
      <c r="H90" s="46"/>
      <c r="I90" s="49"/>
      <c r="J90" s="42"/>
      <c r="K90" s="42"/>
      <c r="L90" s="42"/>
      <c r="M90" s="42"/>
      <c r="N90" s="46"/>
      <c r="O90" s="11" t="s">
        <v>285</v>
      </c>
      <c r="P90" s="11" t="s">
        <v>38</v>
      </c>
      <c r="Q90" s="11" t="s">
        <v>286</v>
      </c>
      <c r="R90" s="11">
        <v>0.5</v>
      </c>
      <c r="S90" s="11"/>
      <c r="T90" s="12" t="s">
        <v>280</v>
      </c>
      <c r="U90" s="12">
        <v>42351</v>
      </c>
      <c r="V90" s="4" t="s">
        <v>124</v>
      </c>
      <c r="W90" s="11" t="s">
        <v>287</v>
      </c>
      <c r="X90" s="11" t="s">
        <v>42</v>
      </c>
      <c r="Y90" s="11" t="s">
        <v>288</v>
      </c>
      <c r="Z90" s="11">
        <v>0.5</v>
      </c>
      <c r="AA90" s="11"/>
      <c r="AB90" s="12" t="s">
        <v>241</v>
      </c>
      <c r="AC90" s="12">
        <v>47805</v>
      </c>
      <c r="AD90" s="12" t="s">
        <v>124</v>
      </c>
      <c r="AE90" s="42"/>
      <c r="AF90" s="42"/>
    </row>
    <row r="91" spans="1:32" ht="23.85" customHeight="1" x14ac:dyDescent="0.25">
      <c r="A91" s="44">
        <v>28</v>
      </c>
      <c r="B91" s="42" t="s">
        <v>28</v>
      </c>
      <c r="C91" s="42" t="s">
        <v>29</v>
      </c>
      <c r="D91" s="42">
        <v>104264</v>
      </c>
      <c r="E91" s="42" t="s">
        <v>289</v>
      </c>
      <c r="F91" s="42" t="s">
        <v>31</v>
      </c>
      <c r="G91" s="42" t="s">
        <v>32</v>
      </c>
      <c r="H91" s="42" t="s">
        <v>69</v>
      </c>
      <c r="I91" s="48" t="s">
        <v>290</v>
      </c>
      <c r="J91" s="42" t="s">
        <v>71</v>
      </c>
      <c r="K91" s="42"/>
      <c r="L91" s="42" t="s">
        <v>72</v>
      </c>
      <c r="M91" s="52">
        <v>47081</v>
      </c>
      <c r="N91" s="53" t="s">
        <v>291</v>
      </c>
      <c r="O91" s="11" t="s">
        <v>292</v>
      </c>
      <c r="P91" s="11" t="s">
        <v>293</v>
      </c>
      <c r="Q91" s="11" t="s">
        <v>294</v>
      </c>
      <c r="R91" s="11">
        <v>0.5</v>
      </c>
      <c r="S91" s="11"/>
      <c r="T91" s="12" t="s">
        <v>295</v>
      </c>
      <c r="U91" s="12">
        <v>46265</v>
      </c>
      <c r="V91" s="4" t="s">
        <v>124</v>
      </c>
      <c r="W91" s="11" t="s">
        <v>296</v>
      </c>
      <c r="X91" s="11" t="s">
        <v>42</v>
      </c>
      <c r="Y91" s="11" t="s">
        <v>297</v>
      </c>
      <c r="Z91" s="11">
        <v>0.5</v>
      </c>
      <c r="AA91" s="11"/>
      <c r="AB91" s="12">
        <v>44806</v>
      </c>
      <c r="AC91" s="12">
        <v>46267</v>
      </c>
      <c r="AD91" s="12" t="s">
        <v>124</v>
      </c>
      <c r="AE91" s="42"/>
      <c r="AF91" s="43" t="s">
        <v>45</v>
      </c>
    </row>
    <row r="92" spans="1:32" x14ac:dyDescent="0.25">
      <c r="A92" s="44"/>
      <c r="B92" s="42"/>
      <c r="C92" s="42"/>
      <c r="D92" s="42"/>
      <c r="E92" s="42"/>
      <c r="F92" s="42"/>
      <c r="G92" s="42"/>
      <c r="H92" s="42"/>
      <c r="I92" s="48"/>
      <c r="J92" s="42"/>
      <c r="K92" s="42"/>
      <c r="L92" s="42"/>
      <c r="M92" s="42"/>
      <c r="N92" s="53"/>
      <c r="O92" s="11" t="s">
        <v>77</v>
      </c>
      <c r="P92" s="11" t="s">
        <v>77</v>
      </c>
      <c r="Q92" s="11" t="s">
        <v>77</v>
      </c>
      <c r="R92" s="11" t="s">
        <v>77</v>
      </c>
      <c r="S92" s="11"/>
      <c r="T92" s="12" t="s">
        <v>77</v>
      </c>
      <c r="U92" s="12" t="s">
        <v>77</v>
      </c>
      <c r="V92" s="4"/>
      <c r="W92" s="11" t="s">
        <v>77</v>
      </c>
      <c r="X92" s="11" t="s">
        <v>77</v>
      </c>
      <c r="Y92" s="11" t="s">
        <v>77</v>
      </c>
      <c r="Z92" s="11" t="s">
        <v>77</v>
      </c>
      <c r="AA92" s="11"/>
      <c r="AB92" s="12" t="s">
        <v>77</v>
      </c>
      <c r="AC92" s="12" t="s">
        <v>77</v>
      </c>
      <c r="AD92" s="12" t="s">
        <v>124</v>
      </c>
      <c r="AE92" s="42"/>
      <c r="AF92" s="42"/>
    </row>
    <row r="93" spans="1:32" x14ac:dyDescent="0.25">
      <c r="A93" s="44"/>
      <c r="B93" s="42"/>
      <c r="C93" s="42"/>
      <c r="D93" s="42"/>
      <c r="E93" s="42"/>
      <c r="F93" s="42"/>
      <c r="G93" s="42"/>
      <c r="H93" s="42"/>
      <c r="I93" s="48"/>
      <c r="J93" s="42"/>
      <c r="K93" s="42"/>
      <c r="L93" s="42"/>
      <c r="M93" s="42"/>
      <c r="N93" s="53"/>
      <c r="O93" s="11" t="s">
        <v>298</v>
      </c>
      <c r="P93" s="11" t="s">
        <v>293</v>
      </c>
      <c r="Q93" s="11">
        <v>8415293</v>
      </c>
      <c r="R93" s="11">
        <v>0.5</v>
      </c>
      <c r="S93" s="11"/>
      <c r="T93" s="12" t="s">
        <v>295</v>
      </c>
      <c r="U93" s="12">
        <v>46265</v>
      </c>
      <c r="V93" s="4" t="s">
        <v>124</v>
      </c>
      <c r="W93" s="11" t="s">
        <v>299</v>
      </c>
      <c r="X93" s="11" t="s">
        <v>42</v>
      </c>
      <c r="Y93" s="11" t="s">
        <v>300</v>
      </c>
      <c r="Z93" s="11">
        <v>0.5</v>
      </c>
      <c r="AA93" s="11"/>
      <c r="AB93" s="12">
        <v>44806</v>
      </c>
      <c r="AC93" s="12">
        <v>46267</v>
      </c>
      <c r="AD93" s="12" t="s">
        <v>124</v>
      </c>
      <c r="AE93" s="42"/>
      <c r="AF93" s="42"/>
    </row>
    <row r="94" spans="1:32" ht="23.85" customHeight="1" x14ac:dyDescent="0.25">
      <c r="A94" s="44">
        <v>29</v>
      </c>
      <c r="B94" s="42" t="s">
        <v>28</v>
      </c>
      <c r="C94" s="42" t="s">
        <v>29</v>
      </c>
      <c r="D94" s="42">
        <v>104264</v>
      </c>
      <c r="E94" s="42" t="s">
        <v>301</v>
      </c>
      <c r="F94" s="42" t="s">
        <v>31</v>
      </c>
      <c r="G94" s="42" t="s">
        <v>90</v>
      </c>
      <c r="H94" s="42" t="s">
        <v>33</v>
      </c>
      <c r="I94" s="48" t="s">
        <v>302</v>
      </c>
      <c r="J94" s="42" t="s">
        <v>35</v>
      </c>
      <c r="K94" s="42"/>
      <c r="L94" s="42" t="s">
        <v>265</v>
      </c>
      <c r="M94" s="52">
        <v>49668</v>
      </c>
      <c r="N94" s="42" t="s">
        <v>92</v>
      </c>
      <c r="O94" s="11" t="s">
        <v>292</v>
      </c>
      <c r="P94" s="11" t="s">
        <v>293</v>
      </c>
      <c r="Q94" s="11" t="s">
        <v>303</v>
      </c>
      <c r="R94" s="11">
        <v>0.5</v>
      </c>
      <c r="S94" s="11"/>
      <c r="T94" s="12">
        <v>44790</v>
      </c>
      <c r="U94" s="12">
        <v>46251</v>
      </c>
      <c r="V94" s="13" t="s">
        <v>304</v>
      </c>
      <c r="W94" s="11" t="s">
        <v>296</v>
      </c>
      <c r="X94" s="11" t="s">
        <v>42</v>
      </c>
      <c r="Y94" s="11" t="s">
        <v>297</v>
      </c>
      <c r="Z94" s="11">
        <v>0.5</v>
      </c>
      <c r="AA94" s="11"/>
      <c r="AB94" s="12">
        <v>44806</v>
      </c>
      <c r="AC94" s="12">
        <v>46267</v>
      </c>
      <c r="AD94" s="12" t="s">
        <v>124</v>
      </c>
      <c r="AE94" s="42"/>
      <c r="AF94" s="43" t="s">
        <v>45</v>
      </c>
    </row>
    <row r="95" spans="1:32" x14ac:dyDescent="0.25">
      <c r="A95" s="44"/>
      <c r="B95" s="42"/>
      <c r="C95" s="42"/>
      <c r="D95" s="42"/>
      <c r="E95" s="42"/>
      <c r="F95" s="42"/>
      <c r="G95" s="42"/>
      <c r="H95" s="42"/>
      <c r="I95" s="48"/>
      <c r="J95" s="42"/>
      <c r="K95" s="42"/>
      <c r="L95" s="42"/>
      <c r="M95" s="42"/>
      <c r="N95" s="42"/>
      <c r="O95" s="11" t="s">
        <v>77</v>
      </c>
      <c r="P95" s="11" t="s">
        <v>77</v>
      </c>
      <c r="Q95" s="11" t="s">
        <v>77</v>
      </c>
      <c r="R95" s="11" t="s">
        <v>77</v>
      </c>
      <c r="S95" s="11"/>
      <c r="T95" s="12" t="s">
        <v>77</v>
      </c>
      <c r="U95" s="12" t="s">
        <v>77</v>
      </c>
      <c r="V95" s="4"/>
      <c r="W95" s="11" t="s">
        <v>77</v>
      </c>
      <c r="X95" s="11" t="s">
        <v>77</v>
      </c>
      <c r="Y95" s="11" t="s">
        <v>77</v>
      </c>
      <c r="Z95" s="11" t="s">
        <v>77</v>
      </c>
      <c r="AA95" s="11"/>
      <c r="AB95" s="12" t="s">
        <v>77</v>
      </c>
      <c r="AC95" s="12" t="s">
        <v>77</v>
      </c>
      <c r="AD95" s="12" t="s">
        <v>124</v>
      </c>
      <c r="AE95" s="42"/>
      <c r="AF95" s="42"/>
    </row>
    <row r="96" spans="1:32" ht="45" x14ac:dyDescent="0.25">
      <c r="A96" s="44"/>
      <c r="B96" s="42"/>
      <c r="C96" s="42"/>
      <c r="D96" s="42"/>
      <c r="E96" s="42"/>
      <c r="F96" s="42"/>
      <c r="G96" s="42"/>
      <c r="H96" s="42"/>
      <c r="I96" s="48"/>
      <c r="J96" s="42"/>
      <c r="K96" s="42"/>
      <c r="L96" s="42"/>
      <c r="M96" s="42"/>
      <c r="N96" s="42"/>
      <c r="O96" s="11" t="s">
        <v>298</v>
      </c>
      <c r="P96" s="11" t="s">
        <v>293</v>
      </c>
      <c r="Q96" s="11">
        <v>8415295</v>
      </c>
      <c r="R96" s="11">
        <v>0.5</v>
      </c>
      <c r="S96" s="11"/>
      <c r="T96" s="12">
        <v>44790</v>
      </c>
      <c r="U96" s="12">
        <v>46251</v>
      </c>
      <c r="V96" s="13" t="s">
        <v>305</v>
      </c>
      <c r="W96" s="11" t="s">
        <v>299</v>
      </c>
      <c r="X96" s="11" t="s">
        <v>42</v>
      </c>
      <c r="Y96" s="11" t="s">
        <v>300</v>
      </c>
      <c r="Z96" s="11">
        <v>0.5</v>
      </c>
      <c r="AA96" s="11"/>
      <c r="AB96" s="12">
        <v>44806</v>
      </c>
      <c r="AC96" s="12">
        <v>46267</v>
      </c>
      <c r="AD96" s="12" t="s">
        <v>124</v>
      </c>
      <c r="AE96" s="42"/>
      <c r="AF96" s="42"/>
    </row>
    <row r="97" spans="1:32" ht="23.85" customHeight="1" x14ac:dyDescent="0.25">
      <c r="A97" s="44">
        <v>30</v>
      </c>
      <c r="B97" s="42" t="s">
        <v>28</v>
      </c>
      <c r="C97" s="42" t="s">
        <v>29</v>
      </c>
      <c r="D97" s="42">
        <v>104264</v>
      </c>
      <c r="E97" s="42" t="s">
        <v>306</v>
      </c>
      <c r="F97" s="42" t="s">
        <v>31</v>
      </c>
      <c r="G97" s="42" t="s">
        <v>90</v>
      </c>
      <c r="H97" s="42" t="s">
        <v>33</v>
      </c>
      <c r="I97" s="48" t="s">
        <v>307</v>
      </c>
      <c r="J97" s="42" t="s">
        <v>35</v>
      </c>
      <c r="K97" s="42"/>
      <c r="L97" s="42" t="s">
        <v>265</v>
      </c>
      <c r="M97" s="52">
        <v>49668</v>
      </c>
      <c r="N97" s="42" t="s">
        <v>92</v>
      </c>
      <c r="O97" s="11" t="s">
        <v>292</v>
      </c>
      <c r="P97" s="11" t="s">
        <v>293</v>
      </c>
      <c r="Q97" s="11" t="s">
        <v>308</v>
      </c>
      <c r="R97" s="11">
        <v>0.5</v>
      </c>
      <c r="S97" s="11"/>
      <c r="T97" s="12">
        <v>44790</v>
      </c>
      <c r="U97" s="12">
        <v>46251</v>
      </c>
      <c r="V97" s="13" t="s">
        <v>309</v>
      </c>
      <c r="W97" s="11" t="s">
        <v>296</v>
      </c>
      <c r="X97" s="11" t="s">
        <v>42</v>
      </c>
      <c r="Y97" s="11" t="s">
        <v>297</v>
      </c>
      <c r="Z97" s="11">
        <v>0.5</v>
      </c>
      <c r="AA97" s="11"/>
      <c r="AB97" s="12">
        <v>44806</v>
      </c>
      <c r="AC97" s="12">
        <v>46267</v>
      </c>
      <c r="AD97" s="12" t="s">
        <v>124</v>
      </c>
      <c r="AE97" s="42"/>
      <c r="AF97" s="43" t="s">
        <v>45</v>
      </c>
    </row>
    <row r="98" spans="1:32" x14ac:dyDescent="0.25">
      <c r="A98" s="44"/>
      <c r="B98" s="42"/>
      <c r="C98" s="42"/>
      <c r="D98" s="42"/>
      <c r="E98" s="42"/>
      <c r="F98" s="42"/>
      <c r="G98" s="42"/>
      <c r="H98" s="42"/>
      <c r="I98" s="48"/>
      <c r="J98" s="42"/>
      <c r="K98" s="42"/>
      <c r="L98" s="42"/>
      <c r="M98" s="42"/>
      <c r="N98" s="42"/>
      <c r="O98" s="11" t="s">
        <v>77</v>
      </c>
      <c r="P98" s="11" t="s">
        <v>77</v>
      </c>
      <c r="Q98" s="11" t="s">
        <v>77</v>
      </c>
      <c r="R98" s="11" t="s">
        <v>77</v>
      </c>
      <c r="S98" s="11"/>
      <c r="T98" s="12" t="s">
        <v>77</v>
      </c>
      <c r="U98" s="12" t="s">
        <v>77</v>
      </c>
      <c r="V98" s="4"/>
      <c r="W98" s="11" t="s">
        <v>77</v>
      </c>
      <c r="X98" s="11" t="s">
        <v>77</v>
      </c>
      <c r="Y98" s="11" t="s">
        <v>77</v>
      </c>
      <c r="Z98" s="11" t="s">
        <v>77</v>
      </c>
      <c r="AA98" s="11"/>
      <c r="AB98" s="12" t="s">
        <v>77</v>
      </c>
      <c r="AC98" s="12" t="s">
        <v>77</v>
      </c>
      <c r="AD98" s="12" t="s">
        <v>124</v>
      </c>
      <c r="AE98" s="42"/>
      <c r="AF98" s="42"/>
    </row>
    <row r="99" spans="1:32" ht="45" x14ac:dyDescent="0.25">
      <c r="A99" s="44"/>
      <c r="B99" s="42"/>
      <c r="C99" s="42"/>
      <c r="D99" s="42"/>
      <c r="E99" s="42"/>
      <c r="F99" s="42"/>
      <c r="G99" s="42"/>
      <c r="H99" s="42"/>
      <c r="I99" s="48"/>
      <c r="J99" s="42"/>
      <c r="K99" s="42"/>
      <c r="L99" s="42"/>
      <c r="M99" s="42"/>
      <c r="N99" s="42"/>
      <c r="O99" s="11" t="s">
        <v>298</v>
      </c>
      <c r="P99" s="11" t="s">
        <v>293</v>
      </c>
      <c r="Q99" s="11">
        <v>8415290</v>
      </c>
      <c r="R99" s="11">
        <v>0.5</v>
      </c>
      <c r="S99" s="11"/>
      <c r="T99" s="12">
        <v>44790</v>
      </c>
      <c r="U99" s="12">
        <v>46251</v>
      </c>
      <c r="V99" s="13" t="s">
        <v>310</v>
      </c>
      <c r="W99" s="11" t="s">
        <v>299</v>
      </c>
      <c r="X99" s="11" t="s">
        <v>42</v>
      </c>
      <c r="Y99" s="11" t="s">
        <v>300</v>
      </c>
      <c r="Z99" s="11">
        <v>0.5</v>
      </c>
      <c r="AA99" s="11"/>
      <c r="AB99" s="12">
        <v>44806</v>
      </c>
      <c r="AC99" s="12">
        <v>46267</v>
      </c>
      <c r="AD99" s="12" t="s">
        <v>124</v>
      </c>
      <c r="AE99" s="42"/>
      <c r="AF99" s="42"/>
    </row>
    <row r="100" spans="1:32" ht="23.85" customHeight="1" x14ac:dyDescent="0.25">
      <c r="A100" s="44">
        <v>31</v>
      </c>
      <c r="B100" s="42" t="s">
        <v>28</v>
      </c>
      <c r="C100" s="42" t="s">
        <v>29</v>
      </c>
      <c r="D100" s="42">
        <v>104264</v>
      </c>
      <c r="E100" s="42" t="s">
        <v>311</v>
      </c>
      <c r="F100" s="42" t="s">
        <v>31</v>
      </c>
      <c r="G100" s="42" t="s">
        <v>90</v>
      </c>
      <c r="H100" s="42" t="s">
        <v>33</v>
      </c>
      <c r="I100" s="48" t="s">
        <v>312</v>
      </c>
      <c r="J100" s="42" t="s">
        <v>35</v>
      </c>
      <c r="K100" s="42"/>
      <c r="L100" s="42" t="s">
        <v>265</v>
      </c>
      <c r="M100" s="52">
        <v>49668</v>
      </c>
      <c r="N100" s="42" t="s">
        <v>92</v>
      </c>
      <c r="O100" s="11" t="s">
        <v>292</v>
      </c>
      <c r="P100" s="11" t="s">
        <v>293</v>
      </c>
      <c r="Q100" s="11" t="s">
        <v>313</v>
      </c>
      <c r="R100" s="11">
        <v>0.5</v>
      </c>
      <c r="S100" s="11"/>
      <c r="T100" s="12">
        <v>44790</v>
      </c>
      <c r="U100" s="12">
        <v>46251</v>
      </c>
      <c r="V100" s="13" t="s">
        <v>314</v>
      </c>
      <c r="W100" s="11" t="s">
        <v>296</v>
      </c>
      <c r="X100" s="11" t="s">
        <v>42</v>
      </c>
      <c r="Y100" s="11" t="s">
        <v>297</v>
      </c>
      <c r="Z100" s="11">
        <v>0.5</v>
      </c>
      <c r="AA100" s="11"/>
      <c r="AB100" s="12">
        <v>44806</v>
      </c>
      <c r="AC100" s="12">
        <v>46267</v>
      </c>
      <c r="AD100" s="12" t="s">
        <v>124</v>
      </c>
      <c r="AE100" s="42"/>
      <c r="AF100" s="43" t="s">
        <v>45</v>
      </c>
    </row>
    <row r="101" spans="1:32" x14ac:dyDescent="0.25">
      <c r="A101" s="44"/>
      <c r="B101" s="42"/>
      <c r="C101" s="42"/>
      <c r="D101" s="42"/>
      <c r="E101" s="42"/>
      <c r="F101" s="42"/>
      <c r="G101" s="42"/>
      <c r="H101" s="42"/>
      <c r="I101" s="48"/>
      <c r="J101" s="42"/>
      <c r="K101" s="42"/>
      <c r="L101" s="42"/>
      <c r="M101" s="42"/>
      <c r="N101" s="42"/>
      <c r="O101" s="11" t="s">
        <v>77</v>
      </c>
      <c r="P101" s="11" t="s">
        <v>77</v>
      </c>
      <c r="Q101" s="11" t="s">
        <v>77</v>
      </c>
      <c r="R101" s="11" t="s">
        <v>77</v>
      </c>
      <c r="S101" s="11"/>
      <c r="T101" s="12" t="s">
        <v>77</v>
      </c>
      <c r="U101" s="12" t="s">
        <v>77</v>
      </c>
      <c r="V101" s="4"/>
      <c r="W101" s="11" t="s">
        <v>77</v>
      </c>
      <c r="X101" s="11" t="s">
        <v>77</v>
      </c>
      <c r="Y101" s="11" t="s">
        <v>77</v>
      </c>
      <c r="Z101" s="11" t="s">
        <v>77</v>
      </c>
      <c r="AA101" s="11"/>
      <c r="AB101" s="12" t="s">
        <v>77</v>
      </c>
      <c r="AC101" s="12" t="s">
        <v>77</v>
      </c>
      <c r="AD101" s="12" t="s">
        <v>124</v>
      </c>
      <c r="AE101" s="42"/>
      <c r="AF101" s="42"/>
    </row>
    <row r="102" spans="1:32" ht="45" x14ac:dyDescent="0.25">
      <c r="A102" s="44"/>
      <c r="B102" s="42"/>
      <c r="C102" s="42"/>
      <c r="D102" s="42"/>
      <c r="E102" s="42"/>
      <c r="F102" s="42"/>
      <c r="G102" s="42"/>
      <c r="H102" s="42"/>
      <c r="I102" s="48"/>
      <c r="J102" s="42"/>
      <c r="K102" s="42"/>
      <c r="L102" s="42"/>
      <c r="M102" s="42"/>
      <c r="N102" s="42"/>
      <c r="O102" s="11" t="s">
        <v>298</v>
      </c>
      <c r="P102" s="11" t="s">
        <v>293</v>
      </c>
      <c r="Q102" s="11">
        <v>8415291</v>
      </c>
      <c r="R102" s="11">
        <v>0.5</v>
      </c>
      <c r="S102" s="11"/>
      <c r="T102" s="12">
        <v>44790</v>
      </c>
      <c r="U102" s="12">
        <v>46251</v>
      </c>
      <c r="V102" s="13" t="s">
        <v>315</v>
      </c>
      <c r="W102" s="11" t="s">
        <v>299</v>
      </c>
      <c r="X102" s="11" t="s">
        <v>42</v>
      </c>
      <c r="Y102" s="11" t="s">
        <v>300</v>
      </c>
      <c r="Z102" s="11">
        <v>0.5</v>
      </c>
      <c r="AA102" s="11"/>
      <c r="AB102" s="12">
        <v>44806</v>
      </c>
      <c r="AC102" s="12">
        <v>46267</v>
      </c>
      <c r="AD102" s="12" t="s">
        <v>124</v>
      </c>
      <c r="AE102" s="42"/>
      <c r="AF102" s="42"/>
    </row>
    <row r="103" spans="1:32" ht="23.85" customHeight="1" x14ac:dyDescent="0.25">
      <c r="A103" s="44">
        <v>32</v>
      </c>
      <c r="B103" s="42" t="s">
        <v>28</v>
      </c>
      <c r="C103" s="42" t="s">
        <v>29</v>
      </c>
      <c r="D103" s="42">
        <v>104264</v>
      </c>
      <c r="E103" s="42" t="s">
        <v>316</v>
      </c>
      <c r="F103" s="42" t="s">
        <v>31</v>
      </c>
      <c r="G103" s="42" t="s">
        <v>90</v>
      </c>
      <c r="H103" s="42" t="s">
        <v>33</v>
      </c>
      <c r="I103" s="48" t="s">
        <v>317</v>
      </c>
      <c r="J103" s="42" t="s">
        <v>35</v>
      </c>
      <c r="K103" s="42"/>
      <c r="L103" s="42" t="s">
        <v>265</v>
      </c>
      <c r="M103" s="52">
        <v>49668</v>
      </c>
      <c r="N103" s="42" t="s">
        <v>92</v>
      </c>
      <c r="O103" s="11" t="s">
        <v>292</v>
      </c>
      <c r="P103" s="11" t="s">
        <v>59</v>
      </c>
      <c r="Q103" s="11" t="s">
        <v>318</v>
      </c>
      <c r="R103" s="11">
        <v>0.5</v>
      </c>
      <c r="S103" s="11"/>
      <c r="T103" s="12" t="s">
        <v>319</v>
      </c>
      <c r="U103" s="12">
        <v>46263</v>
      </c>
      <c r="V103" s="4" t="s">
        <v>124</v>
      </c>
      <c r="W103" s="11" t="s">
        <v>296</v>
      </c>
      <c r="X103" s="11" t="s">
        <v>42</v>
      </c>
      <c r="Y103" s="11" t="s">
        <v>297</v>
      </c>
      <c r="Z103" s="11">
        <v>0.5</v>
      </c>
      <c r="AA103" s="11"/>
      <c r="AB103" s="12">
        <v>44806</v>
      </c>
      <c r="AC103" s="12">
        <v>46267</v>
      </c>
      <c r="AD103" s="12" t="s">
        <v>124</v>
      </c>
      <c r="AE103" s="42"/>
      <c r="AF103" s="43" t="s">
        <v>45</v>
      </c>
    </row>
    <row r="104" spans="1:32" x14ac:dyDescent="0.25">
      <c r="A104" s="44"/>
      <c r="B104" s="42"/>
      <c r="C104" s="42"/>
      <c r="D104" s="42"/>
      <c r="E104" s="42"/>
      <c r="F104" s="42"/>
      <c r="G104" s="42"/>
      <c r="H104" s="42"/>
      <c r="I104" s="48"/>
      <c r="J104" s="42"/>
      <c r="K104" s="42"/>
      <c r="L104" s="42"/>
      <c r="M104" s="42"/>
      <c r="N104" s="42"/>
      <c r="O104" s="11" t="s">
        <v>77</v>
      </c>
      <c r="P104" s="11" t="s">
        <v>77</v>
      </c>
      <c r="Q104" s="11" t="s">
        <v>77</v>
      </c>
      <c r="R104" s="11" t="s">
        <v>77</v>
      </c>
      <c r="S104" s="11"/>
      <c r="T104" s="12" t="s">
        <v>77</v>
      </c>
      <c r="U104" s="12" t="s">
        <v>77</v>
      </c>
      <c r="V104" s="4"/>
      <c r="W104" s="11" t="s">
        <v>77</v>
      </c>
      <c r="X104" s="11" t="s">
        <v>77</v>
      </c>
      <c r="Y104" s="11" t="s">
        <v>77</v>
      </c>
      <c r="Z104" s="11" t="s">
        <v>77</v>
      </c>
      <c r="AA104" s="11"/>
      <c r="AB104" s="12" t="s">
        <v>77</v>
      </c>
      <c r="AC104" s="12" t="s">
        <v>77</v>
      </c>
      <c r="AD104" s="12" t="s">
        <v>124</v>
      </c>
      <c r="AE104" s="42"/>
      <c r="AF104" s="42"/>
    </row>
    <row r="105" spans="1:32" x14ac:dyDescent="0.25">
      <c r="A105" s="44"/>
      <c r="B105" s="42"/>
      <c r="C105" s="42"/>
      <c r="D105" s="42"/>
      <c r="E105" s="42"/>
      <c r="F105" s="42"/>
      <c r="G105" s="42"/>
      <c r="H105" s="42"/>
      <c r="I105" s="48"/>
      <c r="J105" s="42"/>
      <c r="K105" s="42"/>
      <c r="L105" s="42"/>
      <c r="M105" s="42"/>
      <c r="N105" s="42"/>
      <c r="O105" s="11" t="s">
        <v>298</v>
      </c>
      <c r="P105" s="11" t="s">
        <v>59</v>
      </c>
      <c r="Q105" s="11" t="s">
        <v>320</v>
      </c>
      <c r="R105" s="11">
        <v>0.5</v>
      </c>
      <c r="S105" s="11"/>
      <c r="T105" s="12" t="s">
        <v>319</v>
      </c>
      <c r="U105" s="12">
        <v>46263</v>
      </c>
      <c r="V105" s="4" t="s">
        <v>124</v>
      </c>
      <c r="W105" s="11" t="s">
        <v>299</v>
      </c>
      <c r="X105" s="11" t="s">
        <v>42</v>
      </c>
      <c r="Y105" s="11" t="s">
        <v>300</v>
      </c>
      <c r="Z105" s="11">
        <v>0.5</v>
      </c>
      <c r="AA105" s="11"/>
      <c r="AB105" s="12">
        <v>44806</v>
      </c>
      <c r="AC105" s="12">
        <v>46267</v>
      </c>
      <c r="AD105" s="12" t="s">
        <v>124</v>
      </c>
      <c r="AE105" s="42"/>
      <c r="AF105" s="42"/>
    </row>
    <row r="106" spans="1:32" ht="23.85" customHeight="1" x14ac:dyDescent="0.25">
      <c r="A106" s="44">
        <v>33</v>
      </c>
      <c r="B106" s="42" t="s">
        <v>28</v>
      </c>
      <c r="C106" s="42" t="s">
        <v>29</v>
      </c>
      <c r="D106" s="42">
        <v>104264</v>
      </c>
      <c r="E106" s="42" t="s">
        <v>321</v>
      </c>
      <c r="F106" s="42" t="s">
        <v>31</v>
      </c>
      <c r="G106" s="42" t="s">
        <v>90</v>
      </c>
      <c r="H106" s="42" t="s">
        <v>33</v>
      </c>
      <c r="I106" s="48" t="s">
        <v>322</v>
      </c>
      <c r="J106" s="42" t="s">
        <v>35</v>
      </c>
      <c r="K106" s="42"/>
      <c r="L106" s="42" t="s">
        <v>265</v>
      </c>
      <c r="M106" s="52">
        <v>49668</v>
      </c>
      <c r="N106" s="42" t="s">
        <v>92</v>
      </c>
      <c r="O106" s="11" t="s">
        <v>292</v>
      </c>
      <c r="P106" s="11" t="s">
        <v>59</v>
      </c>
      <c r="Q106" s="11" t="s">
        <v>323</v>
      </c>
      <c r="R106" s="11">
        <v>0.5</v>
      </c>
      <c r="S106" s="11"/>
      <c r="T106" s="12">
        <v>44790</v>
      </c>
      <c r="U106" s="12">
        <v>46251</v>
      </c>
      <c r="V106" s="13" t="s">
        <v>324</v>
      </c>
      <c r="W106" s="11" t="s">
        <v>296</v>
      </c>
      <c r="X106" s="11" t="s">
        <v>42</v>
      </c>
      <c r="Y106" s="11" t="s">
        <v>297</v>
      </c>
      <c r="Z106" s="11">
        <v>0.5</v>
      </c>
      <c r="AA106" s="11"/>
      <c r="AB106" s="12">
        <v>44806</v>
      </c>
      <c r="AC106" s="12">
        <v>46267</v>
      </c>
      <c r="AD106" s="12" t="s">
        <v>124</v>
      </c>
      <c r="AE106" s="42"/>
      <c r="AF106" s="43" t="s">
        <v>45</v>
      </c>
    </row>
    <row r="107" spans="1:32" x14ac:dyDescent="0.25">
      <c r="A107" s="44"/>
      <c r="B107" s="42"/>
      <c r="C107" s="42"/>
      <c r="D107" s="42"/>
      <c r="E107" s="42"/>
      <c r="F107" s="42"/>
      <c r="G107" s="42"/>
      <c r="H107" s="42"/>
      <c r="I107" s="48"/>
      <c r="J107" s="42"/>
      <c r="K107" s="42"/>
      <c r="L107" s="42"/>
      <c r="M107" s="42"/>
      <c r="N107" s="42"/>
      <c r="O107" s="11" t="s">
        <v>77</v>
      </c>
      <c r="P107" s="11" t="s">
        <v>77</v>
      </c>
      <c r="Q107" s="11" t="s">
        <v>77</v>
      </c>
      <c r="R107" s="11" t="s">
        <v>77</v>
      </c>
      <c r="S107" s="11"/>
      <c r="T107" s="12" t="s">
        <v>77</v>
      </c>
      <c r="U107" s="12" t="s">
        <v>77</v>
      </c>
      <c r="V107" s="4"/>
      <c r="W107" s="11" t="s">
        <v>77</v>
      </c>
      <c r="X107" s="11" t="s">
        <v>77</v>
      </c>
      <c r="Y107" s="11" t="s">
        <v>77</v>
      </c>
      <c r="Z107" s="11" t="s">
        <v>77</v>
      </c>
      <c r="AA107" s="11"/>
      <c r="AB107" s="12" t="s">
        <v>77</v>
      </c>
      <c r="AC107" s="12" t="s">
        <v>77</v>
      </c>
      <c r="AD107" s="12" t="s">
        <v>124</v>
      </c>
      <c r="AE107" s="42"/>
      <c r="AF107" s="42"/>
    </row>
    <row r="108" spans="1:32" ht="45" x14ac:dyDescent="0.25">
      <c r="A108" s="44"/>
      <c r="B108" s="42"/>
      <c r="C108" s="42"/>
      <c r="D108" s="42"/>
      <c r="E108" s="42"/>
      <c r="F108" s="42"/>
      <c r="G108" s="42"/>
      <c r="H108" s="42"/>
      <c r="I108" s="48"/>
      <c r="J108" s="42"/>
      <c r="K108" s="42"/>
      <c r="L108" s="42"/>
      <c r="M108" s="42"/>
      <c r="N108" s="42"/>
      <c r="O108" s="11" t="s">
        <v>298</v>
      </c>
      <c r="P108" s="11" t="s">
        <v>59</v>
      </c>
      <c r="Q108" s="11">
        <v>8415308</v>
      </c>
      <c r="R108" s="11">
        <v>0.5</v>
      </c>
      <c r="S108" s="11"/>
      <c r="T108" s="12">
        <v>44790</v>
      </c>
      <c r="U108" s="12">
        <v>46251</v>
      </c>
      <c r="V108" s="13" t="s">
        <v>325</v>
      </c>
      <c r="W108" s="11" t="s">
        <v>299</v>
      </c>
      <c r="X108" s="11" t="s">
        <v>42</v>
      </c>
      <c r="Y108" s="11" t="s">
        <v>300</v>
      </c>
      <c r="Z108" s="11">
        <v>0.5</v>
      </c>
      <c r="AA108" s="11"/>
      <c r="AB108" s="12">
        <v>44806</v>
      </c>
      <c r="AC108" s="12">
        <v>46267</v>
      </c>
      <c r="AD108" s="12" t="s">
        <v>124</v>
      </c>
      <c r="AE108" s="42"/>
      <c r="AF108" s="42"/>
    </row>
    <row r="109" spans="1:32" ht="23.85" customHeight="1" x14ac:dyDescent="0.25">
      <c r="A109" s="44">
        <v>34</v>
      </c>
      <c r="B109" s="42" t="s">
        <v>28</v>
      </c>
      <c r="C109" s="42" t="s">
        <v>29</v>
      </c>
      <c r="D109" s="42">
        <v>104264</v>
      </c>
      <c r="E109" s="42" t="s">
        <v>326</v>
      </c>
      <c r="F109" s="42" t="s">
        <v>31</v>
      </c>
      <c r="G109" s="42" t="s">
        <v>90</v>
      </c>
      <c r="H109" s="42" t="s">
        <v>33</v>
      </c>
      <c r="I109" s="48" t="s">
        <v>327</v>
      </c>
      <c r="J109" s="42" t="s">
        <v>35</v>
      </c>
      <c r="K109" s="42"/>
      <c r="L109" s="42" t="s">
        <v>265</v>
      </c>
      <c r="M109" s="52">
        <v>49668</v>
      </c>
      <c r="N109" s="42" t="s">
        <v>92</v>
      </c>
      <c r="O109" s="11" t="s">
        <v>292</v>
      </c>
      <c r="P109" s="11" t="s">
        <v>328</v>
      </c>
      <c r="Q109" s="11" t="s">
        <v>329</v>
      </c>
      <c r="R109" s="11">
        <v>0.5</v>
      </c>
      <c r="S109" s="11"/>
      <c r="T109" s="12">
        <v>44790</v>
      </c>
      <c r="U109" s="12">
        <v>46251</v>
      </c>
      <c r="V109" s="13" t="s">
        <v>330</v>
      </c>
      <c r="W109" s="11" t="s">
        <v>296</v>
      </c>
      <c r="X109" s="11" t="s">
        <v>42</v>
      </c>
      <c r="Y109" s="11" t="s">
        <v>297</v>
      </c>
      <c r="Z109" s="11">
        <v>0.5</v>
      </c>
      <c r="AA109" s="11"/>
      <c r="AB109" s="12">
        <v>44806</v>
      </c>
      <c r="AC109" s="12">
        <v>46267</v>
      </c>
      <c r="AD109" s="12" t="s">
        <v>124</v>
      </c>
      <c r="AE109" s="42"/>
      <c r="AF109" s="43" t="s">
        <v>45</v>
      </c>
    </row>
    <row r="110" spans="1:32" x14ac:dyDescent="0.25">
      <c r="A110" s="44"/>
      <c r="B110" s="42"/>
      <c r="C110" s="42"/>
      <c r="D110" s="42"/>
      <c r="E110" s="42"/>
      <c r="F110" s="42"/>
      <c r="G110" s="42"/>
      <c r="H110" s="42"/>
      <c r="I110" s="48"/>
      <c r="J110" s="42"/>
      <c r="K110" s="42"/>
      <c r="L110" s="42"/>
      <c r="M110" s="42"/>
      <c r="N110" s="42"/>
      <c r="O110" s="11" t="s">
        <v>77</v>
      </c>
      <c r="P110" s="11" t="s">
        <v>77</v>
      </c>
      <c r="Q110" s="11" t="s">
        <v>77</v>
      </c>
      <c r="R110" s="11" t="s">
        <v>77</v>
      </c>
      <c r="S110" s="11"/>
      <c r="T110" s="12" t="s">
        <v>77</v>
      </c>
      <c r="U110" s="12" t="s">
        <v>77</v>
      </c>
      <c r="V110" s="4"/>
      <c r="W110" s="11" t="s">
        <v>77</v>
      </c>
      <c r="X110" s="11" t="s">
        <v>77</v>
      </c>
      <c r="Y110" s="11" t="s">
        <v>77</v>
      </c>
      <c r="Z110" s="11" t="s">
        <v>77</v>
      </c>
      <c r="AA110" s="11"/>
      <c r="AB110" s="12" t="s">
        <v>77</v>
      </c>
      <c r="AC110" s="12" t="s">
        <v>77</v>
      </c>
      <c r="AD110" s="12" t="s">
        <v>124</v>
      </c>
      <c r="AE110" s="42"/>
      <c r="AF110" s="42"/>
    </row>
    <row r="111" spans="1:32" ht="45" x14ac:dyDescent="0.25">
      <c r="A111" s="44"/>
      <c r="B111" s="42"/>
      <c r="C111" s="42"/>
      <c r="D111" s="42"/>
      <c r="E111" s="42"/>
      <c r="F111" s="42"/>
      <c r="G111" s="42"/>
      <c r="H111" s="42"/>
      <c r="I111" s="48"/>
      <c r="J111" s="42"/>
      <c r="K111" s="42"/>
      <c r="L111" s="42"/>
      <c r="M111" s="42"/>
      <c r="N111" s="42"/>
      <c r="O111" s="11" t="s">
        <v>298</v>
      </c>
      <c r="P111" s="11" t="s">
        <v>328</v>
      </c>
      <c r="Q111" s="11">
        <v>8415279</v>
      </c>
      <c r="R111" s="11">
        <v>0.5</v>
      </c>
      <c r="S111" s="11"/>
      <c r="T111" s="12">
        <v>44790</v>
      </c>
      <c r="U111" s="12">
        <v>46251</v>
      </c>
      <c r="V111" s="13" t="s">
        <v>331</v>
      </c>
      <c r="W111" s="11" t="s">
        <v>299</v>
      </c>
      <c r="X111" s="11" t="s">
        <v>42</v>
      </c>
      <c r="Y111" s="11" t="s">
        <v>300</v>
      </c>
      <c r="Z111" s="11">
        <v>0.5</v>
      </c>
      <c r="AA111" s="11"/>
      <c r="AB111" s="12">
        <v>44806</v>
      </c>
      <c r="AC111" s="12">
        <v>46267</v>
      </c>
      <c r="AD111" s="12" t="s">
        <v>124</v>
      </c>
      <c r="AE111" s="42"/>
      <c r="AF111" s="42"/>
    </row>
    <row r="112" spans="1:32" ht="46.35" customHeight="1" x14ac:dyDescent="0.25">
      <c r="A112" s="44">
        <v>35</v>
      </c>
      <c r="B112" s="42" t="s">
        <v>28</v>
      </c>
      <c r="C112" s="42" t="s">
        <v>29</v>
      </c>
      <c r="D112" s="42">
        <v>104264</v>
      </c>
      <c r="E112" s="42" t="s">
        <v>332</v>
      </c>
      <c r="F112" s="42" t="s">
        <v>31</v>
      </c>
      <c r="G112" s="42" t="s">
        <v>32</v>
      </c>
      <c r="H112" s="42" t="s">
        <v>33</v>
      </c>
      <c r="I112" s="48" t="s">
        <v>333</v>
      </c>
      <c r="J112" s="42" t="s">
        <v>35</v>
      </c>
      <c r="K112" s="42"/>
      <c r="L112" s="42" t="s">
        <v>91</v>
      </c>
      <c r="M112" s="52">
        <v>49667</v>
      </c>
      <c r="N112" s="42" t="s">
        <v>92</v>
      </c>
      <c r="O112" s="11" t="s">
        <v>278</v>
      </c>
      <c r="P112" s="11" t="s">
        <v>38</v>
      </c>
      <c r="Q112" s="20" t="s">
        <v>334</v>
      </c>
      <c r="R112" s="11">
        <v>0.5</v>
      </c>
      <c r="S112" s="11"/>
      <c r="T112" s="12" t="s">
        <v>335</v>
      </c>
      <c r="U112" s="12">
        <v>47077</v>
      </c>
      <c r="V112" s="5" t="s">
        <v>336</v>
      </c>
      <c r="W112" s="11" t="s">
        <v>296</v>
      </c>
      <c r="X112" s="11" t="s">
        <v>42</v>
      </c>
      <c r="Y112" s="11" t="s">
        <v>297</v>
      </c>
      <c r="Z112" s="11">
        <v>0.5</v>
      </c>
      <c r="AA112" s="11"/>
      <c r="AB112" s="12">
        <v>44806</v>
      </c>
      <c r="AC112" s="12">
        <v>46267</v>
      </c>
      <c r="AD112" s="12" t="s">
        <v>124</v>
      </c>
      <c r="AE112" s="42"/>
      <c r="AF112" s="43" t="s">
        <v>45</v>
      </c>
    </row>
    <row r="113" spans="1:32" ht="25.5" x14ac:dyDescent="0.25">
      <c r="A113" s="44"/>
      <c r="B113" s="42"/>
      <c r="C113" s="42"/>
      <c r="D113" s="42"/>
      <c r="E113" s="42"/>
      <c r="F113" s="42"/>
      <c r="G113" s="42"/>
      <c r="H113" s="42"/>
      <c r="I113" s="48"/>
      <c r="J113" s="42"/>
      <c r="K113" s="42"/>
      <c r="L113" s="42"/>
      <c r="M113" s="42"/>
      <c r="N113" s="42"/>
      <c r="O113" s="11" t="s">
        <v>278</v>
      </c>
      <c r="P113" s="11" t="s">
        <v>38</v>
      </c>
      <c r="Q113" s="20" t="s">
        <v>337</v>
      </c>
      <c r="R113" s="11">
        <v>0.5</v>
      </c>
      <c r="S113" s="11"/>
      <c r="T113" s="12" t="s">
        <v>338</v>
      </c>
      <c r="U113" s="12">
        <v>47079</v>
      </c>
      <c r="V113" s="5" t="s">
        <v>336</v>
      </c>
      <c r="W113" s="11" t="s">
        <v>77</v>
      </c>
      <c r="X113" s="11" t="s">
        <v>77</v>
      </c>
      <c r="Y113" s="11" t="s">
        <v>77</v>
      </c>
      <c r="Z113" s="11" t="s">
        <v>77</v>
      </c>
      <c r="AA113" s="11"/>
      <c r="AB113" s="12" t="s">
        <v>77</v>
      </c>
      <c r="AC113" s="12" t="s">
        <v>77</v>
      </c>
      <c r="AD113" s="12" t="s">
        <v>124</v>
      </c>
      <c r="AE113" s="42"/>
      <c r="AF113" s="42"/>
    </row>
    <row r="114" spans="1:32" ht="25.5" x14ac:dyDescent="0.25">
      <c r="A114" s="44"/>
      <c r="B114" s="42"/>
      <c r="C114" s="42"/>
      <c r="D114" s="42"/>
      <c r="E114" s="42"/>
      <c r="F114" s="42"/>
      <c r="G114" s="42"/>
      <c r="H114" s="42"/>
      <c r="I114" s="48"/>
      <c r="J114" s="42"/>
      <c r="K114" s="42"/>
      <c r="L114" s="42"/>
      <c r="M114" s="42"/>
      <c r="N114" s="42"/>
      <c r="O114" s="11" t="s">
        <v>285</v>
      </c>
      <c r="P114" s="11" t="s">
        <v>38</v>
      </c>
      <c r="Q114" s="20">
        <v>9467656</v>
      </c>
      <c r="R114" s="11">
        <v>0.5</v>
      </c>
      <c r="S114" s="11"/>
      <c r="T114" s="12" t="s">
        <v>338</v>
      </c>
      <c r="U114" s="12">
        <v>47079</v>
      </c>
      <c r="V114" s="5" t="s">
        <v>336</v>
      </c>
      <c r="W114" s="11" t="s">
        <v>299</v>
      </c>
      <c r="X114" s="11" t="s">
        <v>42</v>
      </c>
      <c r="Y114" s="11" t="s">
        <v>300</v>
      </c>
      <c r="Z114" s="11">
        <v>0.5</v>
      </c>
      <c r="AA114" s="11"/>
      <c r="AB114" s="12">
        <v>44806</v>
      </c>
      <c r="AC114" s="12">
        <v>46267</v>
      </c>
      <c r="AD114" s="12" t="s">
        <v>124</v>
      </c>
      <c r="AE114" s="42"/>
      <c r="AF114" s="42"/>
    </row>
    <row r="115" spans="1:32" ht="23.85" customHeight="1" x14ac:dyDescent="0.25">
      <c r="A115" s="44">
        <v>36</v>
      </c>
      <c r="B115" s="42" t="s">
        <v>28</v>
      </c>
      <c r="C115" s="42" t="s">
        <v>29</v>
      </c>
      <c r="D115" s="42">
        <v>104264</v>
      </c>
      <c r="E115" s="42" t="s">
        <v>339</v>
      </c>
      <c r="F115" s="42" t="s">
        <v>31</v>
      </c>
      <c r="G115" s="42" t="s">
        <v>32</v>
      </c>
      <c r="H115" s="42" t="s">
        <v>69</v>
      </c>
      <c r="I115" s="48" t="s">
        <v>340</v>
      </c>
      <c r="J115" s="42" t="s">
        <v>71</v>
      </c>
      <c r="K115" s="42"/>
      <c r="L115" s="42" t="s">
        <v>341</v>
      </c>
      <c r="M115" s="52">
        <v>47082</v>
      </c>
      <c r="N115" s="53" t="s">
        <v>342</v>
      </c>
      <c r="O115" s="11" t="s">
        <v>292</v>
      </c>
      <c r="P115" s="11" t="s">
        <v>293</v>
      </c>
      <c r="Q115" s="11" t="s">
        <v>343</v>
      </c>
      <c r="R115" s="11">
        <v>0.5</v>
      </c>
      <c r="S115" s="11"/>
      <c r="T115" s="12">
        <v>44790</v>
      </c>
      <c r="U115" s="12">
        <v>46251</v>
      </c>
      <c r="V115" s="13" t="s">
        <v>344</v>
      </c>
      <c r="W115" s="11" t="s">
        <v>296</v>
      </c>
      <c r="X115" s="11" t="s">
        <v>42</v>
      </c>
      <c r="Y115" s="11" t="s">
        <v>297</v>
      </c>
      <c r="Z115" s="11">
        <v>0.5</v>
      </c>
      <c r="AA115" s="11"/>
      <c r="AB115" s="12">
        <v>44806</v>
      </c>
      <c r="AC115" s="12">
        <v>46267</v>
      </c>
      <c r="AD115" s="12" t="s">
        <v>124</v>
      </c>
      <c r="AE115" s="42"/>
      <c r="AF115" s="43" t="s">
        <v>45</v>
      </c>
    </row>
    <row r="116" spans="1:32" x14ac:dyDescent="0.25">
      <c r="A116" s="44"/>
      <c r="B116" s="42"/>
      <c r="C116" s="42"/>
      <c r="D116" s="42"/>
      <c r="E116" s="42"/>
      <c r="F116" s="42"/>
      <c r="G116" s="42"/>
      <c r="H116" s="42"/>
      <c r="I116" s="48"/>
      <c r="J116" s="42"/>
      <c r="K116" s="42"/>
      <c r="L116" s="42"/>
      <c r="M116" s="42"/>
      <c r="N116" s="53"/>
      <c r="O116" s="11" t="s">
        <v>77</v>
      </c>
      <c r="P116" s="11" t="s">
        <v>77</v>
      </c>
      <c r="Q116" s="11" t="s">
        <v>77</v>
      </c>
      <c r="R116" s="11" t="s">
        <v>77</v>
      </c>
      <c r="S116" s="11"/>
      <c r="T116" s="12" t="s">
        <v>77</v>
      </c>
      <c r="U116" s="12" t="s">
        <v>77</v>
      </c>
      <c r="V116" s="4"/>
      <c r="W116" s="11" t="s">
        <v>77</v>
      </c>
      <c r="X116" s="11" t="s">
        <v>77</v>
      </c>
      <c r="Y116" s="11" t="s">
        <v>77</v>
      </c>
      <c r="Z116" s="11" t="s">
        <v>77</v>
      </c>
      <c r="AA116" s="11"/>
      <c r="AB116" s="12" t="s">
        <v>77</v>
      </c>
      <c r="AC116" s="12" t="s">
        <v>77</v>
      </c>
      <c r="AD116" s="12" t="s">
        <v>124</v>
      </c>
      <c r="AE116" s="42"/>
      <c r="AF116" s="42"/>
    </row>
    <row r="117" spans="1:32" ht="45" x14ac:dyDescent="0.25">
      <c r="A117" s="44"/>
      <c r="B117" s="42"/>
      <c r="C117" s="42"/>
      <c r="D117" s="42"/>
      <c r="E117" s="42"/>
      <c r="F117" s="42"/>
      <c r="G117" s="42"/>
      <c r="H117" s="42"/>
      <c r="I117" s="48"/>
      <c r="J117" s="42"/>
      <c r="K117" s="42"/>
      <c r="L117" s="42"/>
      <c r="M117" s="42"/>
      <c r="N117" s="53"/>
      <c r="O117" s="11" t="s">
        <v>298</v>
      </c>
      <c r="P117" s="11" t="s">
        <v>293</v>
      </c>
      <c r="Q117" s="11">
        <v>8415298</v>
      </c>
      <c r="R117" s="11">
        <v>0.5</v>
      </c>
      <c r="S117" s="11"/>
      <c r="T117" s="12">
        <v>44790</v>
      </c>
      <c r="U117" s="12">
        <v>46251</v>
      </c>
      <c r="V117" s="13" t="s">
        <v>345</v>
      </c>
      <c r="W117" s="11" t="s">
        <v>299</v>
      </c>
      <c r="X117" s="11" t="s">
        <v>42</v>
      </c>
      <c r="Y117" s="11" t="s">
        <v>300</v>
      </c>
      <c r="Z117" s="11">
        <v>0.5</v>
      </c>
      <c r="AA117" s="11"/>
      <c r="AB117" s="12">
        <v>44806</v>
      </c>
      <c r="AC117" s="12">
        <v>46267</v>
      </c>
      <c r="AD117" s="12" t="s">
        <v>124</v>
      </c>
      <c r="AE117" s="42"/>
      <c r="AF117" s="42"/>
    </row>
    <row r="118" spans="1:32" ht="46.35" customHeight="1" x14ac:dyDescent="0.25">
      <c r="A118" s="44">
        <v>37</v>
      </c>
      <c r="B118" s="42" t="s">
        <v>28</v>
      </c>
      <c r="C118" s="42" t="s">
        <v>29</v>
      </c>
      <c r="D118" s="42">
        <v>104264</v>
      </c>
      <c r="E118" s="42" t="s">
        <v>346</v>
      </c>
      <c r="F118" s="42" t="s">
        <v>31</v>
      </c>
      <c r="G118" s="42" t="s">
        <v>32</v>
      </c>
      <c r="H118" s="42" t="s">
        <v>69</v>
      </c>
      <c r="I118" s="48" t="s">
        <v>347</v>
      </c>
      <c r="J118" s="42" t="s">
        <v>71</v>
      </c>
      <c r="K118" s="42"/>
      <c r="L118" s="42" t="s">
        <v>341</v>
      </c>
      <c r="M118" s="52">
        <v>47082</v>
      </c>
      <c r="N118" s="53" t="s">
        <v>348</v>
      </c>
      <c r="O118" s="11" t="s">
        <v>278</v>
      </c>
      <c r="P118" s="11" t="s">
        <v>38</v>
      </c>
      <c r="Q118" s="11" t="s">
        <v>349</v>
      </c>
      <c r="R118" s="11">
        <v>0.5</v>
      </c>
      <c r="S118" s="11"/>
      <c r="T118" s="12" t="s">
        <v>241</v>
      </c>
      <c r="U118" s="12">
        <v>47805</v>
      </c>
      <c r="V118" s="5" t="s">
        <v>336</v>
      </c>
      <c r="W118" s="11" t="s">
        <v>281</v>
      </c>
      <c r="X118" s="11" t="s">
        <v>42</v>
      </c>
      <c r="Y118" s="11" t="s">
        <v>350</v>
      </c>
      <c r="Z118" s="11">
        <v>0.5</v>
      </c>
      <c r="AA118" s="11"/>
      <c r="AB118" s="12" t="s">
        <v>241</v>
      </c>
      <c r="AC118" s="12">
        <v>47805</v>
      </c>
      <c r="AD118" s="12" t="s">
        <v>124</v>
      </c>
      <c r="AE118" s="42"/>
      <c r="AF118" s="43" t="s">
        <v>45</v>
      </c>
    </row>
    <row r="119" spans="1:32" ht="25.5" x14ac:dyDescent="0.25">
      <c r="A119" s="44"/>
      <c r="B119" s="42"/>
      <c r="C119" s="42"/>
      <c r="D119" s="42"/>
      <c r="E119" s="42"/>
      <c r="F119" s="42"/>
      <c r="G119" s="42"/>
      <c r="H119" s="42"/>
      <c r="I119" s="48"/>
      <c r="J119" s="42"/>
      <c r="K119" s="42"/>
      <c r="L119" s="42"/>
      <c r="M119" s="42"/>
      <c r="N119" s="53"/>
      <c r="O119" s="11" t="s">
        <v>278</v>
      </c>
      <c r="P119" s="11" t="s">
        <v>38</v>
      </c>
      <c r="Q119" s="11" t="s">
        <v>351</v>
      </c>
      <c r="R119" s="11">
        <v>0.5</v>
      </c>
      <c r="S119" s="11"/>
      <c r="T119" s="12" t="s">
        <v>241</v>
      </c>
      <c r="U119" s="12">
        <v>47805</v>
      </c>
      <c r="V119" s="5" t="s">
        <v>336</v>
      </c>
      <c r="W119" s="11" t="s">
        <v>281</v>
      </c>
      <c r="X119" s="11" t="s">
        <v>42</v>
      </c>
      <c r="Y119" s="11" t="s">
        <v>352</v>
      </c>
      <c r="Z119" s="11">
        <v>0.5</v>
      </c>
      <c r="AA119" s="11"/>
      <c r="AB119" s="12" t="s">
        <v>241</v>
      </c>
      <c r="AC119" s="12">
        <v>47805</v>
      </c>
      <c r="AD119" s="12" t="s">
        <v>124</v>
      </c>
      <c r="AE119" s="42"/>
      <c r="AF119" s="42"/>
    </row>
    <row r="120" spans="1:32" ht="25.5" x14ac:dyDescent="0.25">
      <c r="A120" s="44"/>
      <c r="B120" s="42"/>
      <c r="C120" s="42"/>
      <c r="D120" s="42"/>
      <c r="E120" s="42"/>
      <c r="F120" s="42"/>
      <c r="G120" s="42"/>
      <c r="H120" s="42"/>
      <c r="I120" s="48"/>
      <c r="J120" s="42"/>
      <c r="K120" s="42"/>
      <c r="L120" s="42"/>
      <c r="M120" s="42"/>
      <c r="N120" s="53"/>
      <c r="O120" s="11" t="s">
        <v>285</v>
      </c>
      <c r="P120" s="11" t="s">
        <v>38</v>
      </c>
      <c r="Q120" s="11">
        <v>9358126</v>
      </c>
      <c r="R120" s="11">
        <v>0.5</v>
      </c>
      <c r="S120" s="11"/>
      <c r="T120" s="12" t="s">
        <v>241</v>
      </c>
      <c r="U120" s="12">
        <v>47805</v>
      </c>
      <c r="V120" s="5" t="s">
        <v>336</v>
      </c>
      <c r="W120" s="11" t="s">
        <v>287</v>
      </c>
      <c r="X120" s="11" t="s">
        <v>42</v>
      </c>
      <c r="Y120" s="11" t="s">
        <v>353</v>
      </c>
      <c r="Z120" s="11">
        <v>0.5</v>
      </c>
      <c r="AA120" s="11"/>
      <c r="AB120" s="12" t="s">
        <v>241</v>
      </c>
      <c r="AC120" s="12">
        <v>47805</v>
      </c>
      <c r="AD120" s="12" t="s">
        <v>124</v>
      </c>
      <c r="AE120" s="42"/>
      <c r="AF120" s="42"/>
    </row>
    <row r="121" spans="1:32" ht="23.85" customHeight="1" x14ac:dyDescent="0.25">
      <c r="A121" s="44">
        <v>38</v>
      </c>
      <c r="B121" s="42" t="s">
        <v>28</v>
      </c>
      <c r="C121" s="42" t="s">
        <v>29</v>
      </c>
      <c r="D121" s="42">
        <v>104264</v>
      </c>
      <c r="E121" s="42" t="s">
        <v>354</v>
      </c>
      <c r="F121" s="42" t="s">
        <v>31</v>
      </c>
      <c r="G121" s="42" t="s">
        <v>32</v>
      </c>
      <c r="H121" s="45" t="s">
        <v>33</v>
      </c>
      <c r="I121" s="48" t="s">
        <v>355</v>
      </c>
      <c r="J121" s="42" t="s">
        <v>35</v>
      </c>
      <c r="K121" s="42"/>
      <c r="L121" s="52">
        <v>43823</v>
      </c>
      <c r="M121" s="50">
        <v>49667</v>
      </c>
      <c r="N121" s="45" t="s">
        <v>92</v>
      </c>
      <c r="O121" s="11" t="s">
        <v>292</v>
      </c>
      <c r="P121" s="11" t="s">
        <v>293</v>
      </c>
      <c r="Q121" s="11" t="s">
        <v>356</v>
      </c>
      <c r="R121" s="11">
        <v>0.5</v>
      </c>
      <c r="S121" s="11"/>
      <c r="T121" s="12">
        <v>44790</v>
      </c>
      <c r="U121" s="12">
        <v>46251</v>
      </c>
      <c r="V121" s="13" t="s">
        <v>357</v>
      </c>
      <c r="W121" s="11" t="s">
        <v>296</v>
      </c>
      <c r="X121" s="11" t="s">
        <v>42</v>
      </c>
      <c r="Y121" s="11" t="s">
        <v>358</v>
      </c>
      <c r="Z121" s="11">
        <v>0.5</v>
      </c>
      <c r="AA121" s="11"/>
      <c r="AB121" s="12" t="s">
        <v>359</v>
      </c>
      <c r="AC121" s="12">
        <v>46268</v>
      </c>
      <c r="AD121" s="12" t="s">
        <v>124</v>
      </c>
      <c r="AE121" s="42"/>
      <c r="AF121" s="43" t="s">
        <v>45</v>
      </c>
    </row>
    <row r="122" spans="1:32" x14ac:dyDescent="0.25">
      <c r="A122" s="44"/>
      <c r="B122" s="42"/>
      <c r="C122" s="42"/>
      <c r="D122" s="42"/>
      <c r="E122" s="42"/>
      <c r="F122" s="42"/>
      <c r="G122" s="42"/>
      <c r="H122" s="42"/>
      <c r="I122" s="48"/>
      <c r="J122" s="42"/>
      <c r="K122" s="42"/>
      <c r="L122" s="42"/>
      <c r="M122" s="42"/>
      <c r="N122" s="42"/>
      <c r="O122" s="11" t="s">
        <v>77</v>
      </c>
      <c r="P122" s="11" t="s">
        <v>77</v>
      </c>
      <c r="Q122" s="11" t="s">
        <v>77</v>
      </c>
      <c r="R122" s="11" t="s">
        <v>77</v>
      </c>
      <c r="S122" s="11"/>
      <c r="T122" s="12" t="s">
        <v>77</v>
      </c>
      <c r="U122" s="12" t="s">
        <v>77</v>
      </c>
      <c r="V122" s="4"/>
      <c r="W122" s="11" t="s">
        <v>77</v>
      </c>
      <c r="X122" s="11" t="s">
        <v>77</v>
      </c>
      <c r="Y122" s="11" t="s">
        <v>77</v>
      </c>
      <c r="Z122" s="11" t="s">
        <v>77</v>
      </c>
      <c r="AA122" s="11"/>
      <c r="AB122" s="12" t="s">
        <v>77</v>
      </c>
      <c r="AC122" s="12" t="s">
        <v>77</v>
      </c>
      <c r="AD122" s="12" t="s">
        <v>124</v>
      </c>
      <c r="AE122" s="42"/>
      <c r="AF122" s="42"/>
    </row>
    <row r="123" spans="1:32" ht="45" x14ac:dyDescent="0.25">
      <c r="A123" s="44"/>
      <c r="B123" s="42"/>
      <c r="C123" s="42"/>
      <c r="D123" s="42"/>
      <c r="E123" s="42"/>
      <c r="F123" s="42"/>
      <c r="G123" s="42"/>
      <c r="H123" s="46"/>
      <c r="I123" s="48"/>
      <c r="J123" s="42"/>
      <c r="K123" s="42"/>
      <c r="L123" s="42"/>
      <c r="M123" s="46"/>
      <c r="N123" s="46"/>
      <c r="O123" s="11" t="s">
        <v>298</v>
      </c>
      <c r="P123" s="11" t="s">
        <v>293</v>
      </c>
      <c r="Q123" s="11">
        <v>8415287</v>
      </c>
      <c r="R123" s="11">
        <v>0.5</v>
      </c>
      <c r="S123" s="11"/>
      <c r="T123" s="12">
        <v>44790</v>
      </c>
      <c r="U123" s="12">
        <v>46251</v>
      </c>
      <c r="V123" s="13" t="s">
        <v>360</v>
      </c>
      <c r="W123" s="11" t="s">
        <v>299</v>
      </c>
      <c r="X123" s="11" t="s">
        <v>42</v>
      </c>
      <c r="Y123" s="11" t="s">
        <v>361</v>
      </c>
      <c r="Z123" s="11">
        <v>0.5</v>
      </c>
      <c r="AA123" s="11"/>
      <c r="AB123" s="12" t="s">
        <v>359</v>
      </c>
      <c r="AC123" s="12">
        <v>46268</v>
      </c>
      <c r="AD123" s="12" t="s">
        <v>124</v>
      </c>
      <c r="AE123" s="42"/>
      <c r="AF123" s="42"/>
    </row>
    <row r="124" spans="1:32" ht="23.85" customHeight="1" x14ac:dyDescent="0.25">
      <c r="A124" s="44">
        <v>39</v>
      </c>
      <c r="B124" s="42" t="s">
        <v>28</v>
      </c>
      <c r="C124" s="42" t="s">
        <v>29</v>
      </c>
      <c r="D124" s="42">
        <v>104264</v>
      </c>
      <c r="E124" s="42" t="s">
        <v>362</v>
      </c>
      <c r="F124" s="42" t="s">
        <v>31</v>
      </c>
      <c r="G124" s="42" t="s">
        <v>90</v>
      </c>
      <c r="H124" s="42" t="s">
        <v>33</v>
      </c>
      <c r="I124" s="48" t="s">
        <v>363</v>
      </c>
      <c r="J124" s="42" t="s">
        <v>35</v>
      </c>
      <c r="K124" s="42"/>
      <c r="L124" s="42" t="s">
        <v>265</v>
      </c>
      <c r="M124" s="52">
        <v>49668</v>
      </c>
      <c r="N124" s="42" t="s">
        <v>92</v>
      </c>
      <c r="O124" s="11" t="s">
        <v>292</v>
      </c>
      <c r="P124" s="11" t="s">
        <v>293</v>
      </c>
      <c r="Q124" s="11" t="s">
        <v>364</v>
      </c>
      <c r="R124" s="11">
        <v>0.5</v>
      </c>
      <c r="S124" s="11"/>
      <c r="T124" s="12">
        <v>44790</v>
      </c>
      <c r="U124" s="12">
        <v>46251</v>
      </c>
      <c r="V124" s="13" t="s">
        <v>365</v>
      </c>
      <c r="W124" s="11" t="s">
        <v>296</v>
      </c>
      <c r="X124" s="11" t="s">
        <v>42</v>
      </c>
      <c r="Y124" s="11" t="s">
        <v>358</v>
      </c>
      <c r="Z124" s="11">
        <v>0.5</v>
      </c>
      <c r="AA124" s="11"/>
      <c r="AB124" s="12" t="s">
        <v>359</v>
      </c>
      <c r="AC124" s="12">
        <v>46268</v>
      </c>
      <c r="AD124" s="12" t="s">
        <v>124</v>
      </c>
      <c r="AE124" s="42"/>
      <c r="AF124" s="43" t="s">
        <v>45</v>
      </c>
    </row>
    <row r="125" spans="1:32" x14ac:dyDescent="0.25">
      <c r="A125" s="44"/>
      <c r="B125" s="42"/>
      <c r="C125" s="42"/>
      <c r="D125" s="42"/>
      <c r="E125" s="42"/>
      <c r="F125" s="42"/>
      <c r="G125" s="42"/>
      <c r="H125" s="42"/>
      <c r="I125" s="48"/>
      <c r="J125" s="42"/>
      <c r="K125" s="42"/>
      <c r="L125" s="42"/>
      <c r="M125" s="42"/>
      <c r="N125" s="42"/>
      <c r="O125" s="11" t="s">
        <v>77</v>
      </c>
      <c r="P125" s="11" t="s">
        <v>77</v>
      </c>
      <c r="Q125" s="11" t="s">
        <v>77</v>
      </c>
      <c r="R125" s="11" t="s">
        <v>77</v>
      </c>
      <c r="S125" s="11"/>
      <c r="T125" s="12" t="s">
        <v>77</v>
      </c>
      <c r="U125" s="12" t="s">
        <v>77</v>
      </c>
      <c r="V125" s="4"/>
      <c r="W125" s="11" t="s">
        <v>77</v>
      </c>
      <c r="X125" s="11" t="s">
        <v>77</v>
      </c>
      <c r="Y125" s="11" t="s">
        <v>77</v>
      </c>
      <c r="Z125" s="11" t="s">
        <v>77</v>
      </c>
      <c r="AA125" s="11"/>
      <c r="AB125" s="12" t="s">
        <v>77</v>
      </c>
      <c r="AC125" s="12" t="s">
        <v>77</v>
      </c>
      <c r="AD125" s="12" t="s">
        <v>124</v>
      </c>
      <c r="AE125" s="42"/>
      <c r="AF125" s="42"/>
    </row>
    <row r="126" spans="1:32" ht="45" x14ac:dyDescent="0.25">
      <c r="A126" s="44"/>
      <c r="B126" s="42"/>
      <c r="C126" s="42"/>
      <c r="D126" s="42"/>
      <c r="E126" s="42"/>
      <c r="F126" s="42"/>
      <c r="G126" s="42"/>
      <c r="H126" s="42"/>
      <c r="I126" s="48"/>
      <c r="J126" s="42"/>
      <c r="K126" s="42"/>
      <c r="L126" s="42"/>
      <c r="M126" s="42"/>
      <c r="N126" s="42"/>
      <c r="O126" s="11" t="s">
        <v>298</v>
      </c>
      <c r="P126" s="11" t="s">
        <v>293</v>
      </c>
      <c r="Q126" s="11">
        <v>8415297</v>
      </c>
      <c r="R126" s="11">
        <v>0.5</v>
      </c>
      <c r="S126" s="11"/>
      <c r="T126" s="12">
        <v>44790</v>
      </c>
      <c r="U126" s="12">
        <v>46251</v>
      </c>
      <c r="V126" s="13" t="s">
        <v>366</v>
      </c>
      <c r="W126" s="11" t="s">
        <v>299</v>
      </c>
      <c r="X126" s="11" t="s">
        <v>42</v>
      </c>
      <c r="Y126" s="11" t="s">
        <v>361</v>
      </c>
      <c r="Z126" s="11">
        <v>0.5</v>
      </c>
      <c r="AA126" s="11"/>
      <c r="AB126" s="12" t="s">
        <v>359</v>
      </c>
      <c r="AC126" s="12">
        <v>46268</v>
      </c>
      <c r="AD126" s="12" t="s">
        <v>124</v>
      </c>
      <c r="AE126" s="42"/>
      <c r="AF126" s="42"/>
    </row>
    <row r="127" spans="1:32" ht="23.85" customHeight="1" x14ac:dyDescent="0.25">
      <c r="A127" s="44">
        <v>40</v>
      </c>
      <c r="B127" s="42" t="s">
        <v>28</v>
      </c>
      <c r="C127" s="42" t="s">
        <v>29</v>
      </c>
      <c r="D127" s="42">
        <v>104264</v>
      </c>
      <c r="E127" s="42" t="s">
        <v>367</v>
      </c>
      <c r="F127" s="42" t="s">
        <v>31</v>
      </c>
      <c r="G127" s="42" t="s">
        <v>90</v>
      </c>
      <c r="H127" s="42" t="s">
        <v>33</v>
      </c>
      <c r="I127" s="48" t="s">
        <v>368</v>
      </c>
      <c r="J127" s="42" t="s">
        <v>35</v>
      </c>
      <c r="K127" s="42"/>
      <c r="L127" s="42" t="s">
        <v>265</v>
      </c>
      <c r="M127" s="52">
        <v>49668</v>
      </c>
      <c r="N127" s="42" t="s">
        <v>92</v>
      </c>
      <c r="O127" s="11" t="s">
        <v>292</v>
      </c>
      <c r="P127" s="11" t="s">
        <v>293</v>
      </c>
      <c r="Q127" s="11" t="s">
        <v>369</v>
      </c>
      <c r="R127" s="11">
        <v>0.5</v>
      </c>
      <c r="S127" s="11"/>
      <c r="T127" s="12">
        <v>44790</v>
      </c>
      <c r="U127" s="12">
        <v>46251</v>
      </c>
      <c r="V127" s="13" t="s">
        <v>370</v>
      </c>
      <c r="W127" s="11" t="s">
        <v>296</v>
      </c>
      <c r="X127" s="11" t="s">
        <v>42</v>
      </c>
      <c r="Y127" s="11" t="s">
        <v>358</v>
      </c>
      <c r="Z127" s="11">
        <v>0.5</v>
      </c>
      <c r="AA127" s="11"/>
      <c r="AB127" s="12" t="s">
        <v>359</v>
      </c>
      <c r="AC127" s="12">
        <v>46268</v>
      </c>
      <c r="AD127" s="12" t="s">
        <v>124</v>
      </c>
      <c r="AE127" s="42"/>
      <c r="AF127" s="43" t="s">
        <v>45</v>
      </c>
    </row>
    <row r="128" spans="1:32" x14ac:dyDescent="0.25">
      <c r="A128" s="44"/>
      <c r="B128" s="42"/>
      <c r="C128" s="42"/>
      <c r="D128" s="42"/>
      <c r="E128" s="42"/>
      <c r="F128" s="42"/>
      <c r="G128" s="42"/>
      <c r="H128" s="42"/>
      <c r="I128" s="48"/>
      <c r="J128" s="42"/>
      <c r="K128" s="42"/>
      <c r="L128" s="42"/>
      <c r="M128" s="42"/>
      <c r="N128" s="42"/>
      <c r="O128" s="11" t="s">
        <v>77</v>
      </c>
      <c r="P128" s="11" t="s">
        <v>77</v>
      </c>
      <c r="Q128" s="11" t="s">
        <v>77</v>
      </c>
      <c r="R128" s="11" t="s">
        <v>77</v>
      </c>
      <c r="S128" s="11"/>
      <c r="T128" s="12" t="s">
        <v>77</v>
      </c>
      <c r="U128" s="12" t="s">
        <v>77</v>
      </c>
      <c r="V128" s="4"/>
      <c r="W128" s="11" t="s">
        <v>77</v>
      </c>
      <c r="X128" s="11" t="s">
        <v>77</v>
      </c>
      <c r="Y128" s="11" t="s">
        <v>77</v>
      </c>
      <c r="Z128" s="11" t="s">
        <v>77</v>
      </c>
      <c r="AA128" s="11"/>
      <c r="AB128" s="12" t="s">
        <v>77</v>
      </c>
      <c r="AC128" s="12" t="s">
        <v>77</v>
      </c>
      <c r="AD128" s="12" t="s">
        <v>124</v>
      </c>
      <c r="AE128" s="42"/>
      <c r="AF128" s="42"/>
    </row>
    <row r="129" spans="1:32" ht="45" x14ac:dyDescent="0.25">
      <c r="A129" s="44"/>
      <c r="B129" s="42"/>
      <c r="C129" s="42"/>
      <c r="D129" s="42"/>
      <c r="E129" s="42"/>
      <c r="F129" s="42"/>
      <c r="G129" s="42"/>
      <c r="H129" s="42"/>
      <c r="I129" s="48"/>
      <c r="J129" s="42"/>
      <c r="K129" s="42"/>
      <c r="L129" s="42"/>
      <c r="M129" s="42"/>
      <c r="N129" s="42"/>
      <c r="O129" s="11" t="s">
        <v>298</v>
      </c>
      <c r="P129" s="11" t="s">
        <v>293</v>
      </c>
      <c r="Q129" s="11">
        <v>8415284</v>
      </c>
      <c r="R129" s="11">
        <v>0.5</v>
      </c>
      <c r="S129" s="11"/>
      <c r="T129" s="12">
        <v>44790</v>
      </c>
      <c r="U129" s="12">
        <v>46251</v>
      </c>
      <c r="V129" s="13" t="s">
        <v>371</v>
      </c>
      <c r="W129" s="11" t="s">
        <v>299</v>
      </c>
      <c r="X129" s="11" t="s">
        <v>42</v>
      </c>
      <c r="Y129" s="11" t="s">
        <v>361</v>
      </c>
      <c r="Z129" s="11">
        <v>0.5</v>
      </c>
      <c r="AA129" s="11"/>
      <c r="AB129" s="12" t="s">
        <v>359</v>
      </c>
      <c r="AC129" s="12">
        <v>46268</v>
      </c>
      <c r="AD129" s="12" t="s">
        <v>124</v>
      </c>
      <c r="AE129" s="42"/>
      <c r="AF129" s="42"/>
    </row>
    <row r="130" spans="1:32" ht="23.85" customHeight="1" x14ac:dyDescent="0.25">
      <c r="A130" s="44">
        <v>41</v>
      </c>
      <c r="B130" s="42" t="s">
        <v>28</v>
      </c>
      <c r="C130" s="42" t="s">
        <v>29</v>
      </c>
      <c r="D130" s="42">
        <v>104264</v>
      </c>
      <c r="E130" s="42" t="s">
        <v>372</v>
      </c>
      <c r="F130" s="42" t="s">
        <v>31</v>
      </c>
      <c r="G130" s="42" t="s">
        <v>90</v>
      </c>
      <c r="H130" s="42" t="s">
        <v>33</v>
      </c>
      <c r="I130" s="48" t="s">
        <v>373</v>
      </c>
      <c r="J130" s="42" t="s">
        <v>35</v>
      </c>
      <c r="K130" s="42"/>
      <c r="L130" s="42" t="s">
        <v>265</v>
      </c>
      <c r="M130" s="52">
        <v>49668</v>
      </c>
      <c r="N130" s="42" t="s">
        <v>92</v>
      </c>
      <c r="O130" s="11" t="s">
        <v>292</v>
      </c>
      <c r="P130" s="11" t="s">
        <v>293</v>
      </c>
      <c r="Q130" s="11" t="s">
        <v>374</v>
      </c>
      <c r="R130" s="11">
        <v>0.5</v>
      </c>
      <c r="S130" s="11"/>
      <c r="T130" s="12">
        <v>44790</v>
      </c>
      <c r="U130" s="12">
        <v>46251</v>
      </c>
      <c r="V130" s="13" t="s">
        <v>375</v>
      </c>
      <c r="W130" s="11" t="s">
        <v>296</v>
      </c>
      <c r="X130" s="11" t="s">
        <v>42</v>
      </c>
      <c r="Y130" s="11" t="s">
        <v>358</v>
      </c>
      <c r="Z130" s="11">
        <v>0.5</v>
      </c>
      <c r="AA130" s="11"/>
      <c r="AB130" s="12" t="s">
        <v>359</v>
      </c>
      <c r="AC130" s="12">
        <v>46268</v>
      </c>
      <c r="AD130" s="12" t="s">
        <v>124</v>
      </c>
      <c r="AE130" s="42"/>
      <c r="AF130" s="43" t="s">
        <v>45</v>
      </c>
    </row>
    <row r="131" spans="1:32" x14ac:dyDescent="0.25">
      <c r="A131" s="44"/>
      <c r="B131" s="42"/>
      <c r="C131" s="42"/>
      <c r="D131" s="42"/>
      <c r="E131" s="42"/>
      <c r="F131" s="42"/>
      <c r="G131" s="42"/>
      <c r="H131" s="42"/>
      <c r="I131" s="48"/>
      <c r="J131" s="42"/>
      <c r="K131" s="42"/>
      <c r="L131" s="42"/>
      <c r="M131" s="42"/>
      <c r="N131" s="42"/>
      <c r="O131" s="11" t="s">
        <v>77</v>
      </c>
      <c r="P131" s="11" t="s">
        <v>77</v>
      </c>
      <c r="Q131" s="11" t="s">
        <v>77</v>
      </c>
      <c r="R131" s="11" t="s">
        <v>77</v>
      </c>
      <c r="S131" s="11"/>
      <c r="T131" s="12" t="s">
        <v>77</v>
      </c>
      <c r="U131" s="12" t="s">
        <v>77</v>
      </c>
      <c r="V131" s="4"/>
      <c r="W131" s="11" t="s">
        <v>77</v>
      </c>
      <c r="X131" s="11" t="s">
        <v>77</v>
      </c>
      <c r="Y131" s="11" t="s">
        <v>77</v>
      </c>
      <c r="Z131" s="11" t="s">
        <v>77</v>
      </c>
      <c r="AA131" s="11"/>
      <c r="AB131" s="12" t="s">
        <v>77</v>
      </c>
      <c r="AC131" s="12" t="s">
        <v>77</v>
      </c>
      <c r="AD131" s="12" t="s">
        <v>124</v>
      </c>
      <c r="AE131" s="42"/>
      <c r="AF131" s="42"/>
    </row>
    <row r="132" spans="1:32" ht="45" x14ac:dyDescent="0.25">
      <c r="A132" s="44"/>
      <c r="B132" s="42"/>
      <c r="C132" s="42"/>
      <c r="D132" s="42"/>
      <c r="E132" s="42"/>
      <c r="F132" s="42"/>
      <c r="G132" s="42"/>
      <c r="H132" s="42"/>
      <c r="I132" s="48"/>
      <c r="J132" s="42"/>
      <c r="K132" s="42"/>
      <c r="L132" s="42"/>
      <c r="M132" s="42"/>
      <c r="N132" s="42"/>
      <c r="O132" s="11" t="s">
        <v>298</v>
      </c>
      <c r="P132" s="11" t="s">
        <v>293</v>
      </c>
      <c r="Q132" s="11">
        <v>8415281</v>
      </c>
      <c r="R132" s="11">
        <v>0.5</v>
      </c>
      <c r="S132" s="11"/>
      <c r="T132" s="12">
        <v>44790</v>
      </c>
      <c r="U132" s="12">
        <v>46251</v>
      </c>
      <c r="V132" s="13" t="s">
        <v>376</v>
      </c>
      <c r="W132" s="11" t="s">
        <v>299</v>
      </c>
      <c r="X132" s="11" t="s">
        <v>42</v>
      </c>
      <c r="Y132" s="11" t="s">
        <v>361</v>
      </c>
      <c r="Z132" s="11">
        <v>0.5</v>
      </c>
      <c r="AA132" s="11"/>
      <c r="AB132" s="12" t="s">
        <v>359</v>
      </c>
      <c r="AC132" s="12">
        <v>46268</v>
      </c>
      <c r="AD132" s="12" t="s">
        <v>124</v>
      </c>
      <c r="AE132" s="42"/>
      <c r="AF132" s="42"/>
    </row>
    <row r="133" spans="1:32" ht="23.85" customHeight="1" x14ac:dyDescent="0.25">
      <c r="A133" s="44">
        <v>42</v>
      </c>
      <c r="B133" s="42" t="s">
        <v>28</v>
      </c>
      <c r="C133" s="42" t="s">
        <v>29</v>
      </c>
      <c r="D133" s="42">
        <v>104264</v>
      </c>
      <c r="E133" s="42" t="s">
        <v>377</v>
      </c>
      <c r="F133" s="42" t="s">
        <v>31</v>
      </c>
      <c r="G133" s="42" t="s">
        <v>90</v>
      </c>
      <c r="H133" s="42" t="s">
        <v>33</v>
      </c>
      <c r="I133" s="48" t="s">
        <v>378</v>
      </c>
      <c r="J133" s="42" t="s">
        <v>35</v>
      </c>
      <c r="K133" s="42"/>
      <c r="L133" s="42" t="s">
        <v>265</v>
      </c>
      <c r="M133" s="52">
        <v>49668</v>
      </c>
      <c r="N133" s="42" t="s">
        <v>92</v>
      </c>
      <c r="O133" s="11" t="s">
        <v>292</v>
      </c>
      <c r="P133" s="11" t="s">
        <v>59</v>
      </c>
      <c r="Q133" s="11" t="s">
        <v>379</v>
      </c>
      <c r="R133" s="11">
        <v>0.5</v>
      </c>
      <c r="S133" s="11"/>
      <c r="T133" s="12">
        <v>44790</v>
      </c>
      <c r="U133" s="12">
        <v>46251</v>
      </c>
      <c r="V133" s="13" t="s">
        <v>380</v>
      </c>
      <c r="W133" s="11" t="s">
        <v>296</v>
      </c>
      <c r="X133" s="11" t="s">
        <v>42</v>
      </c>
      <c r="Y133" s="11" t="s">
        <v>358</v>
      </c>
      <c r="Z133" s="11">
        <v>0.5</v>
      </c>
      <c r="AA133" s="11"/>
      <c r="AB133" s="12" t="s">
        <v>359</v>
      </c>
      <c r="AC133" s="12">
        <v>46268</v>
      </c>
      <c r="AD133" s="12" t="s">
        <v>124</v>
      </c>
      <c r="AE133" s="42"/>
      <c r="AF133" s="43" t="s">
        <v>45</v>
      </c>
    </row>
    <row r="134" spans="1:32" x14ac:dyDescent="0.25">
      <c r="A134" s="44"/>
      <c r="B134" s="42"/>
      <c r="C134" s="42"/>
      <c r="D134" s="42"/>
      <c r="E134" s="42"/>
      <c r="F134" s="42"/>
      <c r="G134" s="42"/>
      <c r="H134" s="42"/>
      <c r="I134" s="48"/>
      <c r="J134" s="42"/>
      <c r="K134" s="42"/>
      <c r="L134" s="42"/>
      <c r="M134" s="42"/>
      <c r="N134" s="42"/>
      <c r="O134" s="11" t="s">
        <v>77</v>
      </c>
      <c r="P134" s="11" t="s">
        <v>77</v>
      </c>
      <c r="Q134" s="11" t="s">
        <v>77</v>
      </c>
      <c r="R134" s="11" t="s">
        <v>77</v>
      </c>
      <c r="S134" s="11"/>
      <c r="T134" s="12" t="s">
        <v>77</v>
      </c>
      <c r="U134" s="12" t="s">
        <v>77</v>
      </c>
      <c r="V134" s="4"/>
      <c r="W134" s="11" t="s">
        <v>77</v>
      </c>
      <c r="X134" s="11" t="s">
        <v>77</v>
      </c>
      <c r="Y134" s="11" t="s">
        <v>77</v>
      </c>
      <c r="Z134" s="11" t="s">
        <v>77</v>
      </c>
      <c r="AA134" s="11"/>
      <c r="AB134" s="12" t="s">
        <v>77</v>
      </c>
      <c r="AC134" s="12" t="s">
        <v>77</v>
      </c>
      <c r="AD134" s="12" t="s">
        <v>124</v>
      </c>
      <c r="AE134" s="42"/>
      <c r="AF134" s="42"/>
    </row>
    <row r="135" spans="1:32" ht="45" x14ac:dyDescent="0.25">
      <c r="A135" s="44"/>
      <c r="B135" s="42"/>
      <c r="C135" s="42"/>
      <c r="D135" s="42"/>
      <c r="E135" s="42"/>
      <c r="F135" s="42"/>
      <c r="G135" s="42"/>
      <c r="H135" s="42"/>
      <c r="I135" s="48"/>
      <c r="J135" s="42"/>
      <c r="K135" s="42"/>
      <c r="L135" s="42"/>
      <c r="M135" s="42"/>
      <c r="N135" s="42"/>
      <c r="O135" s="11" t="s">
        <v>298</v>
      </c>
      <c r="P135" s="11" t="s">
        <v>59</v>
      </c>
      <c r="Q135" s="11">
        <v>8415301</v>
      </c>
      <c r="R135" s="11">
        <v>0.5</v>
      </c>
      <c r="S135" s="11"/>
      <c r="T135" s="12">
        <v>44790</v>
      </c>
      <c r="U135" s="12">
        <v>46251</v>
      </c>
      <c r="V135" s="13" t="s">
        <v>381</v>
      </c>
      <c r="W135" s="11" t="s">
        <v>299</v>
      </c>
      <c r="X135" s="11" t="s">
        <v>42</v>
      </c>
      <c r="Y135" s="11" t="s">
        <v>361</v>
      </c>
      <c r="Z135" s="11">
        <v>0.5</v>
      </c>
      <c r="AA135" s="11"/>
      <c r="AB135" s="12" t="s">
        <v>359</v>
      </c>
      <c r="AC135" s="12">
        <v>46268</v>
      </c>
      <c r="AD135" s="12" t="s">
        <v>124</v>
      </c>
      <c r="AE135" s="42"/>
      <c r="AF135" s="42"/>
    </row>
    <row r="136" spans="1:32" ht="23.85" customHeight="1" x14ac:dyDescent="0.25">
      <c r="A136" s="44">
        <v>43</v>
      </c>
      <c r="B136" s="42" t="s">
        <v>28</v>
      </c>
      <c r="C136" s="42" t="s">
        <v>29</v>
      </c>
      <c r="D136" s="42">
        <v>104264</v>
      </c>
      <c r="E136" s="42" t="s">
        <v>382</v>
      </c>
      <c r="F136" s="42" t="s">
        <v>31</v>
      </c>
      <c r="G136" s="42" t="s">
        <v>90</v>
      </c>
      <c r="H136" s="42" t="s">
        <v>33</v>
      </c>
      <c r="I136" s="48" t="s">
        <v>383</v>
      </c>
      <c r="J136" s="42" t="s">
        <v>35</v>
      </c>
      <c r="K136" s="42"/>
      <c r="L136" s="42" t="s">
        <v>265</v>
      </c>
      <c r="M136" s="52">
        <v>49668</v>
      </c>
      <c r="N136" s="42" t="s">
        <v>92</v>
      </c>
      <c r="O136" s="11" t="s">
        <v>292</v>
      </c>
      <c r="P136" s="11" t="s">
        <v>59</v>
      </c>
      <c r="Q136" s="11" t="s">
        <v>384</v>
      </c>
      <c r="R136" s="11">
        <v>0.5</v>
      </c>
      <c r="S136" s="11"/>
      <c r="T136" s="12">
        <v>44790</v>
      </c>
      <c r="U136" s="12">
        <v>46251</v>
      </c>
      <c r="V136" s="13" t="s">
        <v>385</v>
      </c>
      <c r="W136" s="11" t="s">
        <v>296</v>
      </c>
      <c r="X136" s="11" t="s">
        <v>42</v>
      </c>
      <c r="Y136" s="11" t="s">
        <v>358</v>
      </c>
      <c r="Z136" s="11">
        <v>0.5</v>
      </c>
      <c r="AA136" s="11"/>
      <c r="AB136" s="12" t="s">
        <v>359</v>
      </c>
      <c r="AC136" s="12">
        <v>46268</v>
      </c>
      <c r="AD136" s="12" t="s">
        <v>124</v>
      </c>
      <c r="AE136" s="42"/>
      <c r="AF136" s="43" t="s">
        <v>45</v>
      </c>
    </row>
    <row r="137" spans="1:32" x14ac:dyDescent="0.25">
      <c r="A137" s="44"/>
      <c r="B137" s="42"/>
      <c r="C137" s="42"/>
      <c r="D137" s="42"/>
      <c r="E137" s="42"/>
      <c r="F137" s="42"/>
      <c r="G137" s="42"/>
      <c r="H137" s="42"/>
      <c r="I137" s="48"/>
      <c r="J137" s="42"/>
      <c r="K137" s="42"/>
      <c r="L137" s="42"/>
      <c r="M137" s="42"/>
      <c r="N137" s="42"/>
      <c r="O137" s="11" t="s">
        <v>77</v>
      </c>
      <c r="P137" s="11" t="s">
        <v>77</v>
      </c>
      <c r="Q137" s="11" t="s">
        <v>77</v>
      </c>
      <c r="R137" s="11" t="s">
        <v>77</v>
      </c>
      <c r="S137" s="11"/>
      <c r="T137" s="12" t="s">
        <v>77</v>
      </c>
      <c r="U137" s="12" t="s">
        <v>77</v>
      </c>
      <c r="V137" s="4"/>
      <c r="W137" s="11" t="s">
        <v>77</v>
      </c>
      <c r="X137" s="11" t="s">
        <v>77</v>
      </c>
      <c r="Y137" s="11" t="s">
        <v>77</v>
      </c>
      <c r="Z137" s="11" t="s">
        <v>77</v>
      </c>
      <c r="AA137" s="11"/>
      <c r="AB137" s="12" t="s">
        <v>77</v>
      </c>
      <c r="AC137" s="12" t="s">
        <v>77</v>
      </c>
      <c r="AD137" s="12" t="s">
        <v>124</v>
      </c>
      <c r="AE137" s="42"/>
      <c r="AF137" s="42"/>
    </row>
    <row r="138" spans="1:32" ht="45" x14ac:dyDescent="0.25">
      <c r="A138" s="44"/>
      <c r="B138" s="42"/>
      <c r="C138" s="42"/>
      <c r="D138" s="42"/>
      <c r="E138" s="42"/>
      <c r="F138" s="42"/>
      <c r="G138" s="42"/>
      <c r="H138" s="42"/>
      <c r="I138" s="48"/>
      <c r="J138" s="42"/>
      <c r="K138" s="42"/>
      <c r="L138" s="42"/>
      <c r="M138" s="42"/>
      <c r="N138" s="42"/>
      <c r="O138" s="11" t="s">
        <v>298</v>
      </c>
      <c r="P138" s="11" t="s">
        <v>59</v>
      </c>
      <c r="Q138" s="11">
        <v>8415303</v>
      </c>
      <c r="R138" s="11">
        <v>0.5</v>
      </c>
      <c r="S138" s="11"/>
      <c r="T138" s="12">
        <v>44790</v>
      </c>
      <c r="U138" s="12">
        <v>46251</v>
      </c>
      <c r="V138" s="13" t="s">
        <v>386</v>
      </c>
      <c r="W138" s="11" t="s">
        <v>299</v>
      </c>
      <c r="X138" s="11" t="s">
        <v>42</v>
      </c>
      <c r="Y138" s="11" t="s">
        <v>361</v>
      </c>
      <c r="Z138" s="11">
        <v>0.5</v>
      </c>
      <c r="AA138" s="11"/>
      <c r="AB138" s="12" t="s">
        <v>359</v>
      </c>
      <c r="AC138" s="12">
        <v>46268</v>
      </c>
      <c r="AD138" s="12" t="s">
        <v>124</v>
      </c>
      <c r="AE138" s="42"/>
      <c r="AF138" s="42"/>
    </row>
    <row r="139" spans="1:32" ht="23.85" customHeight="1" x14ac:dyDescent="0.25">
      <c r="A139" s="44">
        <v>44</v>
      </c>
      <c r="B139" s="42" t="s">
        <v>28</v>
      </c>
      <c r="C139" s="42" t="s">
        <v>29</v>
      </c>
      <c r="D139" s="42">
        <v>104264</v>
      </c>
      <c r="E139" s="42" t="s">
        <v>387</v>
      </c>
      <c r="F139" s="42" t="s">
        <v>31</v>
      </c>
      <c r="G139" s="42" t="s">
        <v>90</v>
      </c>
      <c r="H139" s="42" t="s">
        <v>33</v>
      </c>
      <c r="I139" s="48" t="s">
        <v>388</v>
      </c>
      <c r="J139" s="42" t="s">
        <v>35</v>
      </c>
      <c r="K139" s="42"/>
      <c r="L139" s="42" t="s">
        <v>265</v>
      </c>
      <c r="M139" s="52">
        <v>49668</v>
      </c>
      <c r="N139" s="42" t="s">
        <v>92</v>
      </c>
      <c r="O139" s="11" t="s">
        <v>292</v>
      </c>
      <c r="P139" s="11" t="s">
        <v>328</v>
      </c>
      <c r="Q139" s="11" t="s">
        <v>389</v>
      </c>
      <c r="R139" s="11">
        <v>0.5</v>
      </c>
      <c r="S139" s="11"/>
      <c r="T139" s="12">
        <v>44790</v>
      </c>
      <c r="U139" s="12">
        <v>46251</v>
      </c>
      <c r="V139" s="13" t="s">
        <v>390</v>
      </c>
      <c r="W139" s="11" t="s">
        <v>296</v>
      </c>
      <c r="X139" s="11" t="s">
        <v>42</v>
      </c>
      <c r="Y139" s="11" t="s">
        <v>358</v>
      </c>
      <c r="Z139" s="11">
        <v>0.5</v>
      </c>
      <c r="AA139" s="11"/>
      <c r="AB139" s="12" t="s">
        <v>359</v>
      </c>
      <c r="AC139" s="12">
        <v>46268</v>
      </c>
      <c r="AD139" s="12" t="s">
        <v>124</v>
      </c>
      <c r="AE139" s="42"/>
      <c r="AF139" s="43" t="s">
        <v>45</v>
      </c>
    </row>
    <row r="140" spans="1:32" x14ac:dyDescent="0.25">
      <c r="A140" s="44"/>
      <c r="B140" s="42"/>
      <c r="C140" s="42"/>
      <c r="D140" s="42"/>
      <c r="E140" s="42"/>
      <c r="F140" s="42"/>
      <c r="G140" s="42"/>
      <c r="H140" s="42"/>
      <c r="I140" s="48"/>
      <c r="J140" s="42"/>
      <c r="K140" s="42"/>
      <c r="L140" s="42"/>
      <c r="M140" s="42"/>
      <c r="N140" s="42"/>
      <c r="O140" s="11" t="s">
        <v>77</v>
      </c>
      <c r="P140" s="11" t="s">
        <v>77</v>
      </c>
      <c r="Q140" s="11" t="s">
        <v>77</v>
      </c>
      <c r="R140" s="11" t="s">
        <v>77</v>
      </c>
      <c r="S140" s="11"/>
      <c r="T140" s="12" t="s">
        <v>77</v>
      </c>
      <c r="U140" s="12" t="s">
        <v>77</v>
      </c>
      <c r="V140" s="4"/>
      <c r="W140" s="11" t="s">
        <v>77</v>
      </c>
      <c r="X140" s="11" t="s">
        <v>77</v>
      </c>
      <c r="Y140" s="11" t="s">
        <v>77</v>
      </c>
      <c r="Z140" s="11" t="s">
        <v>77</v>
      </c>
      <c r="AA140" s="11"/>
      <c r="AB140" s="12" t="s">
        <v>77</v>
      </c>
      <c r="AC140" s="12" t="s">
        <v>77</v>
      </c>
      <c r="AD140" s="12" t="s">
        <v>124</v>
      </c>
      <c r="AE140" s="42"/>
      <c r="AF140" s="42"/>
    </row>
    <row r="141" spans="1:32" ht="45" x14ac:dyDescent="0.25">
      <c r="A141" s="44"/>
      <c r="B141" s="42"/>
      <c r="C141" s="42"/>
      <c r="D141" s="42"/>
      <c r="E141" s="42"/>
      <c r="F141" s="42"/>
      <c r="G141" s="42"/>
      <c r="H141" s="42"/>
      <c r="I141" s="48"/>
      <c r="J141" s="42"/>
      <c r="K141" s="42"/>
      <c r="L141" s="42"/>
      <c r="M141" s="42"/>
      <c r="N141" s="42"/>
      <c r="O141" s="11" t="s">
        <v>298</v>
      </c>
      <c r="P141" s="11" t="s">
        <v>328</v>
      </c>
      <c r="Q141" s="11">
        <v>8415280</v>
      </c>
      <c r="R141" s="11">
        <v>0.5</v>
      </c>
      <c r="S141" s="11"/>
      <c r="T141" s="12">
        <v>44790</v>
      </c>
      <c r="U141" s="12">
        <v>46251</v>
      </c>
      <c r="V141" s="13" t="s">
        <v>391</v>
      </c>
      <c r="W141" s="11" t="s">
        <v>299</v>
      </c>
      <c r="X141" s="11" t="s">
        <v>42</v>
      </c>
      <c r="Y141" s="11" t="s">
        <v>361</v>
      </c>
      <c r="Z141" s="11">
        <v>0.5</v>
      </c>
      <c r="AA141" s="11"/>
      <c r="AB141" s="12" t="s">
        <v>359</v>
      </c>
      <c r="AC141" s="12">
        <v>46268</v>
      </c>
      <c r="AD141" s="12" t="s">
        <v>124</v>
      </c>
      <c r="AE141" s="42"/>
      <c r="AF141" s="42"/>
    </row>
    <row r="142" spans="1:32" ht="23.85" customHeight="1" x14ac:dyDescent="0.25">
      <c r="A142" s="44">
        <v>45</v>
      </c>
      <c r="B142" s="42" t="s">
        <v>28</v>
      </c>
      <c r="C142" s="42" t="s">
        <v>29</v>
      </c>
      <c r="D142" s="42">
        <v>104264</v>
      </c>
      <c r="E142" s="42" t="s">
        <v>392</v>
      </c>
      <c r="F142" s="42" t="s">
        <v>31</v>
      </c>
      <c r="G142" s="42" t="s">
        <v>32</v>
      </c>
      <c r="H142" s="42" t="s">
        <v>69</v>
      </c>
      <c r="I142" s="48" t="s">
        <v>393</v>
      </c>
      <c r="J142" s="42" t="s">
        <v>71</v>
      </c>
      <c r="K142" s="42"/>
      <c r="L142" s="42" t="s">
        <v>341</v>
      </c>
      <c r="M142" s="52">
        <v>47082</v>
      </c>
      <c r="N142" s="53" t="s">
        <v>394</v>
      </c>
      <c r="O142" s="11" t="s">
        <v>292</v>
      </c>
      <c r="P142" s="11" t="s">
        <v>293</v>
      </c>
      <c r="Q142" s="11" t="s">
        <v>395</v>
      </c>
      <c r="R142" s="11">
        <v>0.5</v>
      </c>
      <c r="S142" s="11"/>
      <c r="T142" s="12">
        <v>44790</v>
      </c>
      <c r="U142" s="12">
        <v>46251</v>
      </c>
      <c r="V142" s="13" t="s">
        <v>396</v>
      </c>
      <c r="W142" s="11" t="s">
        <v>296</v>
      </c>
      <c r="X142" s="11" t="s">
        <v>42</v>
      </c>
      <c r="Y142" s="11" t="s">
        <v>358</v>
      </c>
      <c r="Z142" s="11">
        <v>0.5</v>
      </c>
      <c r="AA142" s="11"/>
      <c r="AB142" s="12" t="s">
        <v>359</v>
      </c>
      <c r="AC142" s="12">
        <v>46268</v>
      </c>
      <c r="AD142" s="12" t="s">
        <v>124</v>
      </c>
      <c r="AE142" s="42"/>
      <c r="AF142" s="43" t="s">
        <v>45</v>
      </c>
    </row>
    <row r="143" spans="1:32" x14ac:dyDescent="0.25">
      <c r="A143" s="44"/>
      <c r="B143" s="42"/>
      <c r="C143" s="42"/>
      <c r="D143" s="42"/>
      <c r="E143" s="42"/>
      <c r="F143" s="42"/>
      <c r="G143" s="42"/>
      <c r="H143" s="42"/>
      <c r="I143" s="48"/>
      <c r="J143" s="42"/>
      <c r="K143" s="42"/>
      <c r="L143" s="42"/>
      <c r="M143" s="42"/>
      <c r="N143" s="53"/>
      <c r="O143" s="11" t="s">
        <v>77</v>
      </c>
      <c r="P143" s="11" t="s">
        <v>77</v>
      </c>
      <c r="Q143" s="11" t="s">
        <v>77</v>
      </c>
      <c r="R143" s="11" t="s">
        <v>77</v>
      </c>
      <c r="S143" s="11"/>
      <c r="T143" s="12" t="s">
        <v>77</v>
      </c>
      <c r="U143" s="12" t="s">
        <v>77</v>
      </c>
      <c r="V143" s="4"/>
      <c r="W143" s="11" t="s">
        <v>77</v>
      </c>
      <c r="X143" s="11" t="s">
        <v>77</v>
      </c>
      <c r="Y143" s="11" t="s">
        <v>77</v>
      </c>
      <c r="Z143" s="11" t="s">
        <v>77</v>
      </c>
      <c r="AA143" s="11"/>
      <c r="AB143" s="12" t="s">
        <v>77</v>
      </c>
      <c r="AC143" s="12" t="s">
        <v>77</v>
      </c>
      <c r="AD143" s="12" t="s">
        <v>124</v>
      </c>
      <c r="AE143" s="42"/>
      <c r="AF143" s="42"/>
    </row>
    <row r="144" spans="1:32" ht="45" x14ac:dyDescent="0.25">
      <c r="A144" s="44"/>
      <c r="B144" s="42"/>
      <c r="C144" s="42"/>
      <c r="D144" s="42"/>
      <c r="E144" s="42"/>
      <c r="F144" s="42"/>
      <c r="G144" s="42"/>
      <c r="H144" s="42"/>
      <c r="I144" s="48"/>
      <c r="J144" s="42"/>
      <c r="K144" s="42"/>
      <c r="L144" s="42"/>
      <c r="M144" s="42"/>
      <c r="N144" s="53"/>
      <c r="O144" s="11" t="s">
        <v>298</v>
      </c>
      <c r="P144" s="11" t="s">
        <v>293</v>
      </c>
      <c r="Q144" s="11">
        <v>8415285</v>
      </c>
      <c r="R144" s="11">
        <v>0.5</v>
      </c>
      <c r="S144" s="11"/>
      <c r="T144" s="12">
        <v>44790</v>
      </c>
      <c r="U144" s="12">
        <v>46251</v>
      </c>
      <c r="V144" s="13" t="s">
        <v>397</v>
      </c>
      <c r="W144" s="11" t="s">
        <v>299</v>
      </c>
      <c r="X144" s="11" t="s">
        <v>42</v>
      </c>
      <c r="Y144" s="11" t="s">
        <v>361</v>
      </c>
      <c r="Z144" s="11">
        <v>0.5</v>
      </c>
      <c r="AA144" s="11"/>
      <c r="AB144" s="12" t="s">
        <v>359</v>
      </c>
      <c r="AC144" s="12">
        <v>46268</v>
      </c>
      <c r="AD144" s="12" t="s">
        <v>124</v>
      </c>
      <c r="AE144" s="42"/>
      <c r="AF144" s="42"/>
    </row>
    <row r="145" spans="1:32" ht="46.35" customHeight="1" x14ac:dyDescent="0.25">
      <c r="A145" s="44">
        <v>46</v>
      </c>
      <c r="B145" s="42" t="s">
        <v>28</v>
      </c>
      <c r="C145" s="42" t="s">
        <v>29</v>
      </c>
      <c r="D145" s="42">
        <v>104264</v>
      </c>
      <c r="E145" s="42" t="s">
        <v>398</v>
      </c>
      <c r="F145" s="42" t="s">
        <v>31</v>
      </c>
      <c r="G145" s="42" t="s">
        <v>32</v>
      </c>
      <c r="H145" s="42" t="s">
        <v>69</v>
      </c>
      <c r="I145" s="48" t="s">
        <v>399</v>
      </c>
      <c r="J145" s="42" t="s">
        <v>71</v>
      </c>
      <c r="K145" s="42"/>
      <c r="L145" s="42" t="s">
        <v>341</v>
      </c>
      <c r="M145" s="52">
        <v>47082</v>
      </c>
      <c r="N145" s="53" t="s">
        <v>400</v>
      </c>
      <c r="O145" s="11" t="s">
        <v>278</v>
      </c>
      <c r="P145" s="11" t="s">
        <v>38</v>
      </c>
      <c r="Q145" s="20" t="s">
        <v>401</v>
      </c>
      <c r="R145" s="11">
        <v>0.5</v>
      </c>
      <c r="S145" s="11"/>
      <c r="T145" s="12" t="s">
        <v>338</v>
      </c>
      <c r="U145" s="12">
        <v>47079</v>
      </c>
      <c r="V145" s="5" t="s">
        <v>336</v>
      </c>
      <c r="W145" s="11" t="s">
        <v>296</v>
      </c>
      <c r="X145" s="11" t="s">
        <v>42</v>
      </c>
      <c r="Y145" s="11" t="s">
        <v>358</v>
      </c>
      <c r="Z145" s="11">
        <v>0.5</v>
      </c>
      <c r="AA145" s="11"/>
      <c r="AB145" s="12" t="s">
        <v>359</v>
      </c>
      <c r="AC145" s="12">
        <v>46268</v>
      </c>
      <c r="AD145" s="12" t="s">
        <v>124</v>
      </c>
      <c r="AE145" s="42"/>
      <c r="AF145" s="43" t="s">
        <v>45</v>
      </c>
    </row>
    <row r="146" spans="1:32" ht="25.5" x14ac:dyDescent="0.25">
      <c r="A146" s="44"/>
      <c r="B146" s="42"/>
      <c r="C146" s="42"/>
      <c r="D146" s="42"/>
      <c r="E146" s="42"/>
      <c r="F146" s="42"/>
      <c r="G146" s="42"/>
      <c r="H146" s="42"/>
      <c r="I146" s="48"/>
      <c r="J146" s="42"/>
      <c r="K146" s="42"/>
      <c r="L146" s="42"/>
      <c r="M146" s="42"/>
      <c r="N146" s="53"/>
      <c r="O146" s="11" t="s">
        <v>278</v>
      </c>
      <c r="P146" s="11" t="s">
        <v>38</v>
      </c>
      <c r="Q146" s="20" t="s">
        <v>402</v>
      </c>
      <c r="R146" s="11">
        <v>0.5</v>
      </c>
      <c r="S146" s="11"/>
      <c r="T146" s="12" t="s">
        <v>338</v>
      </c>
      <c r="U146" s="12">
        <v>47079</v>
      </c>
      <c r="V146" s="5" t="s">
        <v>336</v>
      </c>
      <c r="W146" s="11" t="s">
        <v>77</v>
      </c>
      <c r="X146" s="11" t="s">
        <v>77</v>
      </c>
      <c r="Y146" s="11" t="s">
        <v>77</v>
      </c>
      <c r="Z146" s="11" t="s">
        <v>77</v>
      </c>
      <c r="AA146" s="11"/>
      <c r="AB146" s="12" t="s">
        <v>77</v>
      </c>
      <c r="AC146" s="12" t="s">
        <v>77</v>
      </c>
      <c r="AD146" s="12" t="s">
        <v>124</v>
      </c>
      <c r="AE146" s="42"/>
      <c r="AF146" s="42"/>
    </row>
    <row r="147" spans="1:32" ht="25.5" x14ac:dyDescent="0.25">
      <c r="A147" s="44"/>
      <c r="B147" s="42"/>
      <c r="C147" s="42"/>
      <c r="D147" s="42"/>
      <c r="E147" s="42"/>
      <c r="F147" s="42"/>
      <c r="G147" s="42"/>
      <c r="H147" s="42"/>
      <c r="I147" s="48"/>
      <c r="J147" s="42"/>
      <c r="K147" s="42"/>
      <c r="L147" s="42"/>
      <c r="M147" s="42"/>
      <c r="N147" s="53"/>
      <c r="O147" s="11" t="s">
        <v>285</v>
      </c>
      <c r="P147" s="11" t="s">
        <v>38</v>
      </c>
      <c r="Q147" s="20" t="s">
        <v>403</v>
      </c>
      <c r="R147" s="11">
        <v>0.5</v>
      </c>
      <c r="S147" s="11"/>
      <c r="T147" s="12" t="s">
        <v>338</v>
      </c>
      <c r="U147" s="12">
        <v>47079</v>
      </c>
      <c r="V147" s="5" t="s">
        <v>336</v>
      </c>
      <c r="W147" s="11" t="s">
        <v>299</v>
      </c>
      <c r="X147" s="11" t="s">
        <v>42</v>
      </c>
      <c r="Y147" s="11" t="s">
        <v>361</v>
      </c>
      <c r="Z147" s="11">
        <v>0.5</v>
      </c>
      <c r="AA147" s="11"/>
      <c r="AB147" s="12" t="s">
        <v>359</v>
      </c>
      <c r="AC147" s="12">
        <v>46268</v>
      </c>
      <c r="AD147" s="12" t="s">
        <v>124</v>
      </c>
      <c r="AE147" s="42"/>
      <c r="AF147" s="42"/>
    </row>
    <row r="148" spans="1:32" ht="23.85" customHeight="1" x14ac:dyDescent="0.25">
      <c r="A148" s="44">
        <v>47</v>
      </c>
      <c r="B148" s="42" t="s">
        <v>28</v>
      </c>
      <c r="C148" s="42" t="s">
        <v>29</v>
      </c>
      <c r="D148" s="42">
        <v>104264</v>
      </c>
      <c r="E148" s="42" t="s">
        <v>404</v>
      </c>
      <c r="F148" s="42" t="s">
        <v>405</v>
      </c>
      <c r="G148" s="42" t="s">
        <v>32</v>
      </c>
      <c r="H148" s="42" t="s">
        <v>33</v>
      </c>
      <c r="I148" s="48" t="s">
        <v>406</v>
      </c>
      <c r="J148" s="42" t="s">
        <v>71</v>
      </c>
      <c r="K148" s="42"/>
      <c r="L148" s="42" t="s">
        <v>341</v>
      </c>
      <c r="M148" s="52">
        <v>47082</v>
      </c>
      <c r="N148" s="42" t="s">
        <v>92</v>
      </c>
      <c r="O148" s="11" t="s">
        <v>37</v>
      </c>
      <c r="P148" s="11" t="s">
        <v>38</v>
      </c>
      <c r="Q148" s="11" t="s">
        <v>407</v>
      </c>
      <c r="R148" s="11">
        <v>0.5</v>
      </c>
      <c r="S148" s="11"/>
      <c r="T148" s="12">
        <v>45090</v>
      </c>
      <c r="U148" s="12">
        <v>48012</v>
      </c>
      <c r="V148" s="13" t="s">
        <v>408</v>
      </c>
      <c r="W148" s="11" t="s">
        <v>41</v>
      </c>
      <c r="X148" s="11" t="s">
        <v>409</v>
      </c>
      <c r="Y148" s="11" t="s">
        <v>410</v>
      </c>
      <c r="Z148" s="11">
        <v>0.5</v>
      </c>
      <c r="AA148" s="11"/>
      <c r="AB148" s="12">
        <v>45056</v>
      </c>
      <c r="AC148" s="12">
        <v>47978</v>
      </c>
      <c r="AD148" s="14" t="s">
        <v>411</v>
      </c>
      <c r="AE148" s="42"/>
      <c r="AF148" s="43" t="s">
        <v>45</v>
      </c>
    </row>
    <row r="149" spans="1:32" ht="90" x14ac:dyDescent="0.25">
      <c r="A149" s="44"/>
      <c r="B149" s="42"/>
      <c r="C149" s="42"/>
      <c r="D149" s="42"/>
      <c r="E149" s="42"/>
      <c r="F149" s="42"/>
      <c r="G149" s="42"/>
      <c r="H149" s="42"/>
      <c r="I149" s="48"/>
      <c r="J149" s="42"/>
      <c r="K149" s="42"/>
      <c r="L149" s="42"/>
      <c r="M149" s="42"/>
      <c r="N149" s="53"/>
      <c r="O149" s="11" t="s">
        <v>37</v>
      </c>
      <c r="P149" s="11" t="s">
        <v>38</v>
      </c>
      <c r="Q149" s="11" t="s">
        <v>412</v>
      </c>
      <c r="R149" s="11">
        <v>0.5</v>
      </c>
      <c r="S149" s="11"/>
      <c r="T149" s="12">
        <v>45090</v>
      </c>
      <c r="U149" s="12">
        <v>48012</v>
      </c>
      <c r="V149" s="13" t="s">
        <v>413</v>
      </c>
      <c r="W149" s="11" t="s">
        <v>41</v>
      </c>
      <c r="X149" s="11" t="s">
        <v>409</v>
      </c>
      <c r="Y149" s="11" t="s">
        <v>414</v>
      </c>
      <c r="Z149" s="11">
        <v>0.5</v>
      </c>
      <c r="AA149" s="11"/>
      <c r="AB149" s="12">
        <v>45056</v>
      </c>
      <c r="AC149" s="12">
        <v>47978</v>
      </c>
      <c r="AD149" s="14" t="s">
        <v>415</v>
      </c>
      <c r="AE149" s="42"/>
      <c r="AF149" s="42"/>
    </row>
    <row r="150" spans="1:32" ht="90" x14ac:dyDescent="0.25">
      <c r="A150" s="44"/>
      <c r="B150" s="42"/>
      <c r="C150" s="42"/>
      <c r="D150" s="42"/>
      <c r="E150" s="42"/>
      <c r="F150" s="42"/>
      <c r="G150" s="42"/>
      <c r="H150" s="42"/>
      <c r="I150" s="48"/>
      <c r="J150" s="42"/>
      <c r="K150" s="42"/>
      <c r="L150" s="42"/>
      <c r="M150" s="42"/>
      <c r="N150" s="53"/>
      <c r="O150" s="11" t="s">
        <v>50</v>
      </c>
      <c r="P150" s="11" t="s">
        <v>38</v>
      </c>
      <c r="Q150" s="11" t="s">
        <v>416</v>
      </c>
      <c r="R150" s="11">
        <v>0.5</v>
      </c>
      <c r="S150" s="11"/>
      <c r="T150" s="12">
        <v>45090</v>
      </c>
      <c r="U150" s="12">
        <v>48012</v>
      </c>
      <c r="V150" s="13" t="s">
        <v>417</v>
      </c>
      <c r="W150" s="11" t="s">
        <v>52</v>
      </c>
      <c r="X150" s="11" t="s">
        <v>409</v>
      </c>
      <c r="Y150" s="11" t="s">
        <v>418</v>
      </c>
      <c r="Z150" s="11">
        <v>0.5</v>
      </c>
      <c r="AA150" s="11"/>
      <c r="AB150" s="12">
        <v>45056</v>
      </c>
      <c r="AC150" s="12">
        <v>47978</v>
      </c>
      <c r="AD150" s="14" t="s">
        <v>419</v>
      </c>
      <c r="AE150" s="42"/>
      <c r="AF150" s="42"/>
    </row>
    <row r="151" spans="1:32" ht="23.85" customHeight="1" x14ac:dyDescent="0.25">
      <c r="A151" s="44">
        <v>48</v>
      </c>
      <c r="B151" s="42" t="s">
        <v>28</v>
      </c>
      <c r="C151" s="42" t="s">
        <v>29</v>
      </c>
      <c r="D151" s="42">
        <v>104264</v>
      </c>
      <c r="E151" s="42" t="s">
        <v>420</v>
      </c>
      <c r="F151" s="42" t="s">
        <v>405</v>
      </c>
      <c r="G151" s="42" t="s">
        <v>90</v>
      </c>
      <c r="H151" s="42" t="s">
        <v>33</v>
      </c>
      <c r="I151" s="48" t="s">
        <v>421</v>
      </c>
      <c r="J151" s="42" t="s">
        <v>35</v>
      </c>
      <c r="K151" s="42"/>
      <c r="L151" s="42" t="s">
        <v>265</v>
      </c>
      <c r="M151" s="52">
        <v>49668</v>
      </c>
      <c r="N151" s="42" t="s">
        <v>92</v>
      </c>
      <c r="O151" s="11" t="s">
        <v>58</v>
      </c>
      <c r="P151" s="11" t="s">
        <v>116</v>
      </c>
      <c r="Q151" s="11" t="s">
        <v>422</v>
      </c>
      <c r="R151" s="11">
        <v>0.5</v>
      </c>
      <c r="S151" s="11"/>
      <c r="T151" s="12">
        <v>45090</v>
      </c>
      <c r="U151" s="12">
        <v>48012</v>
      </c>
      <c r="V151" s="13" t="s">
        <v>423</v>
      </c>
      <c r="W151" s="11" t="s">
        <v>41</v>
      </c>
      <c r="X151" s="11" t="s">
        <v>409</v>
      </c>
      <c r="Y151" s="11" t="s">
        <v>410</v>
      </c>
      <c r="Z151" s="11">
        <v>0.5</v>
      </c>
      <c r="AA151" s="11"/>
      <c r="AB151" s="12">
        <v>45056</v>
      </c>
      <c r="AC151" s="12">
        <v>47978</v>
      </c>
      <c r="AD151" s="14" t="s">
        <v>411</v>
      </c>
      <c r="AE151" s="42"/>
      <c r="AF151" s="43" t="s">
        <v>45</v>
      </c>
    </row>
    <row r="152" spans="1:32" ht="90" x14ac:dyDescent="0.25">
      <c r="A152" s="44"/>
      <c r="B152" s="42"/>
      <c r="C152" s="42"/>
      <c r="D152" s="42"/>
      <c r="E152" s="42"/>
      <c r="F152" s="42"/>
      <c r="G152" s="42"/>
      <c r="H152" s="42"/>
      <c r="I152" s="48"/>
      <c r="J152" s="42"/>
      <c r="K152" s="42"/>
      <c r="L152" s="42"/>
      <c r="M152" s="42"/>
      <c r="N152" s="42"/>
      <c r="O152" s="11" t="s">
        <v>77</v>
      </c>
      <c r="P152" s="11" t="s">
        <v>77</v>
      </c>
      <c r="Q152" s="11" t="s">
        <v>77</v>
      </c>
      <c r="R152" s="11" t="s">
        <v>77</v>
      </c>
      <c r="S152" s="11"/>
      <c r="T152" s="12" t="s">
        <v>77</v>
      </c>
      <c r="U152" s="12" t="s">
        <v>77</v>
      </c>
      <c r="V152" s="4"/>
      <c r="W152" s="11" t="s">
        <v>41</v>
      </c>
      <c r="X152" s="11" t="s">
        <v>409</v>
      </c>
      <c r="Y152" s="11" t="s">
        <v>414</v>
      </c>
      <c r="Z152" s="11">
        <v>0.5</v>
      </c>
      <c r="AA152" s="11"/>
      <c r="AB152" s="12">
        <v>45056</v>
      </c>
      <c r="AC152" s="12">
        <v>47978</v>
      </c>
      <c r="AD152" s="14" t="s">
        <v>415</v>
      </c>
      <c r="AE152" s="42"/>
      <c r="AF152" s="42"/>
    </row>
    <row r="153" spans="1:32" ht="90" x14ac:dyDescent="0.25">
      <c r="A153" s="44"/>
      <c r="B153" s="42"/>
      <c r="C153" s="42"/>
      <c r="D153" s="42"/>
      <c r="E153" s="42"/>
      <c r="F153" s="42"/>
      <c r="G153" s="42"/>
      <c r="H153" s="42"/>
      <c r="I153" s="48"/>
      <c r="J153" s="42"/>
      <c r="K153" s="42"/>
      <c r="L153" s="42"/>
      <c r="M153" s="42"/>
      <c r="N153" s="42"/>
      <c r="O153" s="11" t="s">
        <v>65</v>
      </c>
      <c r="P153" s="11" t="s">
        <v>116</v>
      </c>
      <c r="Q153" s="11">
        <v>1945</v>
      </c>
      <c r="R153" s="11">
        <v>0.5</v>
      </c>
      <c r="S153" s="11"/>
      <c r="T153" s="12">
        <v>45090</v>
      </c>
      <c r="U153" s="12">
        <v>48012</v>
      </c>
      <c r="V153" s="13" t="s">
        <v>424</v>
      </c>
      <c r="W153" s="11" t="s">
        <v>52</v>
      </c>
      <c r="X153" s="11" t="s">
        <v>409</v>
      </c>
      <c r="Y153" s="11" t="s">
        <v>418</v>
      </c>
      <c r="Z153" s="11">
        <v>0.5</v>
      </c>
      <c r="AA153" s="11"/>
      <c r="AB153" s="12">
        <v>45056</v>
      </c>
      <c r="AC153" s="12">
        <v>47978</v>
      </c>
      <c r="AD153" s="14" t="s">
        <v>419</v>
      </c>
      <c r="AE153" s="42"/>
      <c r="AF153" s="42"/>
    </row>
    <row r="154" spans="1:32" ht="23.85" customHeight="1" x14ac:dyDescent="0.25">
      <c r="A154" s="44">
        <v>49</v>
      </c>
      <c r="B154" s="42" t="s">
        <v>28</v>
      </c>
      <c r="C154" s="42" t="s">
        <v>29</v>
      </c>
      <c r="D154" s="42">
        <v>104264</v>
      </c>
      <c r="E154" s="42" t="s">
        <v>425</v>
      </c>
      <c r="F154" s="42" t="s">
        <v>405</v>
      </c>
      <c r="G154" s="42" t="s">
        <v>90</v>
      </c>
      <c r="H154" s="42" t="s">
        <v>33</v>
      </c>
      <c r="I154" s="48" t="s">
        <v>426</v>
      </c>
      <c r="J154" s="42" t="s">
        <v>35</v>
      </c>
      <c r="K154" s="42"/>
      <c r="L154" s="42" t="s">
        <v>265</v>
      </c>
      <c r="M154" s="52">
        <v>49668</v>
      </c>
      <c r="N154" s="42" t="s">
        <v>92</v>
      </c>
      <c r="O154" s="11" t="s">
        <v>58</v>
      </c>
      <c r="P154" s="11" t="s">
        <v>93</v>
      </c>
      <c r="Q154" s="11" t="s">
        <v>427</v>
      </c>
      <c r="R154" s="11">
        <v>0.5</v>
      </c>
      <c r="S154" s="11"/>
      <c r="T154" s="12">
        <v>45090</v>
      </c>
      <c r="U154" s="12">
        <v>48012</v>
      </c>
      <c r="V154" s="13" t="s">
        <v>428</v>
      </c>
      <c r="W154" s="11" t="s">
        <v>41</v>
      </c>
      <c r="X154" s="11" t="s">
        <v>409</v>
      </c>
      <c r="Y154" s="11" t="s">
        <v>410</v>
      </c>
      <c r="Z154" s="11">
        <v>0.5</v>
      </c>
      <c r="AA154" s="11"/>
      <c r="AB154" s="12">
        <v>45056</v>
      </c>
      <c r="AC154" s="12">
        <v>47978</v>
      </c>
      <c r="AD154" s="14" t="s">
        <v>411</v>
      </c>
      <c r="AE154" s="42"/>
      <c r="AF154" s="43" t="s">
        <v>45</v>
      </c>
    </row>
    <row r="155" spans="1:32" ht="90" x14ac:dyDescent="0.25">
      <c r="A155" s="44"/>
      <c r="B155" s="42"/>
      <c r="C155" s="42"/>
      <c r="D155" s="42"/>
      <c r="E155" s="42"/>
      <c r="F155" s="42"/>
      <c r="G155" s="42"/>
      <c r="H155" s="42"/>
      <c r="I155" s="48"/>
      <c r="J155" s="42"/>
      <c r="K155" s="42"/>
      <c r="L155" s="42"/>
      <c r="M155" s="42"/>
      <c r="N155" s="42"/>
      <c r="O155" s="11" t="s">
        <v>77</v>
      </c>
      <c r="P155" s="11" t="s">
        <v>77</v>
      </c>
      <c r="Q155" s="11" t="s">
        <v>77</v>
      </c>
      <c r="R155" s="11" t="s">
        <v>77</v>
      </c>
      <c r="S155" s="11"/>
      <c r="T155" s="12" t="s">
        <v>77</v>
      </c>
      <c r="U155" s="12" t="s">
        <v>77</v>
      </c>
      <c r="V155" s="4"/>
      <c r="W155" s="11" t="s">
        <v>41</v>
      </c>
      <c r="X155" s="11" t="s">
        <v>409</v>
      </c>
      <c r="Y155" s="11" t="s">
        <v>414</v>
      </c>
      <c r="Z155" s="11">
        <v>0.5</v>
      </c>
      <c r="AA155" s="11"/>
      <c r="AB155" s="12">
        <v>45056</v>
      </c>
      <c r="AC155" s="12">
        <v>47978</v>
      </c>
      <c r="AD155" s="14" t="s">
        <v>415</v>
      </c>
      <c r="AE155" s="42"/>
      <c r="AF155" s="42"/>
    </row>
    <row r="156" spans="1:32" ht="90" x14ac:dyDescent="0.25">
      <c r="A156" s="44"/>
      <c r="B156" s="42"/>
      <c r="C156" s="42"/>
      <c r="D156" s="42"/>
      <c r="E156" s="42"/>
      <c r="F156" s="42"/>
      <c r="G156" s="42"/>
      <c r="H156" s="42"/>
      <c r="I156" s="48"/>
      <c r="J156" s="42"/>
      <c r="K156" s="42"/>
      <c r="L156" s="42"/>
      <c r="M156" s="42"/>
      <c r="N156" s="42"/>
      <c r="O156" s="11" t="s">
        <v>65</v>
      </c>
      <c r="P156" s="11" t="s">
        <v>93</v>
      </c>
      <c r="Q156" s="11" t="s">
        <v>429</v>
      </c>
      <c r="R156" s="11">
        <v>0.5</v>
      </c>
      <c r="S156" s="11"/>
      <c r="T156" s="12">
        <v>45090</v>
      </c>
      <c r="U156" s="12">
        <v>48012</v>
      </c>
      <c r="V156" s="13" t="s">
        <v>430</v>
      </c>
      <c r="W156" s="11" t="s">
        <v>52</v>
      </c>
      <c r="X156" s="11" t="s">
        <v>409</v>
      </c>
      <c r="Y156" s="11" t="s">
        <v>418</v>
      </c>
      <c r="Z156" s="11">
        <v>0.5</v>
      </c>
      <c r="AA156" s="11"/>
      <c r="AB156" s="12">
        <v>45056</v>
      </c>
      <c r="AC156" s="12">
        <v>47978</v>
      </c>
      <c r="AD156" s="14" t="s">
        <v>419</v>
      </c>
      <c r="AE156" s="42"/>
      <c r="AF156" s="42"/>
    </row>
    <row r="157" spans="1:32" ht="23.85" customHeight="1" x14ac:dyDescent="0.25">
      <c r="A157" s="44">
        <v>50</v>
      </c>
      <c r="B157" s="42" t="s">
        <v>28</v>
      </c>
      <c r="C157" s="42" t="s">
        <v>29</v>
      </c>
      <c r="D157" s="42">
        <v>104264</v>
      </c>
      <c r="E157" s="42" t="s">
        <v>431</v>
      </c>
      <c r="F157" s="42" t="s">
        <v>405</v>
      </c>
      <c r="G157" s="42" t="s">
        <v>90</v>
      </c>
      <c r="H157" s="42" t="s">
        <v>33</v>
      </c>
      <c r="I157" s="48" t="s">
        <v>432</v>
      </c>
      <c r="J157" s="42" t="s">
        <v>35</v>
      </c>
      <c r="K157" s="42"/>
      <c r="L157" s="42" t="s">
        <v>265</v>
      </c>
      <c r="M157" s="52">
        <v>49668</v>
      </c>
      <c r="N157" s="42" t="s">
        <v>92</v>
      </c>
      <c r="O157" s="11" t="s">
        <v>58</v>
      </c>
      <c r="P157" s="11" t="s">
        <v>433</v>
      </c>
      <c r="Q157" s="11" t="s">
        <v>434</v>
      </c>
      <c r="R157" s="11">
        <v>0.5</v>
      </c>
      <c r="S157" s="11"/>
      <c r="T157" s="12">
        <v>45090</v>
      </c>
      <c r="U157" s="12">
        <v>48012</v>
      </c>
      <c r="V157" s="13" t="s">
        <v>435</v>
      </c>
      <c r="W157" s="11" t="s">
        <v>41</v>
      </c>
      <c r="X157" s="11" t="s">
        <v>409</v>
      </c>
      <c r="Y157" s="11" t="s">
        <v>410</v>
      </c>
      <c r="Z157" s="11">
        <v>0.5</v>
      </c>
      <c r="AA157" s="11"/>
      <c r="AB157" s="12">
        <v>45056</v>
      </c>
      <c r="AC157" s="12">
        <v>47978</v>
      </c>
      <c r="AD157" s="14" t="s">
        <v>411</v>
      </c>
      <c r="AE157" s="42"/>
      <c r="AF157" s="43" t="s">
        <v>45</v>
      </c>
    </row>
    <row r="158" spans="1:32" ht="90" x14ac:dyDescent="0.25">
      <c r="A158" s="44"/>
      <c r="B158" s="42"/>
      <c r="C158" s="42"/>
      <c r="D158" s="42"/>
      <c r="E158" s="42"/>
      <c r="F158" s="42"/>
      <c r="G158" s="42"/>
      <c r="H158" s="42"/>
      <c r="I158" s="48"/>
      <c r="J158" s="42"/>
      <c r="K158" s="42"/>
      <c r="L158" s="42"/>
      <c r="M158" s="42"/>
      <c r="N158" s="42"/>
      <c r="O158" s="11" t="s">
        <v>77</v>
      </c>
      <c r="P158" s="11" t="s">
        <v>77</v>
      </c>
      <c r="Q158" s="11" t="s">
        <v>77</v>
      </c>
      <c r="R158" s="11" t="s">
        <v>77</v>
      </c>
      <c r="S158" s="11"/>
      <c r="T158" s="12" t="s">
        <v>77</v>
      </c>
      <c r="U158" s="12" t="s">
        <v>77</v>
      </c>
      <c r="V158" s="4"/>
      <c r="W158" s="11" t="s">
        <v>41</v>
      </c>
      <c r="X158" s="11" t="s">
        <v>409</v>
      </c>
      <c r="Y158" s="11" t="s">
        <v>414</v>
      </c>
      <c r="Z158" s="11">
        <v>0.5</v>
      </c>
      <c r="AA158" s="11"/>
      <c r="AB158" s="12">
        <v>45056</v>
      </c>
      <c r="AC158" s="12">
        <v>47978</v>
      </c>
      <c r="AD158" s="14" t="s">
        <v>415</v>
      </c>
      <c r="AE158" s="42"/>
      <c r="AF158" s="42"/>
    </row>
    <row r="159" spans="1:32" ht="90" x14ac:dyDescent="0.25">
      <c r="A159" s="44"/>
      <c r="B159" s="42"/>
      <c r="C159" s="42"/>
      <c r="D159" s="42"/>
      <c r="E159" s="42"/>
      <c r="F159" s="42"/>
      <c r="G159" s="42"/>
      <c r="H159" s="42"/>
      <c r="I159" s="48"/>
      <c r="J159" s="42"/>
      <c r="K159" s="42"/>
      <c r="L159" s="42"/>
      <c r="M159" s="42"/>
      <c r="N159" s="42"/>
      <c r="O159" s="11" t="s">
        <v>65</v>
      </c>
      <c r="P159" s="11" t="s">
        <v>433</v>
      </c>
      <c r="Q159" s="11">
        <v>2193</v>
      </c>
      <c r="R159" s="11">
        <v>0.5</v>
      </c>
      <c r="S159" s="11"/>
      <c r="T159" s="12">
        <v>45090</v>
      </c>
      <c r="U159" s="12">
        <v>48012</v>
      </c>
      <c r="V159" s="13" t="s">
        <v>436</v>
      </c>
      <c r="W159" s="11" t="s">
        <v>52</v>
      </c>
      <c r="X159" s="11" t="s">
        <v>409</v>
      </c>
      <c r="Y159" s="11" t="s">
        <v>418</v>
      </c>
      <c r="Z159" s="11">
        <v>0.5</v>
      </c>
      <c r="AA159" s="11"/>
      <c r="AB159" s="12">
        <v>45056</v>
      </c>
      <c r="AC159" s="12">
        <v>47978</v>
      </c>
      <c r="AD159" s="14" t="s">
        <v>419</v>
      </c>
      <c r="AE159" s="42"/>
      <c r="AF159" s="42"/>
    </row>
    <row r="160" spans="1:32" ht="23.85" customHeight="1" x14ac:dyDescent="0.25">
      <c r="A160" s="44">
        <v>51</v>
      </c>
      <c r="B160" s="42" t="s">
        <v>28</v>
      </c>
      <c r="C160" s="42" t="s">
        <v>29</v>
      </c>
      <c r="D160" s="42">
        <v>104264</v>
      </c>
      <c r="E160" s="42" t="s">
        <v>437</v>
      </c>
      <c r="F160" s="42" t="s">
        <v>405</v>
      </c>
      <c r="G160" s="42" t="s">
        <v>90</v>
      </c>
      <c r="H160" s="42" t="s">
        <v>33</v>
      </c>
      <c r="I160" s="48" t="s">
        <v>438</v>
      </c>
      <c r="J160" s="42" t="s">
        <v>35</v>
      </c>
      <c r="K160" s="42"/>
      <c r="L160" s="42" t="s">
        <v>265</v>
      </c>
      <c r="M160" s="52">
        <v>49668</v>
      </c>
      <c r="N160" s="42" t="s">
        <v>92</v>
      </c>
      <c r="O160" s="11" t="s">
        <v>58</v>
      </c>
      <c r="P160" s="11" t="s">
        <v>93</v>
      </c>
      <c r="Q160" s="11" t="s">
        <v>439</v>
      </c>
      <c r="R160" s="11">
        <v>0.5</v>
      </c>
      <c r="S160" s="11"/>
      <c r="T160" s="12">
        <v>45091</v>
      </c>
      <c r="U160" s="12">
        <v>48013</v>
      </c>
      <c r="V160" s="13" t="s">
        <v>440</v>
      </c>
      <c r="W160" s="11" t="s">
        <v>41</v>
      </c>
      <c r="X160" s="11" t="s">
        <v>409</v>
      </c>
      <c r="Y160" s="11" t="s">
        <v>410</v>
      </c>
      <c r="Z160" s="11">
        <v>0.5</v>
      </c>
      <c r="AA160" s="11"/>
      <c r="AB160" s="12">
        <v>45056</v>
      </c>
      <c r="AC160" s="12">
        <v>47978</v>
      </c>
      <c r="AD160" s="14" t="s">
        <v>411</v>
      </c>
      <c r="AE160" s="42"/>
      <c r="AF160" s="43" t="s">
        <v>45</v>
      </c>
    </row>
    <row r="161" spans="1:32" ht="90" x14ac:dyDescent="0.25">
      <c r="A161" s="44"/>
      <c r="B161" s="42"/>
      <c r="C161" s="42"/>
      <c r="D161" s="42"/>
      <c r="E161" s="42"/>
      <c r="F161" s="42"/>
      <c r="G161" s="42"/>
      <c r="H161" s="42"/>
      <c r="I161" s="48"/>
      <c r="J161" s="42"/>
      <c r="K161" s="42"/>
      <c r="L161" s="42"/>
      <c r="M161" s="42"/>
      <c r="N161" s="42"/>
      <c r="O161" s="11" t="s">
        <v>77</v>
      </c>
      <c r="P161" s="11" t="s">
        <v>77</v>
      </c>
      <c r="Q161" s="11" t="s">
        <v>77</v>
      </c>
      <c r="R161" s="11" t="s">
        <v>77</v>
      </c>
      <c r="S161" s="11"/>
      <c r="T161" s="12" t="s">
        <v>77</v>
      </c>
      <c r="U161" s="12" t="s">
        <v>77</v>
      </c>
      <c r="V161" s="4"/>
      <c r="W161" s="11" t="s">
        <v>41</v>
      </c>
      <c r="X161" s="11" t="s">
        <v>409</v>
      </c>
      <c r="Y161" s="11" t="s">
        <v>414</v>
      </c>
      <c r="Z161" s="11">
        <v>0.5</v>
      </c>
      <c r="AA161" s="11"/>
      <c r="AB161" s="12">
        <v>45056</v>
      </c>
      <c r="AC161" s="12">
        <v>47978</v>
      </c>
      <c r="AD161" s="14" t="s">
        <v>415</v>
      </c>
      <c r="AE161" s="42"/>
      <c r="AF161" s="42"/>
    </row>
    <row r="162" spans="1:32" ht="90" x14ac:dyDescent="0.25">
      <c r="A162" s="44"/>
      <c r="B162" s="42"/>
      <c r="C162" s="42"/>
      <c r="D162" s="42"/>
      <c r="E162" s="42"/>
      <c r="F162" s="42"/>
      <c r="G162" s="42"/>
      <c r="H162" s="42"/>
      <c r="I162" s="48"/>
      <c r="J162" s="42"/>
      <c r="K162" s="42"/>
      <c r="L162" s="42"/>
      <c r="M162" s="42"/>
      <c r="N162" s="42"/>
      <c r="O162" s="11" t="s">
        <v>65</v>
      </c>
      <c r="P162" s="11" t="s">
        <v>93</v>
      </c>
      <c r="Q162" s="11">
        <v>55161</v>
      </c>
      <c r="R162" s="11">
        <v>0.5</v>
      </c>
      <c r="S162" s="11"/>
      <c r="T162" s="12">
        <v>45091</v>
      </c>
      <c r="U162" s="12">
        <v>48013</v>
      </c>
      <c r="V162" s="13" t="s">
        <v>441</v>
      </c>
      <c r="W162" s="11" t="s">
        <v>52</v>
      </c>
      <c r="X162" s="11" t="s">
        <v>409</v>
      </c>
      <c r="Y162" s="11" t="s">
        <v>418</v>
      </c>
      <c r="Z162" s="11">
        <v>0.5</v>
      </c>
      <c r="AA162" s="11"/>
      <c r="AB162" s="12">
        <v>45056</v>
      </c>
      <c r="AC162" s="12">
        <v>47978</v>
      </c>
      <c r="AD162" s="14" t="s">
        <v>419</v>
      </c>
      <c r="AE162" s="42"/>
      <c r="AF162" s="42"/>
    </row>
    <row r="163" spans="1:32" ht="23.85" customHeight="1" x14ac:dyDescent="0.25">
      <c r="A163" s="44">
        <v>52</v>
      </c>
      <c r="B163" s="42" t="s">
        <v>28</v>
      </c>
      <c r="C163" s="42" t="s">
        <v>29</v>
      </c>
      <c r="D163" s="42">
        <v>104264</v>
      </c>
      <c r="E163" s="42" t="s">
        <v>442</v>
      </c>
      <c r="F163" s="42" t="s">
        <v>405</v>
      </c>
      <c r="G163" s="42" t="s">
        <v>90</v>
      </c>
      <c r="H163" s="42" t="s">
        <v>33</v>
      </c>
      <c r="I163" s="48" t="s">
        <v>443</v>
      </c>
      <c r="J163" s="42" t="s">
        <v>35</v>
      </c>
      <c r="K163" s="42"/>
      <c r="L163" s="42" t="s">
        <v>265</v>
      </c>
      <c r="M163" s="52">
        <v>49668</v>
      </c>
      <c r="N163" s="42" t="s">
        <v>92</v>
      </c>
      <c r="O163" s="11" t="s">
        <v>58</v>
      </c>
      <c r="P163" s="11" t="s">
        <v>163</v>
      </c>
      <c r="Q163" s="11" t="s">
        <v>444</v>
      </c>
      <c r="R163" s="11">
        <v>0.5</v>
      </c>
      <c r="S163" s="11"/>
      <c r="T163" s="12">
        <v>45091</v>
      </c>
      <c r="U163" s="12">
        <v>48013</v>
      </c>
      <c r="V163" s="13" t="s">
        <v>445</v>
      </c>
      <c r="W163" s="11" t="s">
        <v>41</v>
      </c>
      <c r="X163" s="11" t="s">
        <v>409</v>
      </c>
      <c r="Y163" s="11" t="s">
        <v>410</v>
      </c>
      <c r="Z163" s="11">
        <v>0.5</v>
      </c>
      <c r="AA163" s="11"/>
      <c r="AB163" s="12">
        <v>45056</v>
      </c>
      <c r="AC163" s="12">
        <v>47978</v>
      </c>
      <c r="AD163" s="14" t="s">
        <v>411</v>
      </c>
      <c r="AE163" s="42"/>
      <c r="AF163" s="43" t="s">
        <v>45</v>
      </c>
    </row>
    <row r="164" spans="1:32" ht="90" x14ac:dyDescent="0.25">
      <c r="A164" s="44"/>
      <c r="B164" s="42"/>
      <c r="C164" s="42"/>
      <c r="D164" s="42"/>
      <c r="E164" s="42"/>
      <c r="F164" s="42"/>
      <c r="G164" s="42"/>
      <c r="H164" s="42"/>
      <c r="I164" s="48"/>
      <c r="J164" s="42"/>
      <c r="K164" s="42"/>
      <c r="L164" s="42"/>
      <c r="M164" s="42"/>
      <c r="N164" s="42"/>
      <c r="O164" s="11" t="s">
        <v>77</v>
      </c>
      <c r="P164" s="11" t="s">
        <v>77</v>
      </c>
      <c r="Q164" s="11" t="s">
        <v>77</v>
      </c>
      <c r="R164" s="11" t="s">
        <v>77</v>
      </c>
      <c r="S164" s="11"/>
      <c r="T164" s="12" t="s">
        <v>77</v>
      </c>
      <c r="U164" s="12" t="s">
        <v>77</v>
      </c>
      <c r="V164" s="4"/>
      <c r="W164" s="11" t="s">
        <v>41</v>
      </c>
      <c r="X164" s="11" t="s">
        <v>409</v>
      </c>
      <c r="Y164" s="11" t="s">
        <v>414</v>
      </c>
      <c r="Z164" s="11">
        <v>0.5</v>
      </c>
      <c r="AA164" s="11"/>
      <c r="AB164" s="12">
        <v>45056</v>
      </c>
      <c r="AC164" s="12">
        <v>47978</v>
      </c>
      <c r="AD164" s="14" t="s">
        <v>415</v>
      </c>
      <c r="AE164" s="42"/>
      <c r="AF164" s="42"/>
    </row>
    <row r="165" spans="1:32" ht="90" x14ac:dyDescent="0.25">
      <c r="A165" s="44"/>
      <c r="B165" s="42"/>
      <c r="C165" s="42"/>
      <c r="D165" s="42"/>
      <c r="E165" s="42"/>
      <c r="F165" s="42"/>
      <c r="G165" s="42"/>
      <c r="H165" s="42"/>
      <c r="I165" s="48"/>
      <c r="J165" s="42"/>
      <c r="K165" s="42"/>
      <c r="L165" s="42"/>
      <c r="M165" s="42"/>
      <c r="N165" s="42"/>
      <c r="O165" s="11" t="s">
        <v>65</v>
      </c>
      <c r="P165" s="11" t="s">
        <v>163</v>
      </c>
      <c r="Q165" s="11">
        <v>1478</v>
      </c>
      <c r="R165" s="11">
        <v>0.5</v>
      </c>
      <c r="S165" s="11"/>
      <c r="T165" s="12">
        <v>45091</v>
      </c>
      <c r="U165" s="12">
        <v>48013</v>
      </c>
      <c r="V165" s="13" t="s">
        <v>446</v>
      </c>
      <c r="W165" s="11" t="s">
        <v>52</v>
      </c>
      <c r="X165" s="11" t="s">
        <v>409</v>
      </c>
      <c r="Y165" s="11" t="s">
        <v>418</v>
      </c>
      <c r="Z165" s="11">
        <v>0.5</v>
      </c>
      <c r="AA165" s="11"/>
      <c r="AB165" s="12">
        <v>45056</v>
      </c>
      <c r="AC165" s="12">
        <v>47978</v>
      </c>
      <c r="AD165" s="14" t="s">
        <v>419</v>
      </c>
      <c r="AE165" s="42"/>
      <c r="AF165" s="42"/>
    </row>
    <row r="166" spans="1:32" ht="23.85" customHeight="1" x14ac:dyDescent="0.25">
      <c r="A166" s="44">
        <v>53</v>
      </c>
      <c r="B166" s="42" t="s">
        <v>28</v>
      </c>
      <c r="C166" s="42" t="s">
        <v>29</v>
      </c>
      <c r="D166" s="42">
        <v>104264</v>
      </c>
      <c r="E166" s="42" t="s">
        <v>447</v>
      </c>
      <c r="F166" s="42" t="s">
        <v>405</v>
      </c>
      <c r="G166" s="42" t="s">
        <v>90</v>
      </c>
      <c r="H166" s="42" t="s">
        <v>33</v>
      </c>
      <c r="I166" s="48" t="s">
        <v>448</v>
      </c>
      <c r="J166" s="42" t="s">
        <v>35</v>
      </c>
      <c r="K166" s="42"/>
      <c r="L166" s="42" t="s">
        <v>265</v>
      </c>
      <c r="M166" s="52">
        <v>49668</v>
      </c>
      <c r="N166" s="42" t="s">
        <v>92</v>
      </c>
      <c r="O166" s="11" t="s">
        <v>58</v>
      </c>
      <c r="P166" s="11" t="s">
        <v>156</v>
      </c>
      <c r="Q166" s="11" t="s">
        <v>449</v>
      </c>
      <c r="R166" s="11">
        <v>0.5</v>
      </c>
      <c r="S166" s="11"/>
      <c r="T166" s="12">
        <v>45091</v>
      </c>
      <c r="U166" s="12">
        <v>48013</v>
      </c>
      <c r="V166" s="13" t="s">
        <v>450</v>
      </c>
      <c r="W166" s="11" t="s">
        <v>41</v>
      </c>
      <c r="X166" s="11" t="s">
        <v>409</v>
      </c>
      <c r="Y166" s="11" t="s">
        <v>410</v>
      </c>
      <c r="Z166" s="11">
        <v>0.5</v>
      </c>
      <c r="AA166" s="11"/>
      <c r="AB166" s="12">
        <v>45056</v>
      </c>
      <c r="AC166" s="12">
        <v>47978</v>
      </c>
      <c r="AD166" s="14" t="s">
        <v>411</v>
      </c>
      <c r="AE166" s="42"/>
      <c r="AF166" s="43" t="s">
        <v>45</v>
      </c>
    </row>
    <row r="167" spans="1:32" ht="90" x14ac:dyDescent="0.25">
      <c r="A167" s="44"/>
      <c r="B167" s="42"/>
      <c r="C167" s="42"/>
      <c r="D167" s="42"/>
      <c r="E167" s="42"/>
      <c r="F167" s="42"/>
      <c r="G167" s="42"/>
      <c r="H167" s="42"/>
      <c r="I167" s="48"/>
      <c r="J167" s="42"/>
      <c r="K167" s="42"/>
      <c r="L167" s="42"/>
      <c r="M167" s="42"/>
      <c r="N167" s="42"/>
      <c r="O167" s="11" t="s">
        <v>77</v>
      </c>
      <c r="P167" s="11" t="s">
        <v>77</v>
      </c>
      <c r="Q167" s="11" t="s">
        <v>77</v>
      </c>
      <c r="R167" s="11" t="s">
        <v>77</v>
      </c>
      <c r="S167" s="11"/>
      <c r="T167" s="12" t="s">
        <v>77</v>
      </c>
      <c r="U167" s="12" t="s">
        <v>77</v>
      </c>
      <c r="V167" s="4"/>
      <c r="W167" s="11" t="s">
        <v>41</v>
      </c>
      <c r="X167" s="11" t="s">
        <v>409</v>
      </c>
      <c r="Y167" s="11" t="s">
        <v>414</v>
      </c>
      <c r="Z167" s="11">
        <v>0.5</v>
      </c>
      <c r="AA167" s="11"/>
      <c r="AB167" s="12">
        <v>45056</v>
      </c>
      <c r="AC167" s="12">
        <v>47978</v>
      </c>
      <c r="AD167" s="14" t="s">
        <v>415</v>
      </c>
      <c r="AE167" s="42"/>
      <c r="AF167" s="42"/>
    </row>
    <row r="168" spans="1:32" ht="90" x14ac:dyDescent="0.25">
      <c r="A168" s="44"/>
      <c r="B168" s="42"/>
      <c r="C168" s="42"/>
      <c r="D168" s="42"/>
      <c r="E168" s="42"/>
      <c r="F168" s="42"/>
      <c r="G168" s="42"/>
      <c r="H168" s="42"/>
      <c r="I168" s="48"/>
      <c r="J168" s="42"/>
      <c r="K168" s="42"/>
      <c r="L168" s="42"/>
      <c r="M168" s="42"/>
      <c r="N168" s="42"/>
      <c r="O168" s="11" t="s">
        <v>65</v>
      </c>
      <c r="P168" s="11" t="s">
        <v>156</v>
      </c>
      <c r="Q168" s="11">
        <v>3493</v>
      </c>
      <c r="R168" s="11">
        <v>0.5</v>
      </c>
      <c r="S168" s="11"/>
      <c r="T168" s="12">
        <v>45091</v>
      </c>
      <c r="U168" s="12">
        <v>48013</v>
      </c>
      <c r="V168" s="13" t="s">
        <v>451</v>
      </c>
      <c r="W168" s="11" t="s">
        <v>52</v>
      </c>
      <c r="X168" s="11" t="s">
        <v>409</v>
      </c>
      <c r="Y168" s="11" t="s">
        <v>418</v>
      </c>
      <c r="Z168" s="11">
        <v>0.5</v>
      </c>
      <c r="AA168" s="11"/>
      <c r="AB168" s="12">
        <v>45056</v>
      </c>
      <c r="AC168" s="12">
        <v>47978</v>
      </c>
      <c r="AD168" s="14" t="s">
        <v>419</v>
      </c>
      <c r="AE168" s="42"/>
      <c r="AF168" s="42"/>
    </row>
    <row r="169" spans="1:32" ht="23.85" customHeight="1" x14ac:dyDescent="0.25">
      <c r="A169" s="44">
        <v>54</v>
      </c>
      <c r="B169" s="42" t="s">
        <v>28</v>
      </c>
      <c r="C169" s="42" t="s">
        <v>29</v>
      </c>
      <c r="D169" s="42">
        <v>104264</v>
      </c>
      <c r="E169" s="42" t="s">
        <v>452</v>
      </c>
      <c r="F169" s="42" t="s">
        <v>405</v>
      </c>
      <c r="G169" s="42" t="s">
        <v>107</v>
      </c>
      <c r="H169" s="42" t="s">
        <v>33</v>
      </c>
      <c r="I169" s="48" t="s">
        <v>453</v>
      </c>
      <c r="J169" s="42" t="s">
        <v>35</v>
      </c>
      <c r="K169" s="42"/>
      <c r="L169" s="42" t="s">
        <v>265</v>
      </c>
      <c r="M169" s="52">
        <v>49668</v>
      </c>
      <c r="N169" s="42" t="s">
        <v>92</v>
      </c>
      <c r="O169" s="11" t="s">
        <v>58</v>
      </c>
      <c r="P169" s="11" t="s">
        <v>116</v>
      </c>
      <c r="Q169" s="11" t="s">
        <v>454</v>
      </c>
      <c r="R169" s="11">
        <v>0.5</v>
      </c>
      <c r="S169" s="11"/>
      <c r="T169" s="12">
        <v>45091</v>
      </c>
      <c r="U169" s="12">
        <v>48013</v>
      </c>
      <c r="V169" s="13" t="s">
        <v>455</v>
      </c>
      <c r="W169" s="11" t="s">
        <v>41</v>
      </c>
      <c r="X169" s="11" t="s">
        <v>409</v>
      </c>
      <c r="Y169" s="11" t="s">
        <v>410</v>
      </c>
      <c r="Z169" s="11">
        <v>0.5</v>
      </c>
      <c r="AA169" s="11"/>
      <c r="AB169" s="12">
        <v>45056</v>
      </c>
      <c r="AC169" s="12">
        <v>47978</v>
      </c>
      <c r="AD169" s="14" t="s">
        <v>411</v>
      </c>
      <c r="AE169" s="42"/>
      <c r="AF169" s="43" t="s">
        <v>45</v>
      </c>
    </row>
    <row r="170" spans="1:32" ht="90" x14ac:dyDescent="0.25">
      <c r="A170" s="44"/>
      <c r="B170" s="42"/>
      <c r="C170" s="42"/>
      <c r="D170" s="42"/>
      <c r="E170" s="42"/>
      <c r="F170" s="42"/>
      <c r="G170" s="42"/>
      <c r="H170" s="42"/>
      <c r="I170" s="48"/>
      <c r="J170" s="42"/>
      <c r="K170" s="42"/>
      <c r="L170" s="42"/>
      <c r="M170" s="42"/>
      <c r="N170" s="42"/>
      <c r="O170" s="11" t="s">
        <v>77</v>
      </c>
      <c r="P170" s="11" t="s">
        <v>77</v>
      </c>
      <c r="Q170" s="11" t="s">
        <v>77</v>
      </c>
      <c r="R170" s="11" t="s">
        <v>77</v>
      </c>
      <c r="S170" s="11"/>
      <c r="T170" s="12" t="s">
        <v>77</v>
      </c>
      <c r="U170" s="12" t="s">
        <v>77</v>
      </c>
      <c r="V170" s="4"/>
      <c r="W170" s="11" t="s">
        <v>41</v>
      </c>
      <c r="X170" s="11" t="s">
        <v>409</v>
      </c>
      <c r="Y170" s="11" t="s">
        <v>414</v>
      </c>
      <c r="Z170" s="11">
        <v>0.5</v>
      </c>
      <c r="AA170" s="11"/>
      <c r="AB170" s="12">
        <v>45056</v>
      </c>
      <c r="AC170" s="12">
        <v>47978</v>
      </c>
      <c r="AD170" s="14" t="s">
        <v>415</v>
      </c>
      <c r="AE170" s="42"/>
      <c r="AF170" s="42"/>
    </row>
    <row r="171" spans="1:32" ht="90" x14ac:dyDescent="0.25">
      <c r="A171" s="44"/>
      <c r="B171" s="42"/>
      <c r="C171" s="42"/>
      <c r="D171" s="42"/>
      <c r="E171" s="42"/>
      <c r="F171" s="42"/>
      <c r="G171" s="42"/>
      <c r="H171" s="42"/>
      <c r="I171" s="48"/>
      <c r="J171" s="42"/>
      <c r="K171" s="42"/>
      <c r="L171" s="42"/>
      <c r="M171" s="42"/>
      <c r="N171" s="42"/>
      <c r="O171" s="11" t="s">
        <v>65</v>
      </c>
      <c r="P171" s="11" t="s">
        <v>116</v>
      </c>
      <c r="Q171" s="11">
        <v>1978</v>
      </c>
      <c r="R171" s="11">
        <v>0.5</v>
      </c>
      <c r="S171" s="11"/>
      <c r="T171" s="12">
        <v>45091</v>
      </c>
      <c r="U171" s="12">
        <v>48013</v>
      </c>
      <c r="V171" s="13" t="s">
        <v>456</v>
      </c>
      <c r="W171" s="11" t="s">
        <v>52</v>
      </c>
      <c r="X171" s="11" t="s">
        <v>409</v>
      </c>
      <c r="Y171" s="11" t="s">
        <v>418</v>
      </c>
      <c r="Z171" s="11">
        <v>0.5</v>
      </c>
      <c r="AA171" s="11"/>
      <c r="AB171" s="12">
        <v>45056</v>
      </c>
      <c r="AC171" s="12">
        <v>47978</v>
      </c>
      <c r="AD171" s="14" t="s">
        <v>419</v>
      </c>
      <c r="AE171" s="42"/>
      <c r="AF171" s="42"/>
    </row>
    <row r="172" spans="1:32" ht="23.85" customHeight="1" x14ac:dyDescent="0.25">
      <c r="A172" s="44">
        <v>55</v>
      </c>
      <c r="B172" s="42" t="s">
        <v>28</v>
      </c>
      <c r="C172" s="42" t="s">
        <v>29</v>
      </c>
      <c r="D172" s="42">
        <v>104264</v>
      </c>
      <c r="E172" s="42" t="s">
        <v>457</v>
      </c>
      <c r="F172" s="42" t="s">
        <v>405</v>
      </c>
      <c r="G172" s="42" t="s">
        <v>90</v>
      </c>
      <c r="H172" s="42" t="s">
        <v>33</v>
      </c>
      <c r="I172" s="48" t="s">
        <v>458</v>
      </c>
      <c r="J172" s="42" t="s">
        <v>35</v>
      </c>
      <c r="K172" s="42"/>
      <c r="L172" s="42" t="s">
        <v>265</v>
      </c>
      <c r="M172" s="52">
        <v>49668</v>
      </c>
      <c r="N172" s="42" t="s">
        <v>92</v>
      </c>
      <c r="O172" s="11" t="s">
        <v>58</v>
      </c>
      <c r="P172" s="11" t="s">
        <v>156</v>
      </c>
      <c r="Q172" s="11" t="s">
        <v>459</v>
      </c>
      <c r="R172" s="11">
        <v>0.5</v>
      </c>
      <c r="S172" s="11"/>
      <c r="T172" s="12">
        <v>45091</v>
      </c>
      <c r="U172" s="12">
        <v>48013</v>
      </c>
      <c r="V172" s="13" t="s">
        <v>460</v>
      </c>
      <c r="W172" s="11" t="s">
        <v>41</v>
      </c>
      <c r="X172" s="11" t="s">
        <v>409</v>
      </c>
      <c r="Y172" s="11" t="s">
        <v>410</v>
      </c>
      <c r="Z172" s="11">
        <v>0.5</v>
      </c>
      <c r="AA172" s="11"/>
      <c r="AB172" s="12">
        <v>45056</v>
      </c>
      <c r="AC172" s="12">
        <v>47978</v>
      </c>
      <c r="AD172" s="14" t="s">
        <v>411</v>
      </c>
      <c r="AE172" s="42"/>
      <c r="AF172" s="43" t="s">
        <v>45</v>
      </c>
    </row>
    <row r="173" spans="1:32" ht="90" x14ac:dyDescent="0.25">
      <c r="A173" s="44"/>
      <c r="B173" s="42"/>
      <c r="C173" s="42"/>
      <c r="D173" s="42"/>
      <c r="E173" s="42"/>
      <c r="F173" s="42"/>
      <c r="G173" s="42"/>
      <c r="H173" s="42"/>
      <c r="I173" s="48"/>
      <c r="J173" s="42"/>
      <c r="K173" s="42"/>
      <c r="L173" s="42"/>
      <c r="M173" s="42"/>
      <c r="N173" s="42"/>
      <c r="O173" s="11" t="s">
        <v>77</v>
      </c>
      <c r="P173" s="11" t="s">
        <v>77</v>
      </c>
      <c r="Q173" s="11" t="s">
        <v>77</v>
      </c>
      <c r="R173" s="11" t="s">
        <v>77</v>
      </c>
      <c r="S173" s="11"/>
      <c r="T173" s="12" t="s">
        <v>77</v>
      </c>
      <c r="U173" s="12" t="s">
        <v>77</v>
      </c>
      <c r="V173" s="4"/>
      <c r="W173" s="11" t="s">
        <v>41</v>
      </c>
      <c r="X173" s="11" t="s">
        <v>409</v>
      </c>
      <c r="Y173" s="11" t="s">
        <v>414</v>
      </c>
      <c r="Z173" s="11">
        <v>0.5</v>
      </c>
      <c r="AA173" s="11"/>
      <c r="AB173" s="12">
        <v>45056</v>
      </c>
      <c r="AC173" s="12">
        <v>47978</v>
      </c>
      <c r="AD173" s="14" t="s">
        <v>415</v>
      </c>
      <c r="AE173" s="42"/>
      <c r="AF173" s="42"/>
    </row>
    <row r="174" spans="1:32" ht="90" x14ac:dyDescent="0.25">
      <c r="A174" s="44"/>
      <c r="B174" s="42"/>
      <c r="C174" s="42"/>
      <c r="D174" s="42"/>
      <c r="E174" s="42"/>
      <c r="F174" s="42"/>
      <c r="G174" s="42"/>
      <c r="H174" s="42"/>
      <c r="I174" s="48"/>
      <c r="J174" s="42"/>
      <c r="K174" s="42"/>
      <c r="L174" s="42"/>
      <c r="M174" s="42"/>
      <c r="N174" s="42"/>
      <c r="O174" s="11" t="s">
        <v>65</v>
      </c>
      <c r="P174" s="11" t="s">
        <v>156</v>
      </c>
      <c r="Q174" s="11">
        <v>1189</v>
      </c>
      <c r="R174" s="11">
        <v>0.5</v>
      </c>
      <c r="S174" s="11"/>
      <c r="T174" s="12">
        <v>45091</v>
      </c>
      <c r="U174" s="12">
        <v>48013</v>
      </c>
      <c r="V174" s="13" t="s">
        <v>461</v>
      </c>
      <c r="W174" s="11" t="s">
        <v>52</v>
      </c>
      <c r="X174" s="11" t="s">
        <v>409</v>
      </c>
      <c r="Y174" s="11" t="s">
        <v>418</v>
      </c>
      <c r="Z174" s="11">
        <v>0.5</v>
      </c>
      <c r="AA174" s="11"/>
      <c r="AB174" s="12">
        <v>45056</v>
      </c>
      <c r="AC174" s="12">
        <v>47978</v>
      </c>
      <c r="AD174" s="14" t="s">
        <v>419</v>
      </c>
      <c r="AE174" s="42"/>
      <c r="AF174" s="42"/>
    </row>
    <row r="175" spans="1:32" ht="23.85" customHeight="1" x14ac:dyDescent="0.25">
      <c r="A175" s="44">
        <v>56</v>
      </c>
      <c r="B175" s="42" t="s">
        <v>28</v>
      </c>
      <c r="C175" s="42" t="s">
        <v>29</v>
      </c>
      <c r="D175" s="42">
        <v>104264</v>
      </c>
      <c r="E175" s="42" t="s">
        <v>462</v>
      </c>
      <c r="F175" s="42" t="s">
        <v>405</v>
      </c>
      <c r="G175" s="42" t="s">
        <v>90</v>
      </c>
      <c r="H175" s="42" t="s">
        <v>33</v>
      </c>
      <c r="I175" s="48" t="s">
        <v>463</v>
      </c>
      <c r="J175" s="42" t="s">
        <v>35</v>
      </c>
      <c r="K175" s="42"/>
      <c r="L175" s="42" t="s">
        <v>265</v>
      </c>
      <c r="M175" s="52">
        <v>49668</v>
      </c>
      <c r="N175" s="42" t="s">
        <v>92</v>
      </c>
      <c r="O175" s="11" t="s">
        <v>58</v>
      </c>
      <c r="P175" s="11" t="s">
        <v>156</v>
      </c>
      <c r="Q175" s="11" t="s">
        <v>464</v>
      </c>
      <c r="R175" s="11">
        <v>0.5</v>
      </c>
      <c r="S175" s="11"/>
      <c r="T175" s="12">
        <v>45056</v>
      </c>
      <c r="U175" s="12">
        <v>47978</v>
      </c>
      <c r="V175" s="13" t="s">
        <v>465</v>
      </c>
      <c r="W175" s="11" t="s">
        <v>41</v>
      </c>
      <c r="X175" s="11" t="s">
        <v>409</v>
      </c>
      <c r="Y175" s="11" t="s">
        <v>410</v>
      </c>
      <c r="Z175" s="11">
        <v>0.5</v>
      </c>
      <c r="AA175" s="11"/>
      <c r="AB175" s="12">
        <v>45056</v>
      </c>
      <c r="AC175" s="12">
        <v>47978</v>
      </c>
      <c r="AD175" s="14" t="s">
        <v>411</v>
      </c>
      <c r="AE175" s="42"/>
      <c r="AF175" s="43" t="s">
        <v>45</v>
      </c>
    </row>
    <row r="176" spans="1:32" ht="90" x14ac:dyDescent="0.25">
      <c r="A176" s="44"/>
      <c r="B176" s="42"/>
      <c r="C176" s="42"/>
      <c r="D176" s="42"/>
      <c r="E176" s="42"/>
      <c r="F176" s="42"/>
      <c r="G176" s="42"/>
      <c r="H176" s="42"/>
      <c r="I176" s="48"/>
      <c r="J176" s="42"/>
      <c r="K176" s="42"/>
      <c r="L176" s="42"/>
      <c r="M176" s="42"/>
      <c r="N176" s="42"/>
      <c r="O176" s="11" t="s">
        <v>77</v>
      </c>
      <c r="P176" s="11" t="s">
        <v>77</v>
      </c>
      <c r="Q176" s="11" t="s">
        <v>77</v>
      </c>
      <c r="R176" s="11" t="s">
        <v>77</v>
      </c>
      <c r="S176" s="11"/>
      <c r="T176" s="12" t="s">
        <v>77</v>
      </c>
      <c r="U176" s="12" t="s">
        <v>77</v>
      </c>
      <c r="V176" s="4"/>
      <c r="W176" s="11" t="s">
        <v>41</v>
      </c>
      <c r="X176" s="11" t="s">
        <v>409</v>
      </c>
      <c r="Y176" s="11" t="s">
        <v>414</v>
      </c>
      <c r="Z176" s="11">
        <v>0.5</v>
      </c>
      <c r="AA176" s="11"/>
      <c r="AB176" s="12">
        <v>45056</v>
      </c>
      <c r="AC176" s="12">
        <v>47978</v>
      </c>
      <c r="AD176" s="14" t="s">
        <v>415</v>
      </c>
      <c r="AE176" s="42"/>
      <c r="AF176" s="42"/>
    </row>
    <row r="177" spans="1:32" ht="90" x14ac:dyDescent="0.25">
      <c r="A177" s="44"/>
      <c r="B177" s="42"/>
      <c r="C177" s="42"/>
      <c r="D177" s="42"/>
      <c r="E177" s="42"/>
      <c r="F177" s="42"/>
      <c r="G177" s="42"/>
      <c r="H177" s="42"/>
      <c r="I177" s="48"/>
      <c r="J177" s="42"/>
      <c r="K177" s="42"/>
      <c r="L177" s="42"/>
      <c r="M177" s="42"/>
      <c r="N177" s="42"/>
      <c r="O177" s="11" t="s">
        <v>65</v>
      </c>
      <c r="P177" s="11" t="s">
        <v>156</v>
      </c>
      <c r="Q177" s="11">
        <v>1668</v>
      </c>
      <c r="R177" s="11">
        <v>0.5</v>
      </c>
      <c r="S177" s="11"/>
      <c r="T177" s="12">
        <v>45091</v>
      </c>
      <c r="U177" s="12">
        <v>48013</v>
      </c>
      <c r="V177" s="13" t="s">
        <v>466</v>
      </c>
      <c r="W177" s="11" t="s">
        <v>52</v>
      </c>
      <c r="X177" s="11" t="s">
        <v>409</v>
      </c>
      <c r="Y177" s="11" t="s">
        <v>418</v>
      </c>
      <c r="Z177" s="11">
        <v>0.5</v>
      </c>
      <c r="AA177" s="11"/>
      <c r="AB177" s="12">
        <v>45056</v>
      </c>
      <c r="AC177" s="12">
        <v>47978</v>
      </c>
      <c r="AD177" s="14" t="s">
        <v>419</v>
      </c>
      <c r="AE177" s="42"/>
      <c r="AF177" s="42"/>
    </row>
    <row r="178" spans="1:32" ht="23.85" customHeight="1" x14ac:dyDescent="0.25">
      <c r="A178" s="44">
        <v>57</v>
      </c>
      <c r="B178" s="42" t="s">
        <v>28</v>
      </c>
      <c r="C178" s="42" t="s">
        <v>29</v>
      </c>
      <c r="D178" s="42">
        <v>104264</v>
      </c>
      <c r="E178" s="42" t="s">
        <v>467</v>
      </c>
      <c r="F178" s="42" t="s">
        <v>405</v>
      </c>
      <c r="G178" s="42" t="s">
        <v>90</v>
      </c>
      <c r="H178" s="42" t="s">
        <v>33</v>
      </c>
      <c r="I178" s="48" t="s">
        <v>468</v>
      </c>
      <c r="J178" s="42" t="s">
        <v>35</v>
      </c>
      <c r="K178" s="42"/>
      <c r="L178" s="42" t="s">
        <v>265</v>
      </c>
      <c r="M178" s="52">
        <v>49668</v>
      </c>
      <c r="N178" s="42" t="s">
        <v>92</v>
      </c>
      <c r="O178" s="11" t="s">
        <v>58</v>
      </c>
      <c r="P178" s="11" t="s">
        <v>163</v>
      </c>
      <c r="Q178" s="11" t="s">
        <v>469</v>
      </c>
      <c r="R178" s="11">
        <v>0.5</v>
      </c>
      <c r="S178" s="11"/>
      <c r="T178" s="12">
        <v>45091</v>
      </c>
      <c r="U178" s="12">
        <v>48013</v>
      </c>
      <c r="V178" s="13" t="s">
        <v>470</v>
      </c>
      <c r="W178" s="11" t="s">
        <v>41</v>
      </c>
      <c r="X178" s="11" t="s">
        <v>409</v>
      </c>
      <c r="Y178" s="11" t="s">
        <v>410</v>
      </c>
      <c r="Z178" s="11">
        <v>0.5</v>
      </c>
      <c r="AA178" s="11"/>
      <c r="AB178" s="12">
        <v>45056</v>
      </c>
      <c r="AC178" s="12">
        <v>47978</v>
      </c>
      <c r="AD178" s="14" t="s">
        <v>411</v>
      </c>
      <c r="AE178" s="42"/>
      <c r="AF178" s="43" t="s">
        <v>45</v>
      </c>
    </row>
    <row r="179" spans="1:32" ht="90" x14ac:dyDescent="0.25">
      <c r="A179" s="44"/>
      <c r="B179" s="42"/>
      <c r="C179" s="42"/>
      <c r="D179" s="42"/>
      <c r="E179" s="42"/>
      <c r="F179" s="42"/>
      <c r="G179" s="42"/>
      <c r="H179" s="42"/>
      <c r="I179" s="48"/>
      <c r="J179" s="42"/>
      <c r="K179" s="42"/>
      <c r="L179" s="42"/>
      <c r="M179" s="42"/>
      <c r="N179" s="42"/>
      <c r="O179" s="11" t="s">
        <v>77</v>
      </c>
      <c r="P179" s="11" t="s">
        <v>77</v>
      </c>
      <c r="Q179" s="11" t="s">
        <v>77</v>
      </c>
      <c r="R179" s="11" t="s">
        <v>77</v>
      </c>
      <c r="S179" s="11"/>
      <c r="T179" s="12" t="s">
        <v>77</v>
      </c>
      <c r="U179" s="12" t="s">
        <v>77</v>
      </c>
      <c r="V179" s="4"/>
      <c r="W179" s="11" t="s">
        <v>41</v>
      </c>
      <c r="X179" s="11" t="s">
        <v>409</v>
      </c>
      <c r="Y179" s="11" t="s">
        <v>414</v>
      </c>
      <c r="Z179" s="11">
        <v>0.5</v>
      </c>
      <c r="AA179" s="11"/>
      <c r="AB179" s="12">
        <v>45056</v>
      </c>
      <c r="AC179" s="12">
        <v>47978</v>
      </c>
      <c r="AD179" s="14" t="s">
        <v>415</v>
      </c>
      <c r="AE179" s="42"/>
      <c r="AF179" s="42"/>
    </row>
    <row r="180" spans="1:32" ht="90" x14ac:dyDescent="0.25">
      <c r="A180" s="44"/>
      <c r="B180" s="42"/>
      <c r="C180" s="42"/>
      <c r="D180" s="42"/>
      <c r="E180" s="42"/>
      <c r="F180" s="42"/>
      <c r="G180" s="42"/>
      <c r="H180" s="42"/>
      <c r="I180" s="48"/>
      <c r="J180" s="42"/>
      <c r="K180" s="42"/>
      <c r="L180" s="42"/>
      <c r="M180" s="42"/>
      <c r="N180" s="42"/>
      <c r="O180" s="11" t="s">
        <v>65</v>
      </c>
      <c r="P180" s="11" t="s">
        <v>163</v>
      </c>
      <c r="Q180" s="11">
        <v>1648</v>
      </c>
      <c r="R180" s="11">
        <v>0.5</v>
      </c>
      <c r="S180" s="11"/>
      <c r="T180" s="12">
        <v>45091</v>
      </c>
      <c r="U180" s="12">
        <v>48013</v>
      </c>
      <c r="V180" s="13" t="s">
        <v>471</v>
      </c>
      <c r="W180" s="11" t="s">
        <v>52</v>
      </c>
      <c r="X180" s="11" t="s">
        <v>409</v>
      </c>
      <c r="Y180" s="11" t="s">
        <v>418</v>
      </c>
      <c r="Z180" s="11">
        <v>0.5</v>
      </c>
      <c r="AA180" s="11"/>
      <c r="AB180" s="12">
        <v>45056</v>
      </c>
      <c r="AC180" s="12">
        <v>47978</v>
      </c>
      <c r="AD180" s="14" t="s">
        <v>419</v>
      </c>
      <c r="AE180" s="42"/>
      <c r="AF180" s="42"/>
    </row>
    <row r="181" spans="1:32" ht="23.85" customHeight="1" x14ac:dyDescent="0.25">
      <c r="A181" s="44">
        <v>58</v>
      </c>
      <c r="B181" s="42" t="s">
        <v>28</v>
      </c>
      <c r="C181" s="42" t="s">
        <v>29</v>
      </c>
      <c r="D181" s="42">
        <v>104264</v>
      </c>
      <c r="E181" s="42" t="s">
        <v>472</v>
      </c>
      <c r="F181" s="42" t="s">
        <v>405</v>
      </c>
      <c r="G181" s="42" t="s">
        <v>90</v>
      </c>
      <c r="H181" s="42" t="s">
        <v>33</v>
      </c>
      <c r="I181" s="48" t="s">
        <v>473</v>
      </c>
      <c r="J181" s="42" t="s">
        <v>35</v>
      </c>
      <c r="K181" s="42"/>
      <c r="L181" s="42" t="s">
        <v>265</v>
      </c>
      <c r="M181" s="52">
        <v>49668</v>
      </c>
      <c r="N181" s="42" t="s">
        <v>92</v>
      </c>
      <c r="O181" s="11" t="s">
        <v>58</v>
      </c>
      <c r="P181" s="11" t="s">
        <v>93</v>
      </c>
      <c r="Q181" s="11" t="s">
        <v>474</v>
      </c>
      <c r="R181" s="11">
        <v>0.5</v>
      </c>
      <c r="S181" s="11"/>
      <c r="T181" s="12">
        <v>45091</v>
      </c>
      <c r="U181" s="12">
        <v>48013</v>
      </c>
      <c r="V181" s="13" t="s">
        <v>475</v>
      </c>
      <c r="W181" s="11" t="s">
        <v>41</v>
      </c>
      <c r="X181" s="11" t="s">
        <v>409</v>
      </c>
      <c r="Y181" s="11" t="s">
        <v>410</v>
      </c>
      <c r="Z181" s="11">
        <v>0.5</v>
      </c>
      <c r="AA181" s="11"/>
      <c r="AB181" s="12">
        <v>45056</v>
      </c>
      <c r="AC181" s="12">
        <v>47978</v>
      </c>
      <c r="AD181" s="14" t="s">
        <v>411</v>
      </c>
      <c r="AE181" s="42"/>
      <c r="AF181" s="43" t="s">
        <v>45</v>
      </c>
    </row>
    <row r="182" spans="1:32" ht="90" x14ac:dyDescent="0.25">
      <c r="A182" s="44"/>
      <c r="B182" s="42"/>
      <c r="C182" s="42"/>
      <c r="D182" s="42"/>
      <c r="E182" s="42"/>
      <c r="F182" s="42"/>
      <c r="G182" s="42"/>
      <c r="H182" s="42"/>
      <c r="I182" s="48"/>
      <c r="J182" s="42"/>
      <c r="K182" s="42"/>
      <c r="L182" s="42"/>
      <c r="M182" s="42"/>
      <c r="N182" s="42"/>
      <c r="O182" s="11" t="s">
        <v>77</v>
      </c>
      <c r="P182" s="11" t="s">
        <v>77</v>
      </c>
      <c r="Q182" s="11" t="s">
        <v>77</v>
      </c>
      <c r="R182" s="11" t="s">
        <v>77</v>
      </c>
      <c r="S182" s="11"/>
      <c r="T182" s="12" t="s">
        <v>77</v>
      </c>
      <c r="U182" s="12" t="s">
        <v>77</v>
      </c>
      <c r="V182" s="4"/>
      <c r="W182" s="11" t="s">
        <v>41</v>
      </c>
      <c r="X182" s="11" t="s">
        <v>409</v>
      </c>
      <c r="Y182" s="11" t="s">
        <v>414</v>
      </c>
      <c r="Z182" s="11">
        <v>0.5</v>
      </c>
      <c r="AA182" s="11"/>
      <c r="AB182" s="12">
        <v>45056</v>
      </c>
      <c r="AC182" s="12">
        <v>47978</v>
      </c>
      <c r="AD182" s="14" t="s">
        <v>415</v>
      </c>
      <c r="AE182" s="42"/>
      <c r="AF182" s="42"/>
    </row>
    <row r="183" spans="1:32" ht="90" x14ac:dyDescent="0.25">
      <c r="A183" s="44"/>
      <c r="B183" s="42"/>
      <c r="C183" s="42"/>
      <c r="D183" s="42"/>
      <c r="E183" s="42"/>
      <c r="F183" s="42"/>
      <c r="G183" s="42"/>
      <c r="H183" s="42"/>
      <c r="I183" s="48"/>
      <c r="J183" s="42"/>
      <c r="K183" s="42"/>
      <c r="L183" s="42"/>
      <c r="M183" s="42"/>
      <c r="N183" s="42"/>
      <c r="O183" s="11" t="s">
        <v>65</v>
      </c>
      <c r="P183" s="11" t="s">
        <v>93</v>
      </c>
      <c r="Q183" s="11">
        <v>2013</v>
      </c>
      <c r="R183" s="11">
        <v>0.5</v>
      </c>
      <c r="S183" s="11"/>
      <c r="T183" s="12">
        <v>45091</v>
      </c>
      <c r="U183" s="12">
        <v>48013</v>
      </c>
      <c r="V183" s="13" t="s">
        <v>476</v>
      </c>
      <c r="W183" s="11" t="s">
        <v>52</v>
      </c>
      <c r="X183" s="11" t="s">
        <v>409</v>
      </c>
      <c r="Y183" s="11" t="s">
        <v>418</v>
      </c>
      <c r="Z183" s="11">
        <v>0.5</v>
      </c>
      <c r="AA183" s="11"/>
      <c r="AB183" s="12">
        <v>45056</v>
      </c>
      <c r="AC183" s="12">
        <v>47978</v>
      </c>
      <c r="AD183" s="14" t="s">
        <v>419</v>
      </c>
      <c r="AE183" s="42"/>
      <c r="AF183" s="42"/>
    </row>
    <row r="184" spans="1:32" ht="23.85" customHeight="1" x14ac:dyDescent="0.25">
      <c r="A184" s="44">
        <v>59</v>
      </c>
      <c r="B184" s="42" t="s">
        <v>28</v>
      </c>
      <c r="C184" s="42" t="s">
        <v>29</v>
      </c>
      <c r="D184" s="42">
        <v>104264</v>
      </c>
      <c r="E184" s="42" t="s">
        <v>477</v>
      </c>
      <c r="F184" s="42" t="s">
        <v>405</v>
      </c>
      <c r="G184" s="42" t="s">
        <v>90</v>
      </c>
      <c r="H184" s="42" t="s">
        <v>33</v>
      </c>
      <c r="I184" s="48" t="s">
        <v>478</v>
      </c>
      <c r="J184" s="42" t="s">
        <v>35</v>
      </c>
      <c r="K184" s="42"/>
      <c r="L184" s="42" t="s">
        <v>265</v>
      </c>
      <c r="M184" s="52">
        <v>49668</v>
      </c>
      <c r="N184" s="42" t="s">
        <v>92</v>
      </c>
      <c r="O184" s="11" t="s">
        <v>58</v>
      </c>
      <c r="P184" s="11" t="s">
        <v>93</v>
      </c>
      <c r="Q184" s="11" t="s">
        <v>479</v>
      </c>
      <c r="R184" s="11">
        <v>0.5</v>
      </c>
      <c r="S184" s="11"/>
      <c r="T184" s="12">
        <v>45092</v>
      </c>
      <c r="U184" s="12">
        <v>48014</v>
      </c>
      <c r="V184" s="13" t="s">
        <v>480</v>
      </c>
      <c r="W184" s="11" t="s">
        <v>41</v>
      </c>
      <c r="X184" s="11" t="s">
        <v>409</v>
      </c>
      <c r="Y184" s="11" t="s">
        <v>410</v>
      </c>
      <c r="Z184" s="11">
        <v>0.5</v>
      </c>
      <c r="AA184" s="11"/>
      <c r="AB184" s="12">
        <v>45056</v>
      </c>
      <c r="AC184" s="12">
        <v>47978</v>
      </c>
      <c r="AD184" s="14" t="s">
        <v>411</v>
      </c>
      <c r="AE184" s="42"/>
      <c r="AF184" s="43" t="s">
        <v>45</v>
      </c>
    </row>
    <row r="185" spans="1:32" ht="90" x14ac:dyDescent="0.25">
      <c r="A185" s="44"/>
      <c r="B185" s="42"/>
      <c r="C185" s="42"/>
      <c r="D185" s="42"/>
      <c r="E185" s="42"/>
      <c r="F185" s="42"/>
      <c r="G185" s="42"/>
      <c r="H185" s="42"/>
      <c r="I185" s="48"/>
      <c r="J185" s="42"/>
      <c r="K185" s="42"/>
      <c r="L185" s="42"/>
      <c r="M185" s="42"/>
      <c r="N185" s="42"/>
      <c r="O185" s="11" t="s">
        <v>77</v>
      </c>
      <c r="P185" s="11" t="s">
        <v>77</v>
      </c>
      <c r="Q185" s="11" t="s">
        <v>77</v>
      </c>
      <c r="R185" s="11" t="s">
        <v>77</v>
      </c>
      <c r="S185" s="11"/>
      <c r="T185" s="12" t="s">
        <v>77</v>
      </c>
      <c r="U185" s="12" t="s">
        <v>77</v>
      </c>
      <c r="V185" s="4"/>
      <c r="W185" s="11" t="s">
        <v>41</v>
      </c>
      <c r="X185" s="11" t="s">
        <v>409</v>
      </c>
      <c r="Y185" s="11" t="s">
        <v>414</v>
      </c>
      <c r="Z185" s="11">
        <v>0.5</v>
      </c>
      <c r="AA185" s="11"/>
      <c r="AB185" s="12">
        <v>45056</v>
      </c>
      <c r="AC185" s="12">
        <v>47978</v>
      </c>
      <c r="AD185" s="14" t="s">
        <v>415</v>
      </c>
      <c r="AE185" s="42"/>
      <c r="AF185" s="42"/>
    </row>
    <row r="186" spans="1:32" ht="90" x14ac:dyDescent="0.25">
      <c r="A186" s="44"/>
      <c r="B186" s="42"/>
      <c r="C186" s="42"/>
      <c r="D186" s="42"/>
      <c r="E186" s="42"/>
      <c r="F186" s="42"/>
      <c r="G186" s="42"/>
      <c r="H186" s="42"/>
      <c r="I186" s="48"/>
      <c r="J186" s="42"/>
      <c r="K186" s="42"/>
      <c r="L186" s="42"/>
      <c r="M186" s="42"/>
      <c r="N186" s="42"/>
      <c r="O186" s="11" t="s">
        <v>65</v>
      </c>
      <c r="P186" s="11" t="s">
        <v>93</v>
      </c>
      <c r="Q186" s="11">
        <v>6052</v>
      </c>
      <c r="R186" s="11">
        <v>0.5</v>
      </c>
      <c r="S186" s="11"/>
      <c r="T186" s="12">
        <v>45092</v>
      </c>
      <c r="U186" s="12">
        <v>48014</v>
      </c>
      <c r="V186" s="13" t="s">
        <v>481</v>
      </c>
      <c r="W186" s="11" t="s">
        <v>52</v>
      </c>
      <c r="X186" s="11" t="s">
        <v>409</v>
      </c>
      <c r="Y186" s="11" t="s">
        <v>418</v>
      </c>
      <c r="Z186" s="11">
        <v>0.5</v>
      </c>
      <c r="AA186" s="11"/>
      <c r="AB186" s="12">
        <v>45056</v>
      </c>
      <c r="AC186" s="12">
        <v>47978</v>
      </c>
      <c r="AD186" s="14" t="s">
        <v>419</v>
      </c>
      <c r="AE186" s="42"/>
      <c r="AF186" s="42"/>
    </row>
    <row r="187" spans="1:32" ht="23.85" customHeight="1" x14ac:dyDescent="0.25">
      <c r="A187" s="44">
        <v>60</v>
      </c>
      <c r="B187" s="42" t="s">
        <v>28</v>
      </c>
      <c r="C187" s="42" t="s">
        <v>29</v>
      </c>
      <c r="D187" s="42">
        <v>104264</v>
      </c>
      <c r="E187" s="42" t="s">
        <v>482</v>
      </c>
      <c r="F187" s="42" t="s">
        <v>405</v>
      </c>
      <c r="G187" s="42" t="s">
        <v>90</v>
      </c>
      <c r="H187" s="42" t="s">
        <v>33</v>
      </c>
      <c r="I187" s="48" t="s">
        <v>483</v>
      </c>
      <c r="J187" s="42" t="s">
        <v>35</v>
      </c>
      <c r="K187" s="42"/>
      <c r="L187" s="42" t="s">
        <v>265</v>
      </c>
      <c r="M187" s="52">
        <v>49668</v>
      </c>
      <c r="N187" s="42" t="s">
        <v>92</v>
      </c>
      <c r="O187" s="11" t="s">
        <v>58</v>
      </c>
      <c r="P187" s="11" t="s">
        <v>156</v>
      </c>
      <c r="Q187" s="11" t="s">
        <v>484</v>
      </c>
      <c r="R187" s="11">
        <v>0.5</v>
      </c>
      <c r="S187" s="11"/>
      <c r="T187" s="12">
        <v>45092</v>
      </c>
      <c r="U187" s="12">
        <v>48014</v>
      </c>
      <c r="V187" s="13" t="s">
        <v>485</v>
      </c>
      <c r="W187" s="11" t="s">
        <v>41</v>
      </c>
      <c r="X187" s="11" t="s">
        <v>409</v>
      </c>
      <c r="Y187" s="11" t="s">
        <v>410</v>
      </c>
      <c r="Z187" s="11">
        <v>0.5</v>
      </c>
      <c r="AA187" s="11"/>
      <c r="AB187" s="12">
        <v>45056</v>
      </c>
      <c r="AC187" s="12">
        <v>47978</v>
      </c>
      <c r="AD187" s="14" t="s">
        <v>411</v>
      </c>
      <c r="AE187" s="42"/>
      <c r="AF187" s="43" t="s">
        <v>45</v>
      </c>
    </row>
    <row r="188" spans="1:32" ht="90" x14ac:dyDescent="0.25">
      <c r="A188" s="44"/>
      <c r="B188" s="42"/>
      <c r="C188" s="42"/>
      <c r="D188" s="42"/>
      <c r="E188" s="42"/>
      <c r="F188" s="42"/>
      <c r="G188" s="42"/>
      <c r="H188" s="42"/>
      <c r="I188" s="48"/>
      <c r="J188" s="42"/>
      <c r="K188" s="42"/>
      <c r="L188" s="42"/>
      <c r="M188" s="42"/>
      <c r="N188" s="42"/>
      <c r="O188" s="11" t="s">
        <v>77</v>
      </c>
      <c r="P188" s="11" t="s">
        <v>77</v>
      </c>
      <c r="Q188" s="11" t="s">
        <v>77</v>
      </c>
      <c r="R188" s="11" t="s">
        <v>77</v>
      </c>
      <c r="S188" s="11"/>
      <c r="T188" s="12" t="s">
        <v>77</v>
      </c>
      <c r="U188" s="12" t="s">
        <v>77</v>
      </c>
      <c r="V188" s="4"/>
      <c r="W188" s="11" t="s">
        <v>41</v>
      </c>
      <c r="X188" s="11" t="s">
        <v>409</v>
      </c>
      <c r="Y188" s="11" t="s">
        <v>414</v>
      </c>
      <c r="Z188" s="11">
        <v>0.5</v>
      </c>
      <c r="AA188" s="11"/>
      <c r="AB188" s="12">
        <v>45056</v>
      </c>
      <c r="AC188" s="12">
        <v>47978</v>
      </c>
      <c r="AD188" s="14" t="s">
        <v>415</v>
      </c>
      <c r="AE188" s="42"/>
      <c r="AF188" s="42"/>
    </row>
    <row r="189" spans="1:32" ht="90" x14ac:dyDescent="0.25">
      <c r="A189" s="44"/>
      <c r="B189" s="42"/>
      <c r="C189" s="42"/>
      <c r="D189" s="42"/>
      <c r="E189" s="42"/>
      <c r="F189" s="42"/>
      <c r="G189" s="42"/>
      <c r="H189" s="42"/>
      <c r="I189" s="48"/>
      <c r="J189" s="42"/>
      <c r="K189" s="42"/>
      <c r="L189" s="42"/>
      <c r="M189" s="42"/>
      <c r="N189" s="42"/>
      <c r="O189" s="11" t="s">
        <v>65</v>
      </c>
      <c r="P189" s="11" t="s">
        <v>156</v>
      </c>
      <c r="Q189" s="11">
        <v>13161</v>
      </c>
      <c r="R189" s="11">
        <v>0.5</v>
      </c>
      <c r="S189" s="11"/>
      <c r="T189" s="12">
        <v>45092</v>
      </c>
      <c r="U189" s="12">
        <v>48014</v>
      </c>
      <c r="V189" s="13" t="s">
        <v>486</v>
      </c>
      <c r="W189" s="11" t="s">
        <v>52</v>
      </c>
      <c r="X189" s="11" t="s">
        <v>409</v>
      </c>
      <c r="Y189" s="11" t="s">
        <v>418</v>
      </c>
      <c r="Z189" s="11">
        <v>0.5</v>
      </c>
      <c r="AA189" s="11"/>
      <c r="AB189" s="12">
        <v>45056</v>
      </c>
      <c r="AC189" s="12">
        <v>47978</v>
      </c>
      <c r="AD189" s="14" t="s">
        <v>419</v>
      </c>
      <c r="AE189" s="42"/>
      <c r="AF189" s="42"/>
    </row>
    <row r="190" spans="1:32" ht="23.85" customHeight="1" x14ac:dyDescent="0.25">
      <c r="A190" s="44">
        <v>61</v>
      </c>
      <c r="B190" s="42" t="s">
        <v>28</v>
      </c>
      <c r="C190" s="42" t="s">
        <v>29</v>
      </c>
      <c r="D190" s="42">
        <v>104264</v>
      </c>
      <c r="E190" s="42" t="s">
        <v>487</v>
      </c>
      <c r="F190" s="42" t="s">
        <v>405</v>
      </c>
      <c r="G190" s="42" t="s">
        <v>90</v>
      </c>
      <c r="H190" s="42" t="s">
        <v>33</v>
      </c>
      <c r="I190" s="48" t="s">
        <v>488</v>
      </c>
      <c r="J190" s="42" t="s">
        <v>35</v>
      </c>
      <c r="K190" s="42"/>
      <c r="L190" s="42" t="s">
        <v>265</v>
      </c>
      <c r="M190" s="52">
        <v>49668</v>
      </c>
      <c r="N190" s="42" t="s">
        <v>92</v>
      </c>
      <c r="O190" s="11" t="s">
        <v>58</v>
      </c>
      <c r="P190" s="11" t="s">
        <v>163</v>
      </c>
      <c r="Q190" s="11" t="s">
        <v>489</v>
      </c>
      <c r="R190" s="11">
        <v>0.5</v>
      </c>
      <c r="S190" s="11"/>
      <c r="T190" s="12">
        <v>45092</v>
      </c>
      <c r="U190" s="12">
        <v>48014</v>
      </c>
      <c r="V190" s="13" t="s">
        <v>490</v>
      </c>
      <c r="W190" s="11" t="s">
        <v>41</v>
      </c>
      <c r="X190" s="11" t="s">
        <v>409</v>
      </c>
      <c r="Y190" s="11" t="s">
        <v>410</v>
      </c>
      <c r="Z190" s="11">
        <v>0.5</v>
      </c>
      <c r="AA190" s="11"/>
      <c r="AB190" s="12">
        <v>45056</v>
      </c>
      <c r="AC190" s="12">
        <v>47978</v>
      </c>
      <c r="AD190" s="14" t="s">
        <v>411</v>
      </c>
      <c r="AE190" s="42"/>
      <c r="AF190" s="43" t="s">
        <v>45</v>
      </c>
    </row>
    <row r="191" spans="1:32" ht="90" x14ac:dyDescent="0.25">
      <c r="A191" s="44"/>
      <c r="B191" s="42"/>
      <c r="C191" s="42"/>
      <c r="D191" s="42"/>
      <c r="E191" s="42"/>
      <c r="F191" s="42"/>
      <c r="G191" s="42"/>
      <c r="H191" s="42"/>
      <c r="I191" s="48"/>
      <c r="J191" s="42"/>
      <c r="K191" s="42"/>
      <c r="L191" s="42"/>
      <c r="M191" s="42"/>
      <c r="N191" s="42"/>
      <c r="O191" s="11" t="s">
        <v>77</v>
      </c>
      <c r="P191" s="11" t="s">
        <v>77</v>
      </c>
      <c r="Q191" s="11" t="s">
        <v>77</v>
      </c>
      <c r="R191" s="11" t="s">
        <v>77</v>
      </c>
      <c r="S191" s="11"/>
      <c r="T191" s="12" t="s">
        <v>77</v>
      </c>
      <c r="U191" s="12" t="s">
        <v>77</v>
      </c>
      <c r="V191" s="4"/>
      <c r="W191" s="11" t="s">
        <v>41</v>
      </c>
      <c r="X191" s="11" t="s">
        <v>409</v>
      </c>
      <c r="Y191" s="11" t="s">
        <v>414</v>
      </c>
      <c r="Z191" s="11">
        <v>0.5</v>
      </c>
      <c r="AA191" s="11"/>
      <c r="AB191" s="12">
        <v>45056</v>
      </c>
      <c r="AC191" s="12">
        <v>47978</v>
      </c>
      <c r="AD191" s="14" t="s">
        <v>415</v>
      </c>
      <c r="AE191" s="42"/>
      <c r="AF191" s="42"/>
    </row>
    <row r="192" spans="1:32" ht="90" x14ac:dyDescent="0.25">
      <c r="A192" s="44"/>
      <c r="B192" s="42"/>
      <c r="C192" s="42"/>
      <c r="D192" s="42"/>
      <c r="E192" s="42"/>
      <c r="F192" s="42"/>
      <c r="G192" s="42"/>
      <c r="H192" s="42"/>
      <c r="I192" s="48"/>
      <c r="J192" s="42"/>
      <c r="K192" s="42"/>
      <c r="L192" s="42"/>
      <c r="M192" s="42"/>
      <c r="N192" s="42"/>
      <c r="O192" s="11" t="s">
        <v>65</v>
      </c>
      <c r="P192" s="11" t="s">
        <v>163</v>
      </c>
      <c r="Q192" s="11">
        <v>1162</v>
      </c>
      <c r="R192" s="11">
        <v>0.5</v>
      </c>
      <c r="S192" s="11"/>
      <c r="T192" s="12">
        <v>45092</v>
      </c>
      <c r="U192" s="12">
        <v>48014</v>
      </c>
      <c r="V192" s="13" t="s">
        <v>491</v>
      </c>
      <c r="W192" s="11" t="s">
        <v>52</v>
      </c>
      <c r="X192" s="11" t="s">
        <v>409</v>
      </c>
      <c r="Y192" s="11" t="s">
        <v>418</v>
      </c>
      <c r="Z192" s="11">
        <v>0.5</v>
      </c>
      <c r="AA192" s="11"/>
      <c r="AB192" s="12">
        <v>45056</v>
      </c>
      <c r="AC192" s="12">
        <v>47978</v>
      </c>
      <c r="AD192" s="14" t="s">
        <v>419</v>
      </c>
      <c r="AE192" s="42"/>
      <c r="AF192" s="42"/>
    </row>
    <row r="193" spans="1:32" ht="23.85" customHeight="1" x14ac:dyDescent="0.25">
      <c r="A193" s="44">
        <v>62</v>
      </c>
      <c r="B193" s="42" t="s">
        <v>28</v>
      </c>
      <c r="C193" s="42" t="s">
        <v>29</v>
      </c>
      <c r="D193" s="42">
        <v>104264</v>
      </c>
      <c r="E193" s="42" t="s">
        <v>492</v>
      </c>
      <c r="F193" s="42" t="s">
        <v>405</v>
      </c>
      <c r="G193" s="42" t="s">
        <v>90</v>
      </c>
      <c r="H193" s="42" t="s">
        <v>33</v>
      </c>
      <c r="I193" s="48" t="s">
        <v>493</v>
      </c>
      <c r="J193" s="42" t="s">
        <v>35</v>
      </c>
      <c r="K193" s="42"/>
      <c r="L193" s="42" t="s">
        <v>265</v>
      </c>
      <c r="M193" s="52">
        <v>49668</v>
      </c>
      <c r="N193" s="42" t="s">
        <v>92</v>
      </c>
      <c r="O193" s="11" t="s">
        <v>58</v>
      </c>
      <c r="P193" s="11" t="s">
        <v>156</v>
      </c>
      <c r="Q193" s="11" t="s">
        <v>494</v>
      </c>
      <c r="R193" s="11">
        <v>0.5</v>
      </c>
      <c r="S193" s="11"/>
      <c r="T193" s="12">
        <v>45092</v>
      </c>
      <c r="U193" s="12">
        <v>48014</v>
      </c>
      <c r="V193" s="13" t="s">
        <v>495</v>
      </c>
      <c r="W193" s="11" t="s">
        <v>41</v>
      </c>
      <c r="X193" s="11" t="s">
        <v>409</v>
      </c>
      <c r="Y193" s="11" t="s">
        <v>410</v>
      </c>
      <c r="Z193" s="11">
        <v>0.5</v>
      </c>
      <c r="AA193" s="11"/>
      <c r="AB193" s="12">
        <v>45056</v>
      </c>
      <c r="AC193" s="12">
        <v>47978</v>
      </c>
      <c r="AD193" s="14" t="s">
        <v>411</v>
      </c>
      <c r="AE193" s="42"/>
      <c r="AF193" s="43" t="s">
        <v>45</v>
      </c>
    </row>
    <row r="194" spans="1:32" ht="90" x14ac:dyDescent="0.25">
      <c r="A194" s="44"/>
      <c r="B194" s="42"/>
      <c r="C194" s="42"/>
      <c r="D194" s="42"/>
      <c r="E194" s="42"/>
      <c r="F194" s="42"/>
      <c r="G194" s="42"/>
      <c r="H194" s="42"/>
      <c r="I194" s="48"/>
      <c r="J194" s="42"/>
      <c r="K194" s="42"/>
      <c r="L194" s="42"/>
      <c r="M194" s="42"/>
      <c r="N194" s="42"/>
      <c r="O194" s="11" t="s">
        <v>77</v>
      </c>
      <c r="P194" s="11" t="s">
        <v>77</v>
      </c>
      <c r="Q194" s="11" t="s">
        <v>77</v>
      </c>
      <c r="R194" s="11" t="s">
        <v>77</v>
      </c>
      <c r="S194" s="11"/>
      <c r="T194" s="12" t="s">
        <v>77</v>
      </c>
      <c r="U194" s="12" t="s">
        <v>77</v>
      </c>
      <c r="V194" s="4"/>
      <c r="W194" s="11" t="s">
        <v>41</v>
      </c>
      <c r="X194" s="11" t="s">
        <v>409</v>
      </c>
      <c r="Y194" s="11" t="s">
        <v>414</v>
      </c>
      <c r="Z194" s="11">
        <v>0.5</v>
      </c>
      <c r="AA194" s="11"/>
      <c r="AB194" s="12">
        <v>45056</v>
      </c>
      <c r="AC194" s="12">
        <v>47978</v>
      </c>
      <c r="AD194" s="14" t="s">
        <v>415</v>
      </c>
      <c r="AE194" s="42"/>
      <c r="AF194" s="42"/>
    </row>
    <row r="195" spans="1:32" ht="90" x14ac:dyDescent="0.25">
      <c r="A195" s="44"/>
      <c r="B195" s="42"/>
      <c r="C195" s="42"/>
      <c r="D195" s="42"/>
      <c r="E195" s="42"/>
      <c r="F195" s="42"/>
      <c r="G195" s="42"/>
      <c r="H195" s="42"/>
      <c r="I195" s="48"/>
      <c r="J195" s="42"/>
      <c r="K195" s="42"/>
      <c r="L195" s="42"/>
      <c r="M195" s="42"/>
      <c r="N195" s="42"/>
      <c r="O195" s="11" t="s">
        <v>65</v>
      </c>
      <c r="P195" s="11" t="s">
        <v>156</v>
      </c>
      <c r="Q195" s="11">
        <v>1183</v>
      </c>
      <c r="R195" s="11">
        <v>0.5</v>
      </c>
      <c r="S195" s="11"/>
      <c r="T195" s="12">
        <v>45092</v>
      </c>
      <c r="U195" s="12">
        <v>48014</v>
      </c>
      <c r="V195" s="13" t="s">
        <v>496</v>
      </c>
      <c r="W195" s="11" t="s">
        <v>52</v>
      </c>
      <c r="X195" s="11" t="s">
        <v>409</v>
      </c>
      <c r="Y195" s="11" t="s">
        <v>418</v>
      </c>
      <c r="Z195" s="11">
        <v>0.5</v>
      </c>
      <c r="AA195" s="11"/>
      <c r="AB195" s="12">
        <v>45056</v>
      </c>
      <c r="AC195" s="12">
        <v>47978</v>
      </c>
      <c r="AD195" s="14" t="s">
        <v>419</v>
      </c>
      <c r="AE195" s="42"/>
      <c r="AF195" s="42"/>
    </row>
    <row r="196" spans="1:32" ht="23.85" customHeight="1" x14ac:dyDescent="0.25">
      <c r="A196" s="44">
        <v>63</v>
      </c>
      <c r="B196" s="42" t="s">
        <v>28</v>
      </c>
      <c r="C196" s="42" t="s">
        <v>29</v>
      </c>
      <c r="D196" s="42">
        <v>104264</v>
      </c>
      <c r="E196" s="42" t="s">
        <v>497</v>
      </c>
      <c r="F196" s="42" t="s">
        <v>405</v>
      </c>
      <c r="G196" s="42" t="s">
        <v>90</v>
      </c>
      <c r="H196" s="42" t="s">
        <v>33</v>
      </c>
      <c r="I196" s="48" t="s">
        <v>498</v>
      </c>
      <c r="J196" s="42" t="s">
        <v>35</v>
      </c>
      <c r="K196" s="42"/>
      <c r="L196" s="42" t="s">
        <v>265</v>
      </c>
      <c r="M196" s="52">
        <v>49668</v>
      </c>
      <c r="N196" s="42" t="s">
        <v>92</v>
      </c>
      <c r="O196" s="11" t="s">
        <v>58</v>
      </c>
      <c r="P196" s="11" t="s">
        <v>163</v>
      </c>
      <c r="Q196" s="11" t="s">
        <v>499</v>
      </c>
      <c r="R196" s="11">
        <v>0.5</v>
      </c>
      <c r="S196" s="11"/>
      <c r="T196" s="12">
        <v>45092</v>
      </c>
      <c r="U196" s="12">
        <v>48014</v>
      </c>
      <c r="V196" s="13" t="s">
        <v>500</v>
      </c>
      <c r="W196" s="11" t="s">
        <v>41</v>
      </c>
      <c r="X196" s="11" t="s">
        <v>409</v>
      </c>
      <c r="Y196" s="11" t="s">
        <v>410</v>
      </c>
      <c r="Z196" s="11">
        <v>0.5</v>
      </c>
      <c r="AA196" s="11"/>
      <c r="AB196" s="12">
        <v>45056</v>
      </c>
      <c r="AC196" s="12">
        <v>47978</v>
      </c>
      <c r="AD196" s="14" t="s">
        <v>411</v>
      </c>
      <c r="AE196" s="42"/>
      <c r="AF196" s="43" t="s">
        <v>45</v>
      </c>
    </row>
    <row r="197" spans="1:32" ht="90" x14ac:dyDescent="0.25">
      <c r="A197" s="44"/>
      <c r="B197" s="42"/>
      <c r="C197" s="42"/>
      <c r="D197" s="42"/>
      <c r="E197" s="42"/>
      <c r="F197" s="42"/>
      <c r="G197" s="42"/>
      <c r="H197" s="42"/>
      <c r="I197" s="48"/>
      <c r="J197" s="42"/>
      <c r="K197" s="42"/>
      <c r="L197" s="42"/>
      <c r="M197" s="42"/>
      <c r="N197" s="42"/>
      <c r="O197" s="11" t="s">
        <v>77</v>
      </c>
      <c r="P197" s="11" t="s">
        <v>77</v>
      </c>
      <c r="Q197" s="11" t="s">
        <v>77</v>
      </c>
      <c r="R197" s="11" t="s">
        <v>77</v>
      </c>
      <c r="S197" s="11"/>
      <c r="T197" s="12" t="s">
        <v>77</v>
      </c>
      <c r="U197" s="12" t="s">
        <v>77</v>
      </c>
      <c r="V197" s="4"/>
      <c r="W197" s="11" t="s">
        <v>41</v>
      </c>
      <c r="X197" s="11" t="s">
        <v>409</v>
      </c>
      <c r="Y197" s="11" t="s">
        <v>414</v>
      </c>
      <c r="Z197" s="11">
        <v>0.5</v>
      </c>
      <c r="AA197" s="11"/>
      <c r="AB197" s="12">
        <v>45056</v>
      </c>
      <c r="AC197" s="12">
        <v>47978</v>
      </c>
      <c r="AD197" s="14" t="s">
        <v>415</v>
      </c>
      <c r="AE197" s="42"/>
      <c r="AF197" s="42"/>
    </row>
    <row r="198" spans="1:32" ht="90" x14ac:dyDescent="0.25">
      <c r="A198" s="44"/>
      <c r="B198" s="42"/>
      <c r="C198" s="42"/>
      <c r="D198" s="42"/>
      <c r="E198" s="42"/>
      <c r="F198" s="42"/>
      <c r="G198" s="42"/>
      <c r="H198" s="42"/>
      <c r="I198" s="48"/>
      <c r="J198" s="42"/>
      <c r="K198" s="42"/>
      <c r="L198" s="42"/>
      <c r="M198" s="42"/>
      <c r="N198" s="42"/>
      <c r="O198" s="11" t="s">
        <v>65</v>
      </c>
      <c r="P198" s="11" t="s">
        <v>163</v>
      </c>
      <c r="Q198" s="11">
        <v>1587</v>
      </c>
      <c r="R198" s="11">
        <v>0.5</v>
      </c>
      <c r="S198" s="11"/>
      <c r="T198" s="12">
        <v>45092</v>
      </c>
      <c r="U198" s="12">
        <v>48014</v>
      </c>
      <c r="V198" s="13" t="s">
        <v>501</v>
      </c>
      <c r="W198" s="11" t="s">
        <v>52</v>
      </c>
      <c r="X198" s="11" t="s">
        <v>409</v>
      </c>
      <c r="Y198" s="11" t="s">
        <v>418</v>
      </c>
      <c r="Z198" s="11">
        <v>0.5</v>
      </c>
      <c r="AA198" s="11"/>
      <c r="AB198" s="12">
        <v>45056</v>
      </c>
      <c r="AC198" s="12">
        <v>47978</v>
      </c>
      <c r="AD198" s="14" t="s">
        <v>419</v>
      </c>
      <c r="AE198" s="42"/>
      <c r="AF198" s="42"/>
    </row>
    <row r="199" spans="1:32" ht="23.85" customHeight="1" x14ac:dyDescent="0.25">
      <c r="A199" s="44">
        <v>64</v>
      </c>
      <c r="B199" s="42" t="s">
        <v>28</v>
      </c>
      <c r="C199" s="42" t="s">
        <v>29</v>
      </c>
      <c r="D199" s="42">
        <v>104264</v>
      </c>
      <c r="E199" s="42" t="s">
        <v>502</v>
      </c>
      <c r="F199" s="42" t="s">
        <v>405</v>
      </c>
      <c r="G199" s="42" t="s">
        <v>32</v>
      </c>
      <c r="H199" s="42" t="s">
        <v>69</v>
      </c>
      <c r="I199" s="48" t="s">
        <v>503</v>
      </c>
      <c r="J199" s="42" t="s">
        <v>71</v>
      </c>
      <c r="K199" s="42"/>
      <c r="L199" s="42" t="s">
        <v>341</v>
      </c>
      <c r="M199" s="52">
        <v>47082</v>
      </c>
      <c r="N199" s="53" t="s">
        <v>504</v>
      </c>
      <c r="O199" s="11" t="s">
        <v>58</v>
      </c>
      <c r="P199" s="11" t="s">
        <v>59</v>
      </c>
      <c r="Q199" s="11" t="s">
        <v>505</v>
      </c>
      <c r="R199" s="11">
        <v>0.5</v>
      </c>
      <c r="S199" s="11"/>
      <c r="T199" s="12">
        <v>45092</v>
      </c>
      <c r="U199" s="12">
        <v>48014</v>
      </c>
      <c r="V199" s="13" t="s">
        <v>506</v>
      </c>
      <c r="W199" s="11" t="s">
        <v>41</v>
      </c>
      <c r="X199" s="11" t="s">
        <v>409</v>
      </c>
      <c r="Y199" s="11" t="s">
        <v>410</v>
      </c>
      <c r="Z199" s="11">
        <v>0.5</v>
      </c>
      <c r="AA199" s="11"/>
      <c r="AB199" s="12">
        <v>45056</v>
      </c>
      <c r="AC199" s="12">
        <v>47978</v>
      </c>
      <c r="AD199" s="14" t="s">
        <v>411</v>
      </c>
      <c r="AE199" s="42"/>
      <c r="AF199" s="43" t="s">
        <v>45</v>
      </c>
    </row>
    <row r="200" spans="1:32" ht="90" x14ac:dyDescent="0.25">
      <c r="A200" s="44"/>
      <c r="B200" s="42"/>
      <c r="C200" s="42"/>
      <c r="D200" s="42"/>
      <c r="E200" s="42"/>
      <c r="F200" s="42"/>
      <c r="G200" s="42"/>
      <c r="H200" s="42"/>
      <c r="I200" s="48"/>
      <c r="J200" s="42"/>
      <c r="K200" s="42"/>
      <c r="L200" s="42"/>
      <c r="M200" s="42"/>
      <c r="N200" s="53"/>
      <c r="O200" s="11" t="s">
        <v>58</v>
      </c>
      <c r="P200" s="11" t="s">
        <v>59</v>
      </c>
      <c r="Q200" s="11" t="s">
        <v>507</v>
      </c>
      <c r="R200" s="11">
        <v>0.5</v>
      </c>
      <c r="S200" s="11"/>
      <c r="T200" s="12">
        <v>45092</v>
      </c>
      <c r="U200" s="12">
        <v>48014</v>
      </c>
      <c r="V200" s="13" t="s">
        <v>508</v>
      </c>
      <c r="W200" s="11" t="s">
        <v>41</v>
      </c>
      <c r="X200" s="11" t="s">
        <v>409</v>
      </c>
      <c r="Y200" s="11" t="s">
        <v>414</v>
      </c>
      <c r="Z200" s="11">
        <v>0.5</v>
      </c>
      <c r="AA200" s="11"/>
      <c r="AB200" s="12">
        <v>45056</v>
      </c>
      <c r="AC200" s="12">
        <v>47978</v>
      </c>
      <c r="AD200" s="14" t="s">
        <v>415</v>
      </c>
      <c r="AE200" s="42"/>
      <c r="AF200" s="42"/>
    </row>
    <row r="201" spans="1:32" ht="90" x14ac:dyDescent="0.25">
      <c r="A201" s="44"/>
      <c r="B201" s="42"/>
      <c r="C201" s="42"/>
      <c r="D201" s="42"/>
      <c r="E201" s="42"/>
      <c r="F201" s="42"/>
      <c r="G201" s="42"/>
      <c r="H201" s="42"/>
      <c r="I201" s="48"/>
      <c r="J201" s="42"/>
      <c r="K201" s="42"/>
      <c r="L201" s="42"/>
      <c r="M201" s="42"/>
      <c r="N201" s="53"/>
      <c r="O201" s="11" t="s">
        <v>65</v>
      </c>
      <c r="P201" s="11" t="s">
        <v>59</v>
      </c>
      <c r="Q201" s="11">
        <v>2478</v>
      </c>
      <c r="R201" s="11">
        <v>0.5</v>
      </c>
      <c r="S201" s="11"/>
      <c r="T201" s="12">
        <v>45092</v>
      </c>
      <c r="U201" s="12">
        <v>48014</v>
      </c>
      <c r="V201" s="13" t="s">
        <v>509</v>
      </c>
      <c r="W201" s="11" t="s">
        <v>52</v>
      </c>
      <c r="X201" s="11" t="s">
        <v>409</v>
      </c>
      <c r="Y201" s="11" t="s">
        <v>418</v>
      </c>
      <c r="Z201" s="11">
        <v>0.5</v>
      </c>
      <c r="AA201" s="11"/>
      <c r="AB201" s="12">
        <v>45056</v>
      </c>
      <c r="AC201" s="12">
        <v>47978</v>
      </c>
      <c r="AD201" s="14" t="s">
        <v>419</v>
      </c>
      <c r="AE201" s="42"/>
      <c r="AF201" s="42"/>
    </row>
    <row r="202" spans="1:32" ht="23.85" customHeight="1" x14ac:dyDescent="0.25">
      <c r="A202" s="44">
        <v>65</v>
      </c>
      <c r="B202" s="42" t="s">
        <v>28</v>
      </c>
      <c r="C202" s="42" t="s">
        <v>29</v>
      </c>
      <c r="D202" s="42">
        <v>104264</v>
      </c>
      <c r="E202" s="42" t="s">
        <v>510</v>
      </c>
      <c r="F202" s="42" t="s">
        <v>405</v>
      </c>
      <c r="G202" s="42" t="s">
        <v>32</v>
      </c>
      <c r="H202" s="42" t="s">
        <v>69</v>
      </c>
      <c r="I202" s="48" t="s">
        <v>511</v>
      </c>
      <c r="J202" s="42" t="s">
        <v>71</v>
      </c>
      <c r="K202" s="42"/>
      <c r="L202" s="42" t="s">
        <v>341</v>
      </c>
      <c r="M202" s="52">
        <v>47082</v>
      </c>
      <c r="N202" s="53" t="s">
        <v>512</v>
      </c>
      <c r="O202" s="11" t="s">
        <v>37</v>
      </c>
      <c r="P202" s="11" t="s">
        <v>38</v>
      </c>
      <c r="Q202" s="11" t="s">
        <v>513</v>
      </c>
      <c r="R202" s="11">
        <v>0.5</v>
      </c>
      <c r="S202" s="11"/>
      <c r="T202" s="12" t="s">
        <v>141</v>
      </c>
      <c r="U202" s="12">
        <v>47801</v>
      </c>
      <c r="V202" s="13" t="s">
        <v>514</v>
      </c>
      <c r="W202" s="11" t="s">
        <v>41</v>
      </c>
      <c r="X202" s="11" t="s">
        <v>409</v>
      </c>
      <c r="Y202" s="11" t="s">
        <v>515</v>
      </c>
      <c r="Z202" s="11">
        <v>0.5</v>
      </c>
      <c r="AA202" s="11"/>
      <c r="AB202" s="12">
        <v>45056</v>
      </c>
      <c r="AC202" s="12">
        <v>47978</v>
      </c>
      <c r="AD202" s="14" t="s">
        <v>516</v>
      </c>
      <c r="AE202" s="42"/>
      <c r="AF202" s="43" t="s">
        <v>45</v>
      </c>
    </row>
    <row r="203" spans="1:32" ht="90" x14ac:dyDescent="0.25">
      <c r="A203" s="44"/>
      <c r="B203" s="42"/>
      <c r="C203" s="42"/>
      <c r="D203" s="42"/>
      <c r="E203" s="42"/>
      <c r="F203" s="42"/>
      <c r="G203" s="42"/>
      <c r="H203" s="42"/>
      <c r="I203" s="48"/>
      <c r="J203" s="42"/>
      <c r="K203" s="42"/>
      <c r="L203" s="42"/>
      <c r="M203" s="42"/>
      <c r="N203" s="53"/>
      <c r="O203" s="11" t="s">
        <v>37</v>
      </c>
      <c r="P203" s="11" t="s">
        <v>38</v>
      </c>
      <c r="Q203" s="11" t="s">
        <v>517</v>
      </c>
      <c r="R203" s="11">
        <v>0.5</v>
      </c>
      <c r="S203" s="11"/>
      <c r="T203" s="12" t="s">
        <v>61</v>
      </c>
      <c r="U203" s="12">
        <v>47798</v>
      </c>
      <c r="V203" s="13" t="s">
        <v>518</v>
      </c>
      <c r="W203" s="11" t="s">
        <v>41</v>
      </c>
      <c r="X203" s="11" t="s">
        <v>409</v>
      </c>
      <c r="Y203" s="11" t="s">
        <v>519</v>
      </c>
      <c r="Z203" s="11">
        <v>0.5</v>
      </c>
      <c r="AA203" s="11"/>
      <c r="AB203" s="12">
        <v>45056</v>
      </c>
      <c r="AC203" s="12">
        <v>47978</v>
      </c>
      <c r="AD203" s="14" t="s">
        <v>520</v>
      </c>
      <c r="AE203" s="42"/>
      <c r="AF203" s="42"/>
    </row>
    <row r="204" spans="1:32" ht="90" x14ac:dyDescent="0.25">
      <c r="A204" s="44"/>
      <c r="B204" s="42"/>
      <c r="C204" s="42"/>
      <c r="D204" s="42"/>
      <c r="E204" s="42"/>
      <c r="F204" s="42"/>
      <c r="G204" s="42"/>
      <c r="H204" s="42"/>
      <c r="I204" s="48"/>
      <c r="J204" s="42"/>
      <c r="K204" s="42"/>
      <c r="L204" s="42"/>
      <c r="M204" s="42"/>
      <c r="N204" s="53"/>
      <c r="O204" s="11" t="s">
        <v>50</v>
      </c>
      <c r="P204" s="11" t="s">
        <v>38</v>
      </c>
      <c r="Q204" s="11" t="s">
        <v>521</v>
      </c>
      <c r="R204" s="11">
        <v>0.5</v>
      </c>
      <c r="S204" s="11"/>
      <c r="T204" s="12" t="s">
        <v>79</v>
      </c>
      <c r="U204" s="12">
        <v>47799</v>
      </c>
      <c r="V204" s="13" t="s">
        <v>522</v>
      </c>
      <c r="W204" s="11" t="s">
        <v>52</v>
      </c>
      <c r="X204" s="11" t="s">
        <v>409</v>
      </c>
      <c r="Y204" s="11" t="s">
        <v>523</v>
      </c>
      <c r="Z204" s="11">
        <v>0.5</v>
      </c>
      <c r="AA204" s="11"/>
      <c r="AB204" s="12">
        <v>45056</v>
      </c>
      <c r="AC204" s="12">
        <v>47978</v>
      </c>
      <c r="AD204" s="14" t="s">
        <v>524</v>
      </c>
      <c r="AE204" s="42"/>
      <c r="AF204" s="42"/>
    </row>
    <row r="205" spans="1:32" ht="23.85" customHeight="1" x14ac:dyDescent="0.25">
      <c r="A205" s="44">
        <v>66</v>
      </c>
      <c r="B205" s="42" t="s">
        <v>28</v>
      </c>
      <c r="C205" s="42" t="s">
        <v>29</v>
      </c>
      <c r="D205" s="42">
        <v>104264</v>
      </c>
      <c r="E205" s="42" t="s">
        <v>525</v>
      </c>
      <c r="F205" s="42" t="s">
        <v>405</v>
      </c>
      <c r="G205" s="42" t="s">
        <v>90</v>
      </c>
      <c r="H205" s="42" t="s">
        <v>33</v>
      </c>
      <c r="I205" s="48" t="s">
        <v>526</v>
      </c>
      <c r="J205" s="42" t="s">
        <v>35</v>
      </c>
      <c r="K205" s="42"/>
      <c r="L205" s="42" t="s">
        <v>265</v>
      </c>
      <c r="M205" s="52">
        <v>49668</v>
      </c>
      <c r="N205" s="42" t="s">
        <v>92</v>
      </c>
      <c r="O205" s="11" t="s">
        <v>58</v>
      </c>
      <c r="P205" s="11" t="s">
        <v>93</v>
      </c>
      <c r="Q205" s="11" t="s">
        <v>527</v>
      </c>
      <c r="R205" s="11">
        <v>0.5</v>
      </c>
      <c r="S205" s="11"/>
      <c r="T205" s="12">
        <v>45092</v>
      </c>
      <c r="U205" s="12">
        <v>48014</v>
      </c>
      <c r="V205" s="13" t="s">
        <v>528</v>
      </c>
      <c r="W205" s="11" t="s">
        <v>41</v>
      </c>
      <c r="X205" s="11" t="s">
        <v>409</v>
      </c>
      <c r="Y205" s="11" t="s">
        <v>515</v>
      </c>
      <c r="Z205" s="11">
        <v>0.5</v>
      </c>
      <c r="AA205" s="11"/>
      <c r="AB205" s="12">
        <v>45056</v>
      </c>
      <c r="AC205" s="12">
        <v>47978</v>
      </c>
      <c r="AD205" s="14" t="s">
        <v>516</v>
      </c>
      <c r="AE205" s="42"/>
      <c r="AF205" s="43" t="s">
        <v>45</v>
      </c>
    </row>
    <row r="206" spans="1:32" ht="90" x14ac:dyDescent="0.25">
      <c r="A206" s="44"/>
      <c r="B206" s="42"/>
      <c r="C206" s="42"/>
      <c r="D206" s="42"/>
      <c r="E206" s="42"/>
      <c r="F206" s="42"/>
      <c r="G206" s="42"/>
      <c r="H206" s="42"/>
      <c r="I206" s="48"/>
      <c r="J206" s="42"/>
      <c r="K206" s="42"/>
      <c r="L206" s="42"/>
      <c r="M206" s="42"/>
      <c r="N206" s="42"/>
      <c r="O206" s="11" t="s">
        <v>77</v>
      </c>
      <c r="P206" s="11" t="s">
        <v>77</v>
      </c>
      <c r="Q206" s="11" t="s">
        <v>77</v>
      </c>
      <c r="R206" s="11" t="s">
        <v>77</v>
      </c>
      <c r="S206" s="11"/>
      <c r="T206" s="12" t="s">
        <v>77</v>
      </c>
      <c r="U206" s="12" t="s">
        <v>77</v>
      </c>
      <c r="V206" s="4"/>
      <c r="W206" s="11" t="s">
        <v>41</v>
      </c>
      <c r="X206" s="11" t="s">
        <v>409</v>
      </c>
      <c r="Y206" s="11" t="s">
        <v>519</v>
      </c>
      <c r="Z206" s="11">
        <v>0.5</v>
      </c>
      <c r="AA206" s="11"/>
      <c r="AB206" s="12">
        <v>45056</v>
      </c>
      <c r="AC206" s="12">
        <v>47978</v>
      </c>
      <c r="AD206" s="14" t="s">
        <v>520</v>
      </c>
      <c r="AE206" s="42"/>
      <c r="AF206" s="42"/>
    </row>
    <row r="207" spans="1:32" ht="90" x14ac:dyDescent="0.25">
      <c r="A207" s="44"/>
      <c r="B207" s="42"/>
      <c r="C207" s="42"/>
      <c r="D207" s="42"/>
      <c r="E207" s="42"/>
      <c r="F207" s="42"/>
      <c r="G207" s="42"/>
      <c r="H207" s="42"/>
      <c r="I207" s="48"/>
      <c r="J207" s="42"/>
      <c r="K207" s="42"/>
      <c r="L207" s="42"/>
      <c r="M207" s="42"/>
      <c r="N207" s="42"/>
      <c r="O207" s="11" t="s">
        <v>65</v>
      </c>
      <c r="P207" s="11" t="s">
        <v>93</v>
      </c>
      <c r="Q207" s="11">
        <v>6059</v>
      </c>
      <c r="R207" s="11">
        <v>0.5</v>
      </c>
      <c r="S207" s="11"/>
      <c r="T207" s="12">
        <v>45092</v>
      </c>
      <c r="U207" s="12">
        <v>48014</v>
      </c>
      <c r="V207" s="13" t="s">
        <v>529</v>
      </c>
      <c r="W207" s="11" t="s">
        <v>52</v>
      </c>
      <c r="X207" s="11" t="s">
        <v>409</v>
      </c>
      <c r="Y207" s="11" t="s">
        <v>523</v>
      </c>
      <c r="Z207" s="11">
        <v>0.5</v>
      </c>
      <c r="AA207" s="11"/>
      <c r="AB207" s="12">
        <v>45056</v>
      </c>
      <c r="AC207" s="12">
        <v>47978</v>
      </c>
      <c r="AD207" s="14" t="s">
        <v>524</v>
      </c>
      <c r="AE207" s="42"/>
      <c r="AF207" s="42"/>
    </row>
    <row r="208" spans="1:32" ht="23.85" customHeight="1" x14ac:dyDescent="0.25">
      <c r="A208" s="44">
        <v>67</v>
      </c>
      <c r="B208" s="42" t="s">
        <v>28</v>
      </c>
      <c r="C208" s="42" t="s">
        <v>29</v>
      </c>
      <c r="D208" s="42">
        <v>104264</v>
      </c>
      <c r="E208" s="42" t="s">
        <v>530</v>
      </c>
      <c r="F208" s="42" t="s">
        <v>405</v>
      </c>
      <c r="G208" s="42" t="s">
        <v>32</v>
      </c>
      <c r="H208" s="42" t="s">
        <v>69</v>
      </c>
      <c r="I208" s="48" t="s">
        <v>531</v>
      </c>
      <c r="J208" s="42" t="s">
        <v>71</v>
      </c>
      <c r="K208" s="42"/>
      <c r="L208" s="42" t="s">
        <v>341</v>
      </c>
      <c r="M208" s="52">
        <v>47082</v>
      </c>
      <c r="N208" s="53" t="s">
        <v>532</v>
      </c>
      <c r="O208" s="11" t="s">
        <v>58</v>
      </c>
      <c r="P208" s="11" t="s">
        <v>433</v>
      </c>
      <c r="Q208" s="11" t="s">
        <v>533</v>
      </c>
      <c r="R208" s="11">
        <v>0.5</v>
      </c>
      <c r="S208" s="11"/>
      <c r="T208" s="12">
        <v>45093</v>
      </c>
      <c r="U208" s="12">
        <v>48015</v>
      </c>
      <c r="V208" s="13" t="s">
        <v>534</v>
      </c>
      <c r="W208" s="11" t="s">
        <v>41</v>
      </c>
      <c r="X208" s="11" t="s">
        <v>409</v>
      </c>
      <c r="Y208" s="11" t="s">
        <v>515</v>
      </c>
      <c r="Z208" s="11">
        <v>0.5</v>
      </c>
      <c r="AA208" s="11"/>
      <c r="AB208" s="12">
        <v>45056</v>
      </c>
      <c r="AC208" s="12">
        <v>47978</v>
      </c>
      <c r="AD208" s="14" t="s">
        <v>516</v>
      </c>
      <c r="AE208" s="42"/>
      <c r="AF208" s="43" t="s">
        <v>45</v>
      </c>
    </row>
    <row r="209" spans="1:32" ht="90" x14ac:dyDescent="0.25">
      <c r="A209" s="44"/>
      <c r="B209" s="42"/>
      <c r="C209" s="42"/>
      <c r="D209" s="42"/>
      <c r="E209" s="42"/>
      <c r="F209" s="42"/>
      <c r="G209" s="42"/>
      <c r="H209" s="42"/>
      <c r="I209" s="48"/>
      <c r="J209" s="42"/>
      <c r="K209" s="42"/>
      <c r="L209" s="42"/>
      <c r="M209" s="42"/>
      <c r="N209" s="53"/>
      <c r="O209" s="11" t="s">
        <v>77</v>
      </c>
      <c r="P209" s="11" t="s">
        <v>77</v>
      </c>
      <c r="Q209" s="11" t="s">
        <v>77</v>
      </c>
      <c r="R209" s="11" t="s">
        <v>77</v>
      </c>
      <c r="S209" s="11"/>
      <c r="T209" s="12" t="s">
        <v>77</v>
      </c>
      <c r="U209" s="12" t="s">
        <v>77</v>
      </c>
      <c r="V209" s="4"/>
      <c r="W209" s="11" t="s">
        <v>41</v>
      </c>
      <c r="X209" s="11" t="s">
        <v>409</v>
      </c>
      <c r="Y209" s="11" t="s">
        <v>519</v>
      </c>
      <c r="Z209" s="11">
        <v>0.5</v>
      </c>
      <c r="AA209" s="11"/>
      <c r="AB209" s="12">
        <v>45056</v>
      </c>
      <c r="AC209" s="12">
        <v>47978</v>
      </c>
      <c r="AD209" s="14" t="s">
        <v>520</v>
      </c>
      <c r="AE209" s="42"/>
      <c r="AF209" s="42"/>
    </row>
    <row r="210" spans="1:32" ht="90" x14ac:dyDescent="0.25">
      <c r="A210" s="44"/>
      <c r="B210" s="42"/>
      <c r="C210" s="42"/>
      <c r="D210" s="42"/>
      <c r="E210" s="42"/>
      <c r="F210" s="42"/>
      <c r="G210" s="42"/>
      <c r="H210" s="42"/>
      <c r="I210" s="48"/>
      <c r="J210" s="42"/>
      <c r="K210" s="42"/>
      <c r="L210" s="42"/>
      <c r="M210" s="42"/>
      <c r="N210" s="53"/>
      <c r="O210" s="11" t="s">
        <v>65</v>
      </c>
      <c r="P210" s="11" t="s">
        <v>433</v>
      </c>
      <c r="Q210" s="11">
        <v>1296</v>
      </c>
      <c r="R210" s="11">
        <v>0.5</v>
      </c>
      <c r="S210" s="11"/>
      <c r="T210" s="12">
        <v>45093</v>
      </c>
      <c r="U210" s="12">
        <v>48015</v>
      </c>
      <c r="V210" s="13" t="s">
        <v>535</v>
      </c>
      <c r="W210" s="11" t="s">
        <v>52</v>
      </c>
      <c r="X210" s="11" t="s">
        <v>409</v>
      </c>
      <c r="Y210" s="11" t="s">
        <v>523</v>
      </c>
      <c r="Z210" s="11">
        <v>0.5</v>
      </c>
      <c r="AA210" s="11"/>
      <c r="AB210" s="12">
        <v>45056</v>
      </c>
      <c r="AC210" s="12">
        <v>47978</v>
      </c>
      <c r="AD210" s="14" t="s">
        <v>524</v>
      </c>
      <c r="AE210" s="42"/>
      <c r="AF210" s="42"/>
    </row>
    <row r="211" spans="1:32" ht="23.85" customHeight="1" x14ac:dyDescent="0.25">
      <c r="A211" s="44">
        <v>68</v>
      </c>
      <c r="B211" s="42" t="s">
        <v>28</v>
      </c>
      <c r="C211" s="42" t="s">
        <v>29</v>
      </c>
      <c r="D211" s="42">
        <v>104264</v>
      </c>
      <c r="E211" s="42" t="s">
        <v>536</v>
      </c>
      <c r="F211" s="42" t="s">
        <v>405</v>
      </c>
      <c r="G211" s="42" t="s">
        <v>90</v>
      </c>
      <c r="H211" s="42" t="s">
        <v>33</v>
      </c>
      <c r="I211" s="48" t="s">
        <v>537</v>
      </c>
      <c r="J211" s="42" t="s">
        <v>35</v>
      </c>
      <c r="K211" s="42"/>
      <c r="L211" s="42" t="s">
        <v>265</v>
      </c>
      <c r="M211" s="52">
        <v>49668</v>
      </c>
      <c r="N211" s="42" t="s">
        <v>92</v>
      </c>
      <c r="O211" s="11" t="s">
        <v>58</v>
      </c>
      <c r="P211" s="11" t="s">
        <v>93</v>
      </c>
      <c r="Q211" s="11" t="s">
        <v>538</v>
      </c>
      <c r="R211" s="11">
        <v>0.5</v>
      </c>
      <c r="S211" s="11"/>
      <c r="T211" s="12">
        <v>45093</v>
      </c>
      <c r="U211" s="12">
        <v>48015</v>
      </c>
      <c r="V211" s="13" t="s">
        <v>539</v>
      </c>
      <c r="W211" s="11" t="s">
        <v>41</v>
      </c>
      <c r="X211" s="11" t="s">
        <v>409</v>
      </c>
      <c r="Y211" s="11" t="s">
        <v>515</v>
      </c>
      <c r="Z211" s="11">
        <v>0.5</v>
      </c>
      <c r="AA211" s="11"/>
      <c r="AB211" s="12">
        <v>45056</v>
      </c>
      <c r="AC211" s="12">
        <v>47978</v>
      </c>
      <c r="AD211" s="14" t="s">
        <v>516</v>
      </c>
      <c r="AE211" s="42"/>
      <c r="AF211" s="43" t="s">
        <v>45</v>
      </c>
    </row>
    <row r="212" spans="1:32" ht="90" x14ac:dyDescent="0.25">
      <c r="A212" s="44"/>
      <c r="B212" s="42"/>
      <c r="C212" s="42"/>
      <c r="D212" s="42"/>
      <c r="E212" s="42"/>
      <c r="F212" s="42"/>
      <c r="G212" s="42"/>
      <c r="H212" s="42"/>
      <c r="I212" s="48"/>
      <c r="J212" s="42"/>
      <c r="K212" s="42"/>
      <c r="L212" s="42"/>
      <c r="M212" s="42"/>
      <c r="N212" s="42"/>
      <c r="O212" s="11" t="s">
        <v>77</v>
      </c>
      <c r="P212" s="11" t="s">
        <v>77</v>
      </c>
      <c r="Q212" s="11" t="s">
        <v>77</v>
      </c>
      <c r="R212" s="11" t="s">
        <v>77</v>
      </c>
      <c r="S212" s="11"/>
      <c r="T212" s="12" t="s">
        <v>77</v>
      </c>
      <c r="U212" s="12" t="s">
        <v>77</v>
      </c>
      <c r="V212" s="4"/>
      <c r="W212" s="11" t="s">
        <v>41</v>
      </c>
      <c r="X212" s="11" t="s">
        <v>409</v>
      </c>
      <c r="Y212" s="11" t="s">
        <v>519</v>
      </c>
      <c r="Z212" s="11">
        <v>0.5</v>
      </c>
      <c r="AA212" s="11"/>
      <c r="AB212" s="12">
        <v>45056</v>
      </c>
      <c r="AC212" s="12">
        <v>47978</v>
      </c>
      <c r="AD212" s="14" t="s">
        <v>520</v>
      </c>
      <c r="AE212" s="42"/>
      <c r="AF212" s="42"/>
    </row>
    <row r="213" spans="1:32" ht="90" x14ac:dyDescent="0.25">
      <c r="A213" s="44"/>
      <c r="B213" s="42"/>
      <c r="C213" s="42"/>
      <c r="D213" s="42"/>
      <c r="E213" s="42"/>
      <c r="F213" s="42"/>
      <c r="G213" s="42"/>
      <c r="H213" s="42"/>
      <c r="I213" s="48"/>
      <c r="J213" s="42"/>
      <c r="K213" s="42"/>
      <c r="L213" s="42"/>
      <c r="M213" s="42"/>
      <c r="N213" s="42"/>
      <c r="O213" s="11" t="s">
        <v>65</v>
      </c>
      <c r="P213" s="11" t="s">
        <v>93</v>
      </c>
      <c r="Q213" s="11">
        <v>6022</v>
      </c>
      <c r="R213" s="11">
        <v>0.5</v>
      </c>
      <c r="S213" s="11"/>
      <c r="T213" s="12">
        <v>45093</v>
      </c>
      <c r="U213" s="12">
        <v>48015</v>
      </c>
      <c r="V213" s="13" t="s">
        <v>540</v>
      </c>
      <c r="W213" s="11" t="s">
        <v>52</v>
      </c>
      <c r="X213" s="11" t="s">
        <v>409</v>
      </c>
      <c r="Y213" s="11" t="s">
        <v>523</v>
      </c>
      <c r="Z213" s="11">
        <v>0.5</v>
      </c>
      <c r="AA213" s="11"/>
      <c r="AB213" s="12">
        <v>45056</v>
      </c>
      <c r="AC213" s="12">
        <v>47978</v>
      </c>
      <c r="AD213" s="14" t="s">
        <v>524</v>
      </c>
      <c r="AE213" s="42"/>
      <c r="AF213" s="42"/>
    </row>
    <row r="214" spans="1:32" ht="23.85" customHeight="1" x14ac:dyDescent="0.25">
      <c r="A214" s="44">
        <v>69</v>
      </c>
      <c r="B214" s="42" t="s">
        <v>28</v>
      </c>
      <c r="C214" s="42" t="s">
        <v>29</v>
      </c>
      <c r="D214" s="42">
        <v>104264</v>
      </c>
      <c r="E214" s="42" t="s">
        <v>541</v>
      </c>
      <c r="F214" s="42" t="s">
        <v>405</v>
      </c>
      <c r="G214" s="42" t="s">
        <v>90</v>
      </c>
      <c r="H214" s="42" t="s">
        <v>33</v>
      </c>
      <c r="I214" s="48" t="s">
        <v>542</v>
      </c>
      <c r="J214" s="42" t="s">
        <v>35</v>
      </c>
      <c r="K214" s="42"/>
      <c r="L214" s="42" t="s">
        <v>265</v>
      </c>
      <c r="M214" s="52">
        <v>49668</v>
      </c>
      <c r="N214" s="42" t="s">
        <v>92</v>
      </c>
      <c r="O214" s="11" t="s">
        <v>58</v>
      </c>
      <c r="P214" s="11" t="s">
        <v>163</v>
      </c>
      <c r="Q214" s="11">
        <v>1649</v>
      </c>
      <c r="R214" s="11">
        <v>0.5</v>
      </c>
      <c r="S214" s="11"/>
      <c r="T214" s="12">
        <v>45056</v>
      </c>
      <c r="U214" s="12">
        <v>47978</v>
      </c>
      <c r="V214" s="13" t="s">
        <v>543</v>
      </c>
      <c r="W214" s="11" t="s">
        <v>41</v>
      </c>
      <c r="X214" s="11" t="s">
        <v>409</v>
      </c>
      <c r="Y214" s="11" t="s">
        <v>515</v>
      </c>
      <c r="Z214" s="11">
        <v>0.5</v>
      </c>
      <c r="AA214" s="11"/>
      <c r="AB214" s="12">
        <v>45056</v>
      </c>
      <c r="AC214" s="12">
        <v>47978</v>
      </c>
      <c r="AD214" s="14" t="s">
        <v>516</v>
      </c>
      <c r="AE214" s="42"/>
      <c r="AF214" s="43" t="s">
        <v>45</v>
      </c>
    </row>
    <row r="215" spans="1:32" ht="90" x14ac:dyDescent="0.25">
      <c r="A215" s="44"/>
      <c r="B215" s="42"/>
      <c r="C215" s="42"/>
      <c r="D215" s="42"/>
      <c r="E215" s="42"/>
      <c r="F215" s="42"/>
      <c r="G215" s="42"/>
      <c r="H215" s="42"/>
      <c r="I215" s="48"/>
      <c r="J215" s="42"/>
      <c r="K215" s="42"/>
      <c r="L215" s="42"/>
      <c r="M215" s="42"/>
      <c r="N215" s="42"/>
      <c r="O215" s="11" t="s">
        <v>77</v>
      </c>
      <c r="P215" s="11" t="s">
        <v>77</v>
      </c>
      <c r="Q215" s="11" t="s">
        <v>77</v>
      </c>
      <c r="R215" s="11" t="s">
        <v>77</v>
      </c>
      <c r="S215" s="11"/>
      <c r="T215" s="12" t="s">
        <v>77</v>
      </c>
      <c r="U215" s="12" t="s">
        <v>77</v>
      </c>
      <c r="V215" s="4"/>
      <c r="W215" s="11" t="s">
        <v>41</v>
      </c>
      <c r="X215" s="11" t="s">
        <v>409</v>
      </c>
      <c r="Y215" s="11" t="s">
        <v>519</v>
      </c>
      <c r="Z215" s="11">
        <v>0.5</v>
      </c>
      <c r="AA215" s="11"/>
      <c r="AB215" s="12">
        <v>45056</v>
      </c>
      <c r="AC215" s="12">
        <v>47978</v>
      </c>
      <c r="AD215" s="14" t="s">
        <v>520</v>
      </c>
      <c r="AE215" s="42"/>
      <c r="AF215" s="42"/>
    </row>
    <row r="216" spans="1:32" ht="90" x14ac:dyDescent="0.25">
      <c r="A216" s="44"/>
      <c r="B216" s="42"/>
      <c r="C216" s="42"/>
      <c r="D216" s="42"/>
      <c r="E216" s="42"/>
      <c r="F216" s="42"/>
      <c r="G216" s="42"/>
      <c r="H216" s="42"/>
      <c r="I216" s="48"/>
      <c r="J216" s="42"/>
      <c r="K216" s="42"/>
      <c r="L216" s="42"/>
      <c r="M216" s="42"/>
      <c r="N216" s="42"/>
      <c r="O216" s="11" t="s">
        <v>65</v>
      </c>
      <c r="P216" s="11" t="s">
        <v>163</v>
      </c>
      <c r="Q216" s="11">
        <v>1586</v>
      </c>
      <c r="R216" s="11">
        <v>0.5</v>
      </c>
      <c r="S216" s="11"/>
      <c r="T216" s="12">
        <v>45093</v>
      </c>
      <c r="U216" s="12">
        <v>48015</v>
      </c>
      <c r="V216" s="13" t="s">
        <v>544</v>
      </c>
      <c r="W216" s="11" t="s">
        <v>52</v>
      </c>
      <c r="X216" s="11" t="s">
        <v>409</v>
      </c>
      <c r="Y216" s="11" t="s">
        <v>523</v>
      </c>
      <c r="Z216" s="11">
        <v>0.5</v>
      </c>
      <c r="AA216" s="11"/>
      <c r="AB216" s="12">
        <v>45056</v>
      </c>
      <c r="AC216" s="12">
        <v>47978</v>
      </c>
      <c r="AD216" s="14" t="s">
        <v>524</v>
      </c>
      <c r="AE216" s="42"/>
      <c r="AF216" s="42"/>
    </row>
    <row r="217" spans="1:32" ht="23.85" customHeight="1" x14ac:dyDescent="0.25">
      <c r="A217" s="44">
        <v>70</v>
      </c>
      <c r="B217" s="42" t="s">
        <v>28</v>
      </c>
      <c r="C217" s="42" t="s">
        <v>29</v>
      </c>
      <c r="D217" s="42">
        <v>104264</v>
      </c>
      <c r="E217" s="42" t="s">
        <v>545</v>
      </c>
      <c r="F217" s="42" t="s">
        <v>405</v>
      </c>
      <c r="G217" s="42" t="s">
        <v>90</v>
      </c>
      <c r="H217" s="42" t="s">
        <v>33</v>
      </c>
      <c r="I217" s="48" t="s">
        <v>546</v>
      </c>
      <c r="J217" s="42" t="s">
        <v>35</v>
      </c>
      <c r="K217" s="42"/>
      <c r="L217" s="42" t="s">
        <v>265</v>
      </c>
      <c r="M217" s="52">
        <v>49668</v>
      </c>
      <c r="N217" s="42" t="s">
        <v>92</v>
      </c>
      <c r="O217" s="11" t="s">
        <v>58</v>
      </c>
      <c r="P217" s="11" t="s">
        <v>156</v>
      </c>
      <c r="Q217" s="11" t="s">
        <v>547</v>
      </c>
      <c r="R217" s="11">
        <v>0.5</v>
      </c>
      <c r="S217" s="11"/>
      <c r="T217" s="12">
        <v>45093</v>
      </c>
      <c r="U217" s="12">
        <v>48015</v>
      </c>
      <c r="V217" s="13" t="s">
        <v>548</v>
      </c>
      <c r="W217" s="11" t="s">
        <v>41</v>
      </c>
      <c r="X217" s="11" t="s">
        <v>409</v>
      </c>
      <c r="Y217" s="11" t="s">
        <v>515</v>
      </c>
      <c r="Z217" s="11">
        <v>0.5</v>
      </c>
      <c r="AA217" s="11"/>
      <c r="AB217" s="12">
        <v>45056</v>
      </c>
      <c r="AC217" s="12">
        <v>47978</v>
      </c>
      <c r="AD217" s="14" t="s">
        <v>516</v>
      </c>
      <c r="AE217" s="42"/>
      <c r="AF217" s="43" t="s">
        <v>45</v>
      </c>
    </row>
    <row r="218" spans="1:32" ht="90" x14ac:dyDescent="0.25">
      <c r="A218" s="44"/>
      <c r="B218" s="42"/>
      <c r="C218" s="42"/>
      <c r="D218" s="42"/>
      <c r="E218" s="42"/>
      <c r="F218" s="42"/>
      <c r="G218" s="42"/>
      <c r="H218" s="42"/>
      <c r="I218" s="48"/>
      <c r="J218" s="42"/>
      <c r="K218" s="42"/>
      <c r="L218" s="42"/>
      <c r="M218" s="42"/>
      <c r="N218" s="42"/>
      <c r="O218" s="11" t="s">
        <v>77</v>
      </c>
      <c r="P218" s="11" t="s">
        <v>77</v>
      </c>
      <c r="Q218" s="11" t="s">
        <v>77</v>
      </c>
      <c r="R218" s="11" t="s">
        <v>77</v>
      </c>
      <c r="S218" s="11"/>
      <c r="T218" s="12" t="s">
        <v>77</v>
      </c>
      <c r="U218" s="12" t="s">
        <v>77</v>
      </c>
      <c r="V218" s="4"/>
      <c r="W218" s="11" t="s">
        <v>41</v>
      </c>
      <c r="X218" s="11" t="s">
        <v>409</v>
      </c>
      <c r="Y218" s="11" t="s">
        <v>519</v>
      </c>
      <c r="Z218" s="11">
        <v>0.5</v>
      </c>
      <c r="AA218" s="11"/>
      <c r="AB218" s="12">
        <v>45056</v>
      </c>
      <c r="AC218" s="12">
        <v>47978</v>
      </c>
      <c r="AD218" s="14" t="s">
        <v>520</v>
      </c>
      <c r="AE218" s="42"/>
      <c r="AF218" s="42"/>
    </row>
    <row r="219" spans="1:32" ht="90" x14ac:dyDescent="0.25">
      <c r="A219" s="44"/>
      <c r="B219" s="42"/>
      <c r="C219" s="42"/>
      <c r="D219" s="42"/>
      <c r="E219" s="42"/>
      <c r="F219" s="42"/>
      <c r="G219" s="42"/>
      <c r="H219" s="42"/>
      <c r="I219" s="48"/>
      <c r="J219" s="42"/>
      <c r="K219" s="42"/>
      <c r="L219" s="42"/>
      <c r="M219" s="42"/>
      <c r="N219" s="42"/>
      <c r="O219" s="11" t="s">
        <v>65</v>
      </c>
      <c r="P219" s="11" t="s">
        <v>156</v>
      </c>
      <c r="Q219" s="11">
        <v>1182</v>
      </c>
      <c r="R219" s="11">
        <v>0.5</v>
      </c>
      <c r="S219" s="11"/>
      <c r="T219" s="12">
        <v>45093</v>
      </c>
      <c r="U219" s="12">
        <v>48015</v>
      </c>
      <c r="V219" s="13" t="s">
        <v>549</v>
      </c>
      <c r="W219" s="11" t="s">
        <v>52</v>
      </c>
      <c r="X219" s="11" t="s">
        <v>409</v>
      </c>
      <c r="Y219" s="11" t="s">
        <v>523</v>
      </c>
      <c r="Z219" s="11">
        <v>0.5</v>
      </c>
      <c r="AA219" s="11"/>
      <c r="AB219" s="12">
        <v>45056</v>
      </c>
      <c r="AC219" s="12">
        <v>47978</v>
      </c>
      <c r="AD219" s="14" t="s">
        <v>524</v>
      </c>
      <c r="AE219" s="42"/>
      <c r="AF219" s="42"/>
    </row>
    <row r="220" spans="1:32" ht="23.85" customHeight="1" x14ac:dyDescent="0.25">
      <c r="A220" s="44">
        <v>71</v>
      </c>
      <c r="B220" s="42" t="s">
        <v>28</v>
      </c>
      <c r="C220" s="42" t="s">
        <v>29</v>
      </c>
      <c r="D220" s="42">
        <v>104264</v>
      </c>
      <c r="E220" s="42" t="s">
        <v>550</v>
      </c>
      <c r="F220" s="42" t="s">
        <v>405</v>
      </c>
      <c r="G220" s="42" t="s">
        <v>107</v>
      </c>
      <c r="H220" s="42" t="s">
        <v>33</v>
      </c>
      <c r="I220" s="48" t="s">
        <v>551</v>
      </c>
      <c r="J220" s="42" t="s">
        <v>35</v>
      </c>
      <c r="K220" s="42"/>
      <c r="L220" s="42" t="s">
        <v>265</v>
      </c>
      <c r="M220" s="52">
        <v>49668</v>
      </c>
      <c r="N220" s="42" t="s">
        <v>92</v>
      </c>
      <c r="O220" s="11" t="s">
        <v>58</v>
      </c>
      <c r="P220" s="11" t="s">
        <v>116</v>
      </c>
      <c r="Q220" s="11" t="s">
        <v>552</v>
      </c>
      <c r="R220" s="11">
        <v>0.5</v>
      </c>
      <c r="S220" s="11"/>
      <c r="T220" s="12">
        <v>45093</v>
      </c>
      <c r="U220" s="12">
        <v>48015</v>
      </c>
      <c r="V220" s="13" t="s">
        <v>553</v>
      </c>
      <c r="W220" s="11" t="s">
        <v>41</v>
      </c>
      <c r="X220" s="11" t="s">
        <v>409</v>
      </c>
      <c r="Y220" s="11" t="s">
        <v>515</v>
      </c>
      <c r="Z220" s="11">
        <v>0.5</v>
      </c>
      <c r="AA220" s="11"/>
      <c r="AB220" s="12">
        <v>45056</v>
      </c>
      <c r="AC220" s="12">
        <v>47978</v>
      </c>
      <c r="AD220" s="14" t="s">
        <v>516</v>
      </c>
      <c r="AE220" s="42"/>
      <c r="AF220" s="43" t="s">
        <v>45</v>
      </c>
    </row>
    <row r="221" spans="1:32" ht="90" x14ac:dyDescent="0.25">
      <c r="A221" s="44"/>
      <c r="B221" s="42"/>
      <c r="C221" s="42"/>
      <c r="D221" s="42"/>
      <c r="E221" s="42"/>
      <c r="F221" s="42"/>
      <c r="G221" s="42"/>
      <c r="H221" s="42"/>
      <c r="I221" s="48"/>
      <c r="J221" s="42"/>
      <c r="K221" s="42"/>
      <c r="L221" s="42"/>
      <c r="M221" s="42"/>
      <c r="N221" s="42"/>
      <c r="O221" s="11" t="s">
        <v>77</v>
      </c>
      <c r="P221" s="11" t="s">
        <v>77</v>
      </c>
      <c r="Q221" s="11" t="s">
        <v>77</v>
      </c>
      <c r="R221" s="11" t="s">
        <v>77</v>
      </c>
      <c r="S221" s="11"/>
      <c r="T221" s="12" t="s">
        <v>77</v>
      </c>
      <c r="U221" s="12" t="s">
        <v>77</v>
      </c>
      <c r="V221" s="4"/>
      <c r="W221" s="11" t="s">
        <v>41</v>
      </c>
      <c r="X221" s="11" t="s">
        <v>409</v>
      </c>
      <c r="Y221" s="11" t="s">
        <v>519</v>
      </c>
      <c r="Z221" s="11">
        <v>0.5</v>
      </c>
      <c r="AA221" s="11"/>
      <c r="AB221" s="12">
        <v>45056</v>
      </c>
      <c r="AC221" s="12">
        <v>47978</v>
      </c>
      <c r="AD221" s="14" t="s">
        <v>520</v>
      </c>
      <c r="AE221" s="42"/>
      <c r="AF221" s="42"/>
    </row>
    <row r="222" spans="1:32" ht="90" x14ac:dyDescent="0.25">
      <c r="A222" s="44"/>
      <c r="B222" s="42"/>
      <c r="C222" s="42"/>
      <c r="D222" s="42"/>
      <c r="E222" s="42"/>
      <c r="F222" s="42"/>
      <c r="G222" s="42"/>
      <c r="H222" s="42"/>
      <c r="I222" s="48"/>
      <c r="J222" s="42"/>
      <c r="K222" s="42"/>
      <c r="L222" s="42"/>
      <c r="M222" s="42"/>
      <c r="N222" s="42"/>
      <c r="O222" s="11" t="s">
        <v>65</v>
      </c>
      <c r="P222" s="11" t="s">
        <v>116</v>
      </c>
      <c r="Q222" s="11">
        <v>1910</v>
      </c>
      <c r="R222" s="11">
        <v>0.5</v>
      </c>
      <c r="S222" s="11"/>
      <c r="T222" s="12">
        <v>45093</v>
      </c>
      <c r="U222" s="12">
        <v>48015</v>
      </c>
      <c r="V222" s="13" t="s">
        <v>554</v>
      </c>
      <c r="W222" s="11" t="s">
        <v>52</v>
      </c>
      <c r="X222" s="11" t="s">
        <v>409</v>
      </c>
      <c r="Y222" s="11" t="s">
        <v>523</v>
      </c>
      <c r="Z222" s="11">
        <v>0.5</v>
      </c>
      <c r="AA222" s="11"/>
      <c r="AB222" s="12">
        <v>45056</v>
      </c>
      <c r="AC222" s="12">
        <v>47978</v>
      </c>
      <c r="AD222" s="14" t="s">
        <v>524</v>
      </c>
      <c r="AE222" s="42"/>
      <c r="AF222" s="42"/>
    </row>
    <row r="223" spans="1:32" ht="23.85" customHeight="1" x14ac:dyDescent="0.25">
      <c r="A223" s="44">
        <v>72</v>
      </c>
      <c r="B223" s="42" t="s">
        <v>28</v>
      </c>
      <c r="C223" s="42" t="s">
        <v>29</v>
      </c>
      <c r="D223" s="42">
        <v>104264</v>
      </c>
      <c r="E223" s="42" t="s">
        <v>555</v>
      </c>
      <c r="F223" s="42" t="s">
        <v>405</v>
      </c>
      <c r="G223" s="42" t="s">
        <v>90</v>
      </c>
      <c r="H223" s="42" t="s">
        <v>33</v>
      </c>
      <c r="I223" s="48" t="s">
        <v>556</v>
      </c>
      <c r="J223" s="42" t="s">
        <v>35</v>
      </c>
      <c r="K223" s="42"/>
      <c r="L223" s="42" t="s">
        <v>265</v>
      </c>
      <c r="M223" s="52">
        <v>49668</v>
      </c>
      <c r="N223" s="42" t="s">
        <v>92</v>
      </c>
      <c r="O223" s="11" t="s">
        <v>58</v>
      </c>
      <c r="P223" s="11" t="s">
        <v>156</v>
      </c>
      <c r="Q223" s="11" t="s">
        <v>557</v>
      </c>
      <c r="R223" s="11">
        <v>0.5</v>
      </c>
      <c r="S223" s="11"/>
      <c r="T223" s="12">
        <v>45093</v>
      </c>
      <c r="U223" s="12">
        <v>48015</v>
      </c>
      <c r="V223" s="13" t="s">
        <v>558</v>
      </c>
      <c r="W223" s="11" t="s">
        <v>41</v>
      </c>
      <c r="X223" s="11" t="s">
        <v>409</v>
      </c>
      <c r="Y223" s="11" t="s">
        <v>515</v>
      </c>
      <c r="Z223" s="11">
        <v>0.5</v>
      </c>
      <c r="AA223" s="11"/>
      <c r="AB223" s="12">
        <v>45056</v>
      </c>
      <c r="AC223" s="12">
        <v>47978</v>
      </c>
      <c r="AD223" s="14" t="s">
        <v>516</v>
      </c>
      <c r="AE223" s="42"/>
      <c r="AF223" s="43" t="s">
        <v>45</v>
      </c>
    </row>
    <row r="224" spans="1:32" ht="90" x14ac:dyDescent="0.25">
      <c r="A224" s="44"/>
      <c r="B224" s="42"/>
      <c r="C224" s="42"/>
      <c r="D224" s="42"/>
      <c r="E224" s="42"/>
      <c r="F224" s="42"/>
      <c r="G224" s="42"/>
      <c r="H224" s="42"/>
      <c r="I224" s="48"/>
      <c r="J224" s="42"/>
      <c r="K224" s="42"/>
      <c r="L224" s="42"/>
      <c r="M224" s="42"/>
      <c r="N224" s="42"/>
      <c r="O224" s="11" t="s">
        <v>77</v>
      </c>
      <c r="P224" s="11" t="s">
        <v>77</v>
      </c>
      <c r="Q224" s="11" t="s">
        <v>77</v>
      </c>
      <c r="R224" s="11" t="s">
        <v>77</v>
      </c>
      <c r="S224" s="11"/>
      <c r="T224" s="12" t="s">
        <v>77</v>
      </c>
      <c r="U224" s="12" t="s">
        <v>77</v>
      </c>
      <c r="V224" s="4"/>
      <c r="W224" s="11" t="s">
        <v>41</v>
      </c>
      <c r="X224" s="11" t="s">
        <v>409</v>
      </c>
      <c r="Y224" s="11" t="s">
        <v>519</v>
      </c>
      <c r="Z224" s="11">
        <v>0.5</v>
      </c>
      <c r="AA224" s="11"/>
      <c r="AB224" s="12">
        <v>45056</v>
      </c>
      <c r="AC224" s="12">
        <v>47978</v>
      </c>
      <c r="AD224" s="14" t="s">
        <v>520</v>
      </c>
      <c r="AE224" s="42"/>
      <c r="AF224" s="42"/>
    </row>
    <row r="225" spans="1:32" ht="90" x14ac:dyDescent="0.25">
      <c r="A225" s="44"/>
      <c r="B225" s="42"/>
      <c r="C225" s="42"/>
      <c r="D225" s="42"/>
      <c r="E225" s="42"/>
      <c r="F225" s="42"/>
      <c r="G225" s="42"/>
      <c r="H225" s="42"/>
      <c r="I225" s="48"/>
      <c r="J225" s="42"/>
      <c r="K225" s="42"/>
      <c r="L225" s="42"/>
      <c r="M225" s="42"/>
      <c r="N225" s="42"/>
      <c r="O225" s="11" t="s">
        <v>65</v>
      </c>
      <c r="P225" s="11" t="s">
        <v>156</v>
      </c>
      <c r="Q225" s="11">
        <v>913</v>
      </c>
      <c r="R225" s="11">
        <v>0.5</v>
      </c>
      <c r="S225" s="11"/>
      <c r="T225" s="12">
        <v>45093</v>
      </c>
      <c r="U225" s="12">
        <v>48015</v>
      </c>
      <c r="V225" s="13" t="s">
        <v>559</v>
      </c>
      <c r="W225" s="11" t="s">
        <v>52</v>
      </c>
      <c r="X225" s="11" t="s">
        <v>409</v>
      </c>
      <c r="Y225" s="11" t="s">
        <v>523</v>
      </c>
      <c r="Z225" s="11">
        <v>0.5</v>
      </c>
      <c r="AA225" s="11"/>
      <c r="AB225" s="12">
        <v>45056</v>
      </c>
      <c r="AC225" s="12">
        <v>47978</v>
      </c>
      <c r="AD225" s="14" t="s">
        <v>524</v>
      </c>
      <c r="AE225" s="42"/>
      <c r="AF225" s="42"/>
    </row>
    <row r="226" spans="1:32" ht="23.85" customHeight="1" x14ac:dyDescent="0.25">
      <c r="A226" s="44">
        <v>73</v>
      </c>
      <c r="B226" s="42" t="s">
        <v>28</v>
      </c>
      <c r="C226" s="42" t="s">
        <v>29</v>
      </c>
      <c r="D226" s="42">
        <v>104264</v>
      </c>
      <c r="E226" s="42" t="s">
        <v>560</v>
      </c>
      <c r="F226" s="42" t="s">
        <v>405</v>
      </c>
      <c r="G226" s="42" t="s">
        <v>90</v>
      </c>
      <c r="H226" s="42" t="s">
        <v>33</v>
      </c>
      <c r="I226" s="48" t="s">
        <v>561</v>
      </c>
      <c r="J226" s="42" t="s">
        <v>35</v>
      </c>
      <c r="K226" s="42"/>
      <c r="L226" s="42" t="s">
        <v>265</v>
      </c>
      <c r="M226" s="52">
        <v>49668</v>
      </c>
      <c r="N226" s="42" t="s">
        <v>92</v>
      </c>
      <c r="O226" s="11" t="s">
        <v>58</v>
      </c>
      <c r="P226" s="11" t="s">
        <v>156</v>
      </c>
      <c r="Q226" s="11">
        <v>1147</v>
      </c>
      <c r="R226" s="11">
        <v>0.5</v>
      </c>
      <c r="S226" s="11"/>
      <c r="T226" s="12">
        <v>45092</v>
      </c>
      <c r="U226" s="12">
        <v>48014</v>
      </c>
      <c r="V226" s="13" t="s">
        <v>490</v>
      </c>
      <c r="W226" s="11" t="s">
        <v>41</v>
      </c>
      <c r="X226" s="11" t="s">
        <v>409</v>
      </c>
      <c r="Y226" s="11" t="s">
        <v>515</v>
      </c>
      <c r="Z226" s="11">
        <v>0.5</v>
      </c>
      <c r="AA226" s="11"/>
      <c r="AB226" s="12">
        <v>45056</v>
      </c>
      <c r="AC226" s="12">
        <v>47978</v>
      </c>
      <c r="AD226" s="14" t="s">
        <v>516</v>
      </c>
      <c r="AE226" s="42"/>
      <c r="AF226" s="43" t="s">
        <v>45</v>
      </c>
    </row>
    <row r="227" spans="1:32" ht="90" x14ac:dyDescent="0.25">
      <c r="A227" s="44"/>
      <c r="B227" s="42"/>
      <c r="C227" s="42"/>
      <c r="D227" s="42"/>
      <c r="E227" s="42"/>
      <c r="F227" s="42"/>
      <c r="G227" s="42"/>
      <c r="H227" s="42"/>
      <c r="I227" s="48"/>
      <c r="J227" s="42"/>
      <c r="K227" s="42"/>
      <c r="L227" s="42"/>
      <c r="M227" s="42"/>
      <c r="N227" s="42"/>
      <c r="O227" s="11" t="s">
        <v>77</v>
      </c>
      <c r="P227" s="11" t="s">
        <v>77</v>
      </c>
      <c r="Q227" s="11" t="s">
        <v>77</v>
      </c>
      <c r="R227" s="11" t="s">
        <v>77</v>
      </c>
      <c r="S227" s="11"/>
      <c r="T227" s="12" t="s">
        <v>77</v>
      </c>
      <c r="U227" s="12" t="s">
        <v>77</v>
      </c>
      <c r="V227" s="4"/>
      <c r="W227" s="11" t="s">
        <v>41</v>
      </c>
      <c r="X227" s="11" t="s">
        <v>409</v>
      </c>
      <c r="Y227" s="11" t="s">
        <v>519</v>
      </c>
      <c r="Z227" s="11">
        <v>0.5</v>
      </c>
      <c r="AA227" s="11"/>
      <c r="AB227" s="12">
        <v>45056</v>
      </c>
      <c r="AC227" s="12">
        <v>47978</v>
      </c>
      <c r="AD227" s="14" t="s">
        <v>520</v>
      </c>
      <c r="AE227" s="42"/>
      <c r="AF227" s="42"/>
    </row>
    <row r="228" spans="1:32" ht="90" x14ac:dyDescent="0.25">
      <c r="A228" s="44"/>
      <c r="B228" s="42"/>
      <c r="C228" s="42"/>
      <c r="D228" s="42"/>
      <c r="E228" s="42"/>
      <c r="F228" s="42"/>
      <c r="G228" s="42"/>
      <c r="H228" s="42"/>
      <c r="I228" s="48"/>
      <c r="J228" s="42"/>
      <c r="K228" s="42"/>
      <c r="L228" s="42"/>
      <c r="M228" s="42"/>
      <c r="N228" s="42"/>
      <c r="O228" s="11" t="s">
        <v>65</v>
      </c>
      <c r="P228" s="11" t="s">
        <v>156</v>
      </c>
      <c r="Q228" s="11">
        <v>1566</v>
      </c>
      <c r="R228" s="11">
        <v>0.5</v>
      </c>
      <c r="S228" s="11"/>
      <c r="T228" s="12">
        <v>45093</v>
      </c>
      <c r="U228" s="12">
        <v>48015</v>
      </c>
      <c r="V228" s="13" t="s">
        <v>558</v>
      </c>
      <c r="W228" s="11" t="s">
        <v>52</v>
      </c>
      <c r="X228" s="11" t="s">
        <v>409</v>
      </c>
      <c r="Y228" s="11" t="s">
        <v>523</v>
      </c>
      <c r="Z228" s="11">
        <v>0.5</v>
      </c>
      <c r="AA228" s="11"/>
      <c r="AB228" s="12">
        <v>45056</v>
      </c>
      <c r="AC228" s="12">
        <v>47978</v>
      </c>
      <c r="AD228" s="14" t="s">
        <v>524</v>
      </c>
      <c r="AE228" s="42"/>
      <c r="AF228" s="42"/>
    </row>
    <row r="229" spans="1:32" ht="23.85" customHeight="1" x14ac:dyDescent="0.25">
      <c r="A229" s="44">
        <v>74</v>
      </c>
      <c r="B229" s="42" t="s">
        <v>28</v>
      </c>
      <c r="C229" s="42" t="s">
        <v>29</v>
      </c>
      <c r="D229" s="42">
        <v>104264</v>
      </c>
      <c r="E229" s="42" t="s">
        <v>562</v>
      </c>
      <c r="F229" s="42" t="s">
        <v>405</v>
      </c>
      <c r="G229" s="42" t="s">
        <v>90</v>
      </c>
      <c r="H229" s="42" t="s">
        <v>33</v>
      </c>
      <c r="I229" s="48" t="s">
        <v>563</v>
      </c>
      <c r="J229" s="42" t="s">
        <v>35</v>
      </c>
      <c r="K229" s="42"/>
      <c r="L229" s="42" t="s">
        <v>265</v>
      </c>
      <c r="M229" s="52">
        <v>49668</v>
      </c>
      <c r="N229" s="42" t="s">
        <v>92</v>
      </c>
      <c r="O229" s="11" t="s">
        <v>58</v>
      </c>
      <c r="P229" s="11" t="s">
        <v>163</v>
      </c>
      <c r="Q229" s="11">
        <v>1825</v>
      </c>
      <c r="R229" s="11">
        <v>0.5</v>
      </c>
      <c r="S229" s="11"/>
      <c r="T229" s="12">
        <v>45093</v>
      </c>
      <c r="U229" s="12">
        <v>48015</v>
      </c>
      <c r="V229" s="13" t="s">
        <v>564</v>
      </c>
      <c r="W229" s="11" t="s">
        <v>41</v>
      </c>
      <c r="X229" s="11" t="s">
        <v>409</v>
      </c>
      <c r="Y229" s="11" t="s">
        <v>515</v>
      </c>
      <c r="Z229" s="11">
        <v>0.5</v>
      </c>
      <c r="AA229" s="11"/>
      <c r="AB229" s="12">
        <v>45056</v>
      </c>
      <c r="AC229" s="12">
        <v>47978</v>
      </c>
      <c r="AD229" s="14" t="s">
        <v>516</v>
      </c>
      <c r="AE229" s="42"/>
      <c r="AF229" s="43" t="s">
        <v>45</v>
      </c>
    </row>
    <row r="230" spans="1:32" ht="90" x14ac:dyDescent="0.25">
      <c r="A230" s="44"/>
      <c r="B230" s="42"/>
      <c r="C230" s="42"/>
      <c r="D230" s="42"/>
      <c r="E230" s="42"/>
      <c r="F230" s="42"/>
      <c r="G230" s="42"/>
      <c r="H230" s="42"/>
      <c r="I230" s="48"/>
      <c r="J230" s="42"/>
      <c r="K230" s="42"/>
      <c r="L230" s="42"/>
      <c r="M230" s="42"/>
      <c r="N230" s="42"/>
      <c r="O230" s="11"/>
      <c r="P230" s="11"/>
      <c r="Q230" s="11" t="s">
        <v>77</v>
      </c>
      <c r="R230" s="11" t="s">
        <v>77</v>
      </c>
      <c r="S230" s="11"/>
      <c r="T230" s="12" t="s">
        <v>77</v>
      </c>
      <c r="U230" s="12" t="s">
        <v>77</v>
      </c>
      <c r="V230" s="4"/>
      <c r="W230" s="11" t="s">
        <v>41</v>
      </c>
      <c r="X230" s="11" t="s">
        <v>409</v>
      </c>
      <c r="Y230" s="11" t="s">
        <v>519</v>
      </c>
      <c r="Z230" s="11">
        <v>0.5</v>
      </c>
      <c r="AA230" s="11"/>
      <c r="AB230" s="12">
        <v>45056</v>
      </c>
      <c r="AC230" s="12">
        <v>47978</v>
      </c>
      <c r="AD230" s="14" t="s">
        <v>520</v>
      </c>
      <c r="AE230" s="42"/>
      <c r="AF230" s="42"/>
    </row>
    <row r="231" spans="1:32" ht="90" x14ac:dyDescent="0.25">
      <c r="A231" s="44"/>
      <c r="B231" s="42"/>
      <c r="C231" s="42"/>
      <c r="D231" s="42"/>
      <c r="E231" s="42"/>
      <c r="F231" s="42"/>
      <c r="G231" s="42"/>
      <c r="H231" s="42"/>
      <c r="I231" s="48"/>
      <c r="J231" s="42"/>
      <c r="K231" s="42"/>
      <c r="L231" s="42"/>
      <c r="M231" s="42"/>
      <c r="N231" s="42"/>
      <c r="O231" s="11" t="s">
        <v>58</v>
      </c>
      <c r="P231" s="11" t="s">
        <v>163</v>
      </c>
      <c r="Q231" s="11" t="s">
        <v>444</v>
      </c>
      <c r="R231" s="11">
        <v>0.5</v>
      </c>
      <c r="S231" s="11"/>
      <c r="T231" s="12">
        <v>45091</v>
      </c>
      <c r="U231" s="12">
        <v>48013</v>
      </c>
      <c r="V231" s="13" t="s">
        <v>445</v>
      </c>
      <c r="W231" s="11" t="s">
        <v>52</v>
      </c>
      <c r="X231" s="11" t="s">
        <v>409</v>
      </c>
      <c r="Y231" s="11" t="s">
        <v>523</v>
      </c>
      <c r="Z231" s="11">
        <v>0.5</v>
      </c>
      <c r="AA231" s="11"/>
      <c r="AB231" s="12">
        <v>45056</v>
      </c>
      <c r="AC231" s="12">
        <v>47978</v>
      </c>
      <c r="AD231" s="14" t="s">
        <v>524</v>
      </c>
      <c r="AE231" s="42"/>
      <c r="AF231" s="42"/>
    </row>
    <row r="232" spans="1:32" ht="23.85" customHeight="1" x14ac:dyDescent="0.25">
      <c r="A232" s="44">
        <v>75</v>
      </c>
      <c r="B232" s="42" t="s">
        <v>28</v>
      </c>
      <c r="C232" s="42" t="s">
        <v>29</v>
      </c>
      <c r="D232" s="42">
        <v>104264</v>
      </c>
      <c r="E232" s="42" t="s">
        <v>565</v>
      </c>
      <c r="F232" s="42" t="s">
        <v>405</v>
      </c>
      <c r="G232" s="42" t="s">
        <v>90</v>
      </c>
      <c r="H232" s="42" t="s">
        <v>33</v>
      </c>
      <c r="I232" s="48" t="s">
        <v>566</v>
      </c>
      <c r="J232" s="42" t="s">
        <v>35</v>
      </c>
      <c r="K232" s="42"/>
      <c r="L232" s="42" t="s">
        <v>265</v>
      </c>
      <c r="M232" s="52">
        <v>49668</v>
      </c>
      <c r="N232" s="42" t="s">
        <v>92</v>
      </c>
      <c r="O232" s="11" t="s">
        <v>58</v>
      </c>
      <c r="P232" s="11" t="s">
        <v>93</v>
      </c>
      <c r="Q232" s="11" t="s">
        <v>567</v>
      </c>
      <c r="R232" s="11">
        <v>0.5</v>
      </c>
      <c r="S232" s="11"/>
      <c r="T232" s="12">
        <v>45093</v>
      </c>
      <c r="U232" s="12">
        <v>48015</v>
      </c>
      <c r="V232" s="13" t="s">
        <v>568</v>
      </c>
      <c r="W232" s="11" t="s">
        <v>41</v>
      </c>
      <c r="X232" s="11" t="s">
        <v>409</v>
      </c>
      <c r="Y232" s="11" t="s">
        <v>515</v>
      </c>
      <c r="Z232" s="11">
        <v>0.5</v>
      </c>
      <c r="AA232" s="11"/>
      <c r="AB232" s="12">
        <v>45056</v>
      </c>
      <c r="AC232" s="12">
        <v>47978</v>
      </c>
      <c r="AD232" s="14" t="s">
        <v>516</v>
      </c>
      <c r="AE232" s="42"/>
      <c r="AF232" s="43" t="s">
        <v>45</v>
      </c>
    </row>
    <row r="233" spans="1:32" ht="90" x14ac:dyDescent="0.25">
      <c r="A233" s="44"/>
      <c r="B233" s="42"/>
      <c r="C233" s="42"/>
      <c r="D233" s="42"/>
      <c r="E233" s="42"/>
      <c r="F233" s="42"/>
      <c r="G233" s="42"/>
      <c r="H233" s="42"/>
      <c r="I233" s="48"/>
      <c r="J233" s="42"/>
      <c r="K233" s="42"/>
      <c r="L233" s="42"/>
      <c r="M233" s="42"/>
      <c r="N233" s="42"/>
      <c r="O233" s="11" t="s">
        <v>77</v>
      </c>
      <c r="P233" s="11" t="s">
        <v>77</v>
      </c>
      <c r="Q233" s="11" t="s">
        <v>77</v>
      </c>
      <c r="R233" s="11" t="s">
        <v>77</v>
      </c>
      <c r="S233" s="11"/>
      <c r="T233" s="12" t="s">
        <v>77</v>
      </c>
      <c r="U233" s="12" t="s">
        <v>77</v>
      </c>
      <c r="V233" s="4"/>
      <c r="W233" s="11" t="s">
        <v>41</v>
      </c>
      <c r="X233" s="11" t="s">
        <v>409</v>
      </c>
      <c r="Y233" s="11" t="s">
        <v>519</v>
      </c>
      <c r="Z233" s="11">
        <v>0.5</v>
      </c>
      <c r="AA233" s="11"/>
      <c r="AB233" s="12">
        <v>45056</v>
      </c>
      <c r="AC233" s="12">
        <v>47978</v>
      </c>
      <c r="AD233" s="14" t="s">
        <v>520</v>
      </c>
      <c r="AE233" s="42"/>
      <c r="AF233" s="42"/>
    </row>
    <row r="234" spans="1:32" ht="90" x14ac:dyDescent="0.25">
      <c r="A234" s="44"/>
      <c r="B234" s="42"/>
      <c r="C234" s="42"/>
      <c r="D234" s="42"/>
      <c r="E234" s="42"/>
      <c r="F234" s="42"/>
      <c r="G234" s="42"/>
      <c r="H234" s="42"/>
      <c r="I234" s="48"/>
      <c r="J234" s="42"/>
      <c r="K234" s="42"/>
      <c r="L234" s="42"/>
      <c r="M234" s="42"/>
      <c r="N234" s="42"/>
      <c r="O234" s="11" t="s">
        <v>65</v>
      </c>
      <c r="P234" s="11" t="s">
        <v>93</v>
      </c>
      <c r="Q234" s="11">
        <v>5192</v>
      </c>
      <c r="R234" s="11">
        <v>0.5</v>
      </c>
      <c r="S234" s="11"/>
      <c r="T234" s="12">
        <v>45093</v>
      </c>
      <c r="U234" s="12">
        <v>48015</v>
      </c>
      <c r="V234" s="13" t="s">
        <v>569</v>
      </c>
      <c r="W234" s="11" t="s">
        <v>52</v>
      </c>
      <c r="X234" s="11" t="s">
        <v>409</v>
      </c>
      <c r="Y234" s="11" t="s">
        <v>523</v>
      </c>
      <c r="Z234" s="11">
        <v>0.5</v>
      </c>
      <c r="AA234" s="11"/>
      <c r="AB234" s="12">
        <v>45056</v>
      </c>
      <c r="AC234" s="12">
        <v>47978</v>
      </c>
      <c r="AD234" s="14" t="s">
        <v>524</v>
      </c>
      <c r="AE234" s="42"/>
      <c r="AF234" s="42"/>
    </row>
    <row r="235" spans="1:32" ht="23.85" customHeight="1" x14ac:dyDescent="0.25">
      <c r="A235" s="44">
        <v>76</v>
      </c>
      <c r="B235" s="42" t="s">
        <v>28</v>
      </c>
      <c r="C235" s="42" t="s">
        <v>29</v>
      </c>
      <c r="D235" s="42">
        <v>104264</v>
      </c>
      <c r="E235" s="42" t="s">
        <v>570</v>
      </c>
      <c r="F235" s="42" t="s">
        <v>405</v>
      </c>
      <c r="G235" s="42" t="s">
        <v>90</v>
      </c>
      <c r="H235" s="42" t="s">
        <v>33</v>
      </c>
      <c r="I235" s="48" t="s">
        <v>571</v>
      </c>
      <c r="J235" s="42" t="s">
        <v>35</v>
      </c>
      <c r="K235" s="42"/>
      <c r="L235" s="42" t="s">
        <v>265</v>
      </c>
      <c r="M235" s="52">
        <v>49668</v>
      </c>
      <c r="N235" s="42" t="s">
        <v>92</v>
      </c>
      <c r="O235" s="11" t="s">
        <v>58</v>
      </c>
      <c r="P235" s="11" t="s">
        <v>93</v>
      </c>
      <c r="Q235" s="11" t="s">
        <v>572</v>
      </c>
      <c r="R235" s="11">
        <v>0.5</v>
      </c>
      <c r="S235" s="11"/>
      <c r="T235" s="12">
        <v>45093</v>
      </c>
      <c r="U235" s="12">
        <v>48015</v>
      </c>
      <c r="V235" s="13" t="s">
        <v>573</v>
      </c>
      <c r="W235" s="11" t="s">
        <v>41</v>
      </c>
      <c r="X235" s="11" t="s">
        <v>409</v>
      </c>
      <c r="Y235" s="11" t="s">
        <v>515</v>
      </c>
      <c r="Z235" s="11">
        <v>0.5</v>
      </c>
      <c r="AA235" s="11"/>
      <c r="AB235" s="12">
        <v>45056</v>
      </c>
      <c r="AC235" s="12">
        <v>47978</v>
      </c>
      <c r="AD235" s="14" t="s">
        <v>516</v>
      </c>
      <c r="AE235" s="42"/>
      <c r="AF235" s="43" t="s">
        <v>45</v>
      </c>
    </row>
    <row r="236" spans="1:32" ht="90" x14ac:dyDescent="0.25">
      <c r="A236" s="44"/>
      <c r="B236" s="42"/>
      <c r="C236" s="42"/>
      <c r="D236" s="42"/>
      <c r="E236" s="42"/>
      <c r="F236" s="42"/>
      <c r="G236" s="42"/>
      <c r="H236" s="42"/>
      <c r="I236" s="48"/>
      <c r="J236" s="42"/>
      <c r="K236" s="42"/>
      <c r="L236" s="42"/>
      <c r="M236" s="42"/>
      <c r="N236" s="42"/>
      <c r="O236" s="11" t="s">
        <v>77</v>
      </c>
      <c r="P236" s="11" t="s">
        <v>77</v>
      </c>
      <c r="Q236" s="11" t="s">
        <v>77</v>
      </c>
      <c r="R236" s="11" t="s">
        <v>77</v>
      </c>
      <c r="S236" s="11"/>
      <c r="T236" s="12" t="s">
        <v>77</v>
      </c>
      <c r="U236" s="12" t="s">
        <v>77</v>
      </c>
      <c r="V236" s="4"/>
      <c r="W236" s="11" t="s">
        <v>41</v>
      </c>
      <c r="X236" s="11" t="s">
        <v>409</v>
      </c>
      <c r="Y236" s="11" t="s">
        <v>519</v>
      </c>
      <c r="Z236" s="11">
        <v>0.5</v>
      </c>
      <c r="AA236" s="11"/>
      <c r="AB236" s="12">
        <v>45056</v>
      </c>
      <c r="AC236" s="12">
        <v>47978</v>
      </c>
      <c r="AD236" s="14" t="s">
        <v>520</v>
      </c>
      <c r="AE236" s="42"/>
      <c r="AF236" s="42"/>
    </row>
    <row r="237" spans="1:32" ht="90" x14ac:dyDescent="0.25">
      <c r="A237" s="44"/>
      <c r="B237" s="42"/>
      <c r="C237" s="42"/>
      <c r="D237" s="42"/>
      <c r="E237" s="42"/>
      <c r="F237" s="42"/>
      <c r="G237" s="42"/>
      <c r="H237" s="42"/>
      <c r="I237" s="48"/>
      <c r="J237" s="42"/>
      <c r="K237" s="42"/>
      <c r="L237" s="42"/>
      <c r="M237" s="42"/>
      <c r="N237" s="42"/>
      <c r="O237" s="11" t="s">
        <v>65</v>
      </c>
      <c r="P237" s="11" t="s">
        <v>93</v>
      </c>
      <c r="Q237" s="11">
        <v>2948</v>
      </c>
      <c r="R237" s="11">
        <v>0.5</v>
      </c>
      <c r="S237" s="11"/>
      <c r="T237" s="12">
        <v>45093</v>
      </c>
      <c r="U237" s="12">
        <v>48015</v>
      </c>
      <c r="V237" s="13" t="s">
        <v>574</v>
      </c>
      <c r="W237" s="11" t="s">
        <v>52</v>
      </c>
      <c r="X237" s="11" t="s">
        <v>409</v>
      </c>
      <c r="Y237" s="11" t="s">
        <v>523</v>
      </c>
      <c r="Z237" s="11">
        <v>0.5</v>
      </c>
      <c r="AA237" s="11"/>
      <c r="AB237" s="12">
        <v>45056</v>
      </c>
      <c r="AC237" s="12">
        <v>47978</v>
      </c>
      <c r="AD237" s="14" t="s">
        <v>524</v>
      </c>
      <c r="AE237" s="42"/>
      <c r="AF237" s="42"/>
    </row>
    <row r="238" spans="1:32" ht="23.85" customHeight="1" x14ac:dyDescent="0.25">
      <c r="A238" s="44">
        <v>77</v>
      </c>
      <c r="B238" s="42" t="s">
        <v>28</v>
      </c>
      <c r="C238" s="42" t="s">
        <v>29</v>
      </c>
      <c r="D238" s="42">
        <v>104264</v>
      </c>
      <c r="E238" s="42" t="s">
        <v>575</v>
      </c>
      <c r="F238" s="42" t="s">
        <v>405</v>
      </c>
      <c r="G238" s="42" t="s">
        <v>90</v>
      </c>
      <c r="H238" s="42" t="s">
        <v>33</v>
      </c>
      <c r="I238" s="48" t="s">
        <v>576</v>
      </c>
      <c r="J238" s="42" t="s">
        <v>35</v>
      </c>
      <c r="K238" s="42"/>
      <c r="L238" s="42" t="s">
        <v>265</v>
      </c>
      <c r="M238" s="52">
        <v>49668</v>
      </c>
      <c r="N238" s="42" t="s">
        <v>92</v>
      </c>
      <c r="O238" s="11" t="s">
        <v>58</v>
      </c>
      <c r="P238" s="11" t="s">
        <v>156</v>
      </c>
      <c r="Q238" s="11" t="s">
        <v>577</v>
      </c>
      <c r="R238" s="11">
        <v>0.5</v>
      </c>
      <c r="S238" s="11"/>
      <c r="T238" s="12">
        <v>45093</v>
      </c>
      <c r="U238" s="12">
        <v>48015</v>
      </c>
      <c r="V238" s="13" t="s">
        <v>578</v>
      </c>
      <c r="W238" s="11" t="s">
        <v>41</v>
      </c>
      <c r="X238" s="11" t="s">
        <v>409</v>
      </c>
      <c r="Y238" s="11" t="s">
        <v>515</v>
      </c>
      <c r="Z238" s="11">
        <v>0.5</v>
      </c>
      <c r="AA238" s="11"/>
      <c r="AB238" s="12">
        <v>45056</v>
      </c>
      <c r="AC238" s="12">
        <v>47978</v>
      </c>
      <c r="AD238" s="14" t="s">
        <v>516</v>
      </c>
      <c r="AE238" s="42"/>
      <c r="AF238" s="43" t="s">
        <v>45</v>
      </c>
    </row>
    <row r="239" spans="1:32" ht="90" x14ac:dyDescent="0.25">
      <c r="A239" s="44"/>
      <c r="B239" s="42"/>
      <c r="C239" s="42"/>
      <c r="D239" s="42"/>
      <c r="E239" s="42"/>
      <c r="F239" s="42"/>
      <c r="G239" s="42"/>
      <c r="H239" s="42"/>
      <c r="I239" s="48"/>
      <c r="J239" s="42"/>
      <c r="K239" s="42"/>
      <c r="L239" s="42"/>
      <c r="M239" s="42"/>
      <c r="N239" s="42"/>
      <c r="O239" s="11" t="s">
        <v>77</v>
      </c>
      <c r="P239" s="11" t="s">
        <v>77</v>
      </c>
      <c r="Q239" s="11" t="s">
        <v>77</v>
      </c>
      <c r="R239" s="11" t="s">
        <v>77</v>
      </c>
      <c r="S239" s="11"/>
      <c r="T239" s="12" t="s">
        <v>77</v>
      </c>
      <c r="U239" s="12" t="s">
        <v>77</v>
      </c>
      <c r="V239" s="4"/>
      <c r="W239" s="11" t="s">
        <v>41</v>
      </c>
      <c r="X239" s="11" t="s">
        <v>409</v>
      </c>
      <c r="Y239" s="11" t="s">
        <v>519</v>
      </c>
      <c r="Z239" s="11">
        <v>0.5</v>
      </c>
      <c r="AA239" s="11"/>
      <c r="AB239" s="12">
        <v>45056</v>
      </c>
      <c r="AC239" s="12">
        <v>47978</v>
      </c>
      <c r="AD239" s="14" t="s">
        <v>520</v>
      </c>
      <c r="AE239" s="42"/>
      <c r="AF239" s="42"/>
    </row>
    <row r="240" spans="1:32" ht="90" x14ac:dyDescent="0.25">
      <c r="A240" s="44"/>
      <c r="B240" s="42"/>
      <c r="C240" s="42"/>
      <c r="D240" s="42"/>
      <c r="E240" s="42"/>
      <c r="F240" s="42"/>
      <c r="G240" s="42"/>
      <c r="H240" s="42"/>
      <c r="I240" s="48"/>
      <c r="J240" s="42"/>
      <c r="K240" s="42"/>
      <c r="L240" s="42"/>
      <c r="M240" s="42"/>
      <c r="N240" s="42"/>
      <c r="O240" s="11" t="s">
        <v>65</v>
      </c>
      <c r="P240" s="11" t="s">
        <v>156</v>
      </c>
      <c r="Q240" s="11">
        <v>1385</v>
      </c>
      <c r="R240" s="11">
        <v>0.5</v>
      </c>
      <c r="S240" s="11"/>
      <c r="T240" s="12">
        <v>45093</v>
      </c>
      <c r="U240" s="12">
        <v>48015</v>
      </c>
      <c r="V240" s="13" t="s">
        <v>579</v>
      </c>
      <c r="W240" s="11" t="s">
        <v>52</v>
      </c>
      <c r="X240" s="11" t="s">
        <v>409</v>
      </c>
      <c r="Y240" s="11" t="s">
        <v>523</v>
      </c>
      <c r="Z240" s="11">
        <v>0.5</v>
      </c>
      <c r="AA240" s="11"/>
      <c r="AB240" s="12">
        <v>45056</v>
      </c>
      <c r="AC240" s="12">
        <v>47978</v>
      </c>
      <c r="AD240" s="14" t="s">
        <v>524</v>
      </c>
      <c r="AE240" s="42"/>
      <c r="AF240" s="42"/>
    </row>
    <row r="241" spans="1:32" ht="23.85" customHeight="1" x14ac:dyDescent="0.25">
      <c r="A241" s="44">
        <v>78</v>
      </c>
      <c r="B241" s="42" t="s">
        <v>28</v>
      </c>
      <c r="C241" s="42" t="s">
        <v>29</v>
      </c>
      <c r="D241" s="42">
        <v>104264</v>
      </c>
      <c r="E241" s="42" t="s">
        <v>580</v>
      </c>
      <c r="F241" s="42" t="s">
        <v>405</v>
      </c>
      <c r="G241" s="42" t="s">
        <v>90</v>
      </c>
      <c r="H241" s="42" t="s">
        <v>33</v>
      </c>
      <c r="I241" s="48" t="s">
        <v>581</v>
      </c>
      <c r="J241" s="42" t="s">
        <v>35</v>
      </c>
      <c r="K241" s="42"/>
      <c r="L241" s="42" t="s">
        <v>265</v>
      </c>
      <c r="M241" s="52">
        <v>49668</v>
      </c>
      <c r="N241" s="42" t="s">
        <v>92</v>
      </c>
      <c r="O241" s="11" t="s">
        <v>58</v>
      </c>
      <c r="P241" s="11" t="s">
        <v>163</v>
      </c>
      <c r="Q241" s="11" t="s">
        <v>582</v>
      </c>
      <c r="R241" s="11">
        <v>0.5</v>
      </c>
      <c r="S241" s="11"/>
      <c r="T241" s="12">
        <v>45093</v>
      </c>
      <c r="U241" s="12">
        <v>48015</v>
      </c>
      <c r="V241" s="13" t="s">
        <v>583</v>
      </c>
      <c r="W241" s="11" t="s">
        <v>41</v>
      </c>
      <c r="X241" s="11" t="s">
        <v>409</v>
      </c>
      <c r="Y241" s="11" t="s">
        <v>515</v>
      </c>
      <c r="Z241" s="11">
        <v>0.5</v>
      </c>
      <c r="AA241" s="11"/>
      <c r="AB241" s="12">
        <v>45056</v>
      </c>
      <c r="AC241" s="12">
        <v>47978</v>
      </c>
      <c r="AD241" s="14" t="s">
        <v>516</v>
      </c>
      <c r="AE241" s="42"/>
      <c r="AF241" s="43" t="s">
        <v>45</v>
      </c>
    </row>
    <row r="242" spans="1:32" ht="90" x14ac:dyDescent="0.25">
      <c r="A242" s="44"/>
      <c r="B242" s="42"/>
      <c r="C242" s="42"/>
      <c r="D242" s="42"/>
      <c r="E242" s="42"/>
      <c r="F242" s="42"/>
      <c r="G242" s="42"/>
      <c r="H242" s="42"/>
      <c r="I242" s="48"/>
      <c r="J242" s="42"/>
      <c r="K242" s="42"/>
      <c r="L242" s="42"/>
      <c r="M242" s="42"/>
      <c r="N242" s="42"/>
      <c r="O242" s="11" t="s">
        <v>77</v>
      </c>
      <c r="P242" s="11" t="s">
        <v>77</v>
      </c>
      <c r="Q242" s="11" t="s">
        <v>77</v>
      </c>
      <c r="R242" s="11" t="s">
        <v>77</v>
      </c>
      <c r="S242" s="11"/>
      <c r="T242" s="12" t="s">
        <v>77</v>
      </c>
      <c r="U242" s="12" t="s">
        <v>77</v>
      </c>
      <c r="V242" s="4"/>
      <c r="W242" s="11" t="s">
        <v>41</v>
      </c>
      <c r="X242" s="11" t="s">
        <v>409</v>
      </c>
      <c r="Y242" s="11" t="s">
        <v>519</v>
      </c>
      <c r="Z242" s="11">
        <v>0.5</v>
      </c>
      <c r="AA242" s="11"/>
      <c r="AB242" s="12">
        <v>45056</v>
      </c>
      <c r="AC242" s="12">
        <v>47978</v>
      </c>
      <c r="AD242" s="14" t="s">
        <v>520</v>
      </c>
      <c r="AE242" s="42"/>
      <c r="AF242" s="42"/>
    </row>
    <row r="243" spans="1:32" ht="90" x14ac:dyDescent="0.25">
      <c r="A243" s="44"/>
      <c r="B243" s="42"/>
      <c r="C243" s="42"/>
      <c r="D243" s="42"/>
      <c r="E243" s="42"/>
      <c r="F243" s="42"/>
      <c r="G243" s="42"/>
      <c r="H243" s="42"/>
      <c r="I243" s="48"/>
      <c r="J243" s="42"/>
      <c r="K243" s="42"/>
      <c r="L243" s="42"/>
      <c r="M243" s="42"/>
      <c r="N243" s="42"/>
      <c r="O243" s="11" t="s">
        <v>65</v>
      </c>
      <c r="P243" s="11" t="s">
        <v>163</v>
      </c>
      <c r="Q243" s="11">
        <v>1677</v>
      </c>
      <c r="R243" s="11">
        <v>0.5</v>
      </c>
      <c r="S243" s="11"/>
      <c r="T243" s="12">
        <v>45093</v>
      </c>
      <c r="U243" s="12">
        <v>48015</v>
      </c>
      <c r="V243" s="13" t="s">
        <v>584</v>
      </c>
      <c r="W243" s="11" t="s">
        <v>52</v>
      </c>
      <c r="X243" s="11" t="s">
        <v>409</v>
      </c>
      <c r="Y243" s="11" t="s">
        <v>523</v>
      </c>
      <c r="Z243" s="11">
        <v>0.5</v>
      </c>
      <c r="AA243" s="11"/>
      <c r="AB243" s="12">
        <v>45056</v>
      </c>
      <c r="AC243" s="12">
        <v>47978</v>
      </c>
      <c r="AD243" s="14" t="s">
        <v>524</v>
      </c>
      <c r="AE243" s="42"/>
      <c r="AF243" s="42"/>
    </row>
    <row r="244" spans="1:32" ht="23.85" customHeight="1" x14ac:dyDescent="0.25">
      <c r="A244" s="44">
        <v>79</v>
      </c>
      <c r="B244" s="42" t="s">
        <v>28</v>
      </c>
      <c r="C244" s="42" t="s">
        <v>29</v>
      </c>
      <c r="D244" s="42">
        <v>104264</v>
      </c>
      <c r="E244" s="42" t="s">
        <v>585</v>
      </c>
      <c r="F244" s="42" t="s">
        <v>405</v>
      </c>
      <c r="G244" s="42" t="s">
        <v>90</v>
      </c>
      <c r="H244" s="42" t="s">
        <v>33</v>
      </c>
      <c r="I244" s="48" t="s">
        <v>586</v>
      </c>
      <c r="J244" s="42" t="s">
        <v>35</v>
      </c>
      <c r="K244" s="42"/>
      <c r="L244" s="42" t="s">
        <v>265</v>
      </c>
      <c r="M244" s="52">
        <v>49668</v>
      </c>
      <c r="N244" s="42" t="s">
        <v>92</v>
      </c>
      <c r="O244" s="11" t="s">
        <v>58</v>
      </c>
      <c r="P244" s="11" t="s">
        <v>156</v>
      </c>
      <c r="Q244" s="11" t="s">
        <v>587</v>
      </c>
      <c r="R244" s="11">
        <v>0.5</v>
      </c>
      <c r="S244" s="11"/>
      <c r="T244" s="12">
        <v>45093</v>
      </c>
      <c r="U244" s="12">
        <v>48015</v>
      </c>
      <c r="V244" s="13" t="s">
        <v>588</v>
      </c>
      <c r="W244" s="11" t="s">
        <v>41</v>
      </c>
      <c r="X244" s="11" t="s">
        <v>409</v>
      </c>
      <c r="Y244" s="11" t="s">
        <v>515</v>
      </c>
      <c r="Z244" s="11">
        <v>0.5</v>
      </c>
      <c r="AA244" s="11"/>
      <c r="AB244" s="12">
        <v>45056</v>
      </c>
      <c r="AC244" s="12">
        <v>47978</v>
      </c>
      <c r="AD244" s="14" t="s">
        <v>516</v>
      </c>
      <c r="AE244" s="42"/>
      <c r="AF244" s="43" t="s">
        <v>45</v>
      </c>
    </row>
    <row r="245" spans="1:32" ht="90" x14ac:dyDescent="0.25">
      <c r="A245" s="44"/>
      <c r="B245" s="42"/>
      <c r="C245" s="42"/>
      <c r="D245" s="42"/>
      <c r="E245" s="42"/>
      <c r="F245" s="42"/>
      <c r="G245" s="42"/>
      <c r="H245" s="42"/>
      <c r="I245" s="48"/>
      <c r="J245" s="42"/>
      <c r="K245" s="42"/>
      <c r="L245" s="42"/>
      <c r="M245" s="42"/>
      <c r="N245" s="42"/>
      <c r="O245" s="11" t="s">
        <v>77</v>
      </c>
      <c r="P245" s="11" t="s">
        <v>77</v>
      </c>
      <c r="Q245" s="11" t="s">
        <v>77</v>
      </c>
      <c r="R245" s="11" t="s">
        <v>77</v>
      </c>
      <c r="S245" s="11"/>
      <c r="T245" s="12" t="s">
        <v>77</v>
      </c>
      <c r="U245" s="12" t="s">
        <v>77</v>
      </c>
      <c r="V245" s="4"/>
      <c r="W245" s="11" t="s">
        <v>41</v>
      </c>
      <c r="X245" s="11" t="s">
        <v>409</v>
      </c>
      <c r="Y245" s="11" t="s">
        <v>519</v>
      </c>
      <c r="Z245" s="11">
        <v>0.5</v>
      </c>
      <c r="AA245" s="11"/>
      <c r="AB245" s="12">
        <v>45056</v>
      </c>
      <c r="AC245" s="12">
        <v>47978</v>
      </c>
      <c r="AD245" s="14" t="s">
        <v>520</v>
      </c>
      <c r="AE245" s="42"/>
      <c r="AF245" s="42"/>
    </row>
    <row r="246" spans="1:32" ht="90" x14ac:dyDescent="0.25">
      <c r="A246" s="44"/>
      <c r="B246" s="42"/>
      <c r="C246" s="42"/>
      <c r="D246" s="42"/>
      <c r="E246" s="42"/>
      <c r="F246" s="42"/>
      <c r="G246" s="42"/>
      <c r="H246" s="42"/>
      <c r="I246" s="48"/>
      <c r="J246" s="42"/>
      <c r="K246" s="42"/>
      <c r="L246" s="42"/>
      <c r="M246" s="42"/>
      <c r="N246" s="42"/>
      <c r="O246" s="11" t="s">
        <v>65</v>
      </c>
      <c r="P246" s="11" t="s">
        <v>156</v>
      </c>
      <c r="Q246" s="11">
        <v>1188</v>
      </c>
      <c r="R246" s="11">
        <v>0.5</v>
      </c>
      <c r="S246" s="11"/>
      <c r="T246" s="12">
        <v>45093</v>
      </c>
      <c r="U246" s="12">
        <v>48015</v>
      </c>
      <c r="V246" s="13" t="s">
        <v>589</v>
      </c>
      <c r="W246" s="11" t="s">
        <v>52</v>
      </c>
      <c r="X246" s="11" t="s">
        <v>409</v>
      </c>
      <c r="Y246" s="11" t="s">
        <v>523</v>
      </c>
      <c r="Z246" s="11">
        <v>0.5</v>
      </c>
      <c r="AA246" s="11"/>
      <c r="AB246" s="12">
        <v>45056</v>
      </c>
      <c r="AC246" s="12">
        <v>47978</v>
      </c>
      <c r="AD246" s="14" t="s">
        <v>524</v>
      </c>
      <c r="AE246" s="42"/>
      <c r="AF246" s="42"/>
    </row>
    <row r="247" spans="1:32" ht="23.85" customHeight="1" x14ac:dyDescent="0.25">
      <c r="A247" s="44">
        <v>80</v>
      </c>
      <c r="B247" s="42" t="s">
        <v>28</v>
      </c>
      <c r="C247" s="42" t="s">
        <v>29</v>
      </c>
      <c r="D247" s="42">
        <v>104264</v>
      </c>
      <c r="E247" s="42" t="s">
        <v>590</v>
      </c>
      <c r="F247" s="42" t="s">
        <v>405</v>
      </c>
      <c r="G247" s="42" t="s">
        <v>90</v>
      </c>
      <c r="H247" s="42" t="s">
        <v>33</v>
      </c>
      <c r="I247" s="48" t="s">
        <v>591</v>
      </c>
      <c r="J247" s="42" t="s">
        <v>35</v>
      </c>
      <c r="K247" s="42"/>
      <c r="L247" s="42" t="s">
        <v>265</v>
      </c>
      <c r="M247" s="52">
        <v>49668</v>
      </c>
      <c r="N247" s="42" t="s">
        <v>92</v>
      </c>
      <c r="O247" s="11" t="s">
        <v>58</v>
      </c>
      <c r="P247" s="11" t="s">
        <v>163</v>
      </c>
      <c r="Q247" s="11" t="s">
        <v>592</v>
      </c>
      <c r="R247" s="11">
        <v>0.5</v>
      </c>
      <c r="S247" s="11"/>
      <c r="T247" s="12">
        <v>45093</v>
      </c>
      <c r="U247" s="12">
        <v>48015</v>
      </c>
      <c r="V247" s="13" t="s">
        <v>593</v>
      </c>
      <c r="W247" s="11" t="s">
        <v>41</v>
      </c>
      <c r="X247" s="11" t="s">
        <v>409</v>
      </c>
      <c r="Y247" s="11" t="s">
        <v>515</v>
      </c>
      <c r="Z247" s="11">
        <v>0.5</v>
      </c>
      <c r="AA247" s="11"/>
      <c r="AB247" s="12">
        <v>45056</v>
      </c>
      <c r="AC247" s="12">
        <v>47978</v>
      </c>
      <c r="AD247" s="14" t="s">
        <v>516</v>
      </c>
      <c r="AE247" s="42"/>
      <c r="AF247" s="43" t="s">
        <v>45</v>
      </c>
    </row>
    <row r="248" spans="1:32" ht="90" x14ac:dyDescent="0.25">
      <c r="A248" s="44"/>
      <c r="B248" s="42"/>
      <c r="C248" s="42"/>
      <c r="D248" s="42"/>
      <c r="E248" s="42"/>
      <c r="F248" s="42"/>
      <c r="G248" s="42"/>
      <c r="H248" s="42"/>
      <c r="I248" s="48"/>
      <c r="J248" s="42"/>
      <c r="K248" s="42"/>
      <c r="L248" s="42"/>
      <c r="M248" s="42"/>
      <c r="N248" s="42"/>
      <c r="O248" s="11" t="s">
        <v>77</v>
      </c>
      <c r="P248" s="11" t="s">
        <v>77</v>
      </c>
      <c r="Q248" s="11" t="s">
        <v>77</v>
      </c>
      <c r="R248" s="11" t="s">
        <v>77</v>
      </c>
      <c r="S248" s="11"/>
      <c r="T248" s="12" t="s">
        <v>77</v>
      </c>
      <c r="U248" s="12" t="s">
        <v>77</v>
      </c>
      <c r="V248" s="4"/>
      <c r="W248" s="11" t="s">
        <v>41</v>
      </c>
      <c r="X248" s="11" t="s">
        <v>409</v>
      </c>
      <c r="Y248" s="11" t="s">
        <v>519</v>
      </c>
      <c r="Z248" s="11">
        <v>0.5</v>
      </c>
      <c r="AA248" s="11"/>
      <c r="AB248" s="12">
        <v>45056</v>
      </c>
      <c r="AC248" s="12">
        <v>47978</v>
      </c>
      <c r="AD248" s="14" t="s">
        <v>520</v>
      </c>
      <c r="AE248" s="42"/>
      <c r="AF248" s="42"/>
    </row>
    <row r="249" spans="1:32" ht="90" x14ac:dyDescent="0.25">
      <c r="A249" s="44"/>
      <c r="B249" s="42"/>
      <c r="C249" s="42"/>
      <c r="D249" s="42"/>
      <c r="E249" s="42"/>
      <c r="F249" s="42"/>
      <c r="G249" s="42"/>
      <c r="H249" s="42"/>
      <c r="I249" s="48"/>
      <c r="J249" s="42"/>
      <c r="K249" s="42"/>
      <c r="L249" s="42"/>
      <c r="M249" s="42"/>
      <c r="N249" s="42"/>
      <c r="O249" s="11" t="s">
        <v>65</v>
      </c>
      <c r="P249" s="11" t="s">
        <v>163</v>
      </c>
      <c r="Q249" s="11">
        <v>1148</v>
      </c>
      <c r="R249" s="11">
        <v>0.5</v>
      </c>
      <c r="S249" s="11"/>
      <c r="T249" s="12">
        <v>45093</v>
      </c>
      <c r="U249" s="12">
        <v>48015</v>
      </c>
      <c r="V249" s="13" t="s">
        <v>594</v>
      </c>
      <c r="W249" s="11" t="s">
        <v>52</v>
      </c>
      <c r="X249" s="11" t="s">
        <v>409</v>
      </c>
      <c r="Y249" s="11" t="s">
        <v>523</v>
      </c>
      <c r="Z249" s="11">
        <v>0.5</v>
      </c>
      <c r="AA249" s="11"/>
      <c r="AB249" s="12">
        <v>45056</v>
      </c>
      <c r="AC249" s="12">
        <v>47978</v>
      </c>
      <c r="AD249" s="14" t="s">
        <v>524</v>
      </c>
      <c r="AE249" s="42"/>
      <c r="AF249" s="42"/>
    </row>
    <row r="250" spans="1:32" ht="23.85" customHeight="1" x14ac:dyDescent="0.25">
      <c r="A250" s="44">
        <v>81</v>
      </c>
      <c r="B250" s="42" t="s">
        <v>28</v>
      </c>
      <c r="C250" s="42" t="s">
        <v>29</v>
      </c>
      <c r="D250" s="42">
        <v>104264</v>
      </c>
      <c r="E250" s="42" t="s">
        <v>595</v>
      </c>
      <c r="F250" s="42" t="s">
        <v>596</v>
      </c>
      <c r="G250" s="42" t="s">
        <v>597</v>
      </c>
      <c r="H250" s="42" t="s">
        <v>33</v>
      </c>
      <c r="I250" s="48" t="s">
        <v>598</v>
      </c>
      <c r="J250" s="42" t="s">
        <v>35</v>
      </c>
      <c r="K250" s="42"/>
      <c r="L250" s="42" t="s">
        <v>91</v>
      </c>
      <c r="M250" s="52">
        <v>49667</v>
      </c>
      <c r="N250" s="42" t="s">
        <v>92</v>
      </c>
      <c r="O250" s="11" t="s">
        <v>599</v>
      </c>
      <c r="P250" s="11" t="s">
        <v>93</v>
      </c>
      <c r="Q250" s="11" t="s">
        <v>600</v>
      </c>
      <c r="R250" s="11">
        <v>0.2</v>
      </c>
      <c r="S250" s="11"/>
      <c r="T250" s="12" t="s">
        <v>601</v>
      </c>
      <c r="U250" s="12">
        <v>46131</v>
      </c>
      <c r="V250" s="4" t="s">
        <v>124</v>
      </c>
      <c r="W250" s="11" t="s">
        <v>602</v>
      </c>
      <c r="X250" s="11" t="s">
        <v>603</v>
      </c>
      <c r="Y250" s="11" t="s">
        <v>604</v>
      </c>
      <c r="Z250" s="11">
        <v>0.5</v>
      </c>
      <c r="AA250" s="11"/>
      <c r="AB250" s="12" t="s">
        <v>601</v>
      </c>
      <c r="AC250" s="12">
        <v>46131</v>
      </c>
      <c r="AD250" s="12" t="s">
        <v>124</v>
      </c>
      <c r="AE250" s="42"/>
      <c r="AF250" s="43" t="s">
        <v>45</v>
      </c>
    </row>
    <row r="251" spans="1:32" ht="25.5" x14ac:dyDescent="0.25">
      <c r="A251" s="44"/>
      <c r="B251" s="42"/>
      <c r="C251" s="42"/>
      <c r="D251" s="42"/>
      <c r="E251" s="42"/>
      <c r="F251" s="42"/>
      <c r="G251" s="42"/>
      <c r="H251" s="42"/>
      <c r="I251" s="48"/>
      <c r="J251" s="42"/>
      <c r="K251" s="42"/>
      <c r="L251" s="42"/>
      <c r="M251" s="42"/>
      <c r="N251" s="42"/>
      <c r="O251" s="11" t="s">
        <v>599</v>
      </c>
      <c r="P251" s="11" t="s">
        <v>93</v>
      </c>
      <c r="Q251" s="11" t="s">
        <v>605</v>
      </c>
      <c r="R251" s="11">
        <v>0.2</v>
      </c>
      <c r="S251" s="11"/>
      <c r="T251" s="12" t="s">
        <v>601</v>
      </c>
      <c r="U251" s="12">
        <v>46131</v>
      </c>
      <c r="V251" s="4" t="s">
        <v>124</v>
      </c>
      <c r="W251" s="11" t="s">
        <v>602</v>
      </c>
      <c r="X251" s="11" t="s">
        <v>603</v>
      </c>
      <c r="Y251" s="11" t="s">
        <v>606</v>
      </c>
      <c r="Z251" s="11">
        <v>0.5</v>
      </c>
      <c r="AA251" s="11"/>
      <c r="AB251" s="12" t="s">
        <v>601</v>
      </c>
      <c r="AC251" s="12">
        <v>46131</v>
      </c>
      <c r="AD251" s="12" t="s">
        <v>124</v>
      </c>
      <c r="AE251" s="42"/>
      <c r="AF251" s="42"/>
    </row>
    <row r="252" spans="1:32" x14ac:dyDescent="0.25">
      <c r="A252" s="44"/>
      <c r="B252" s="42"/>
      <c r="C252" s="42"/>
      <c r="D252" s="42"/>
      <c r="E252" s="42"/>
      <c r="F252" s="42"/>
      <c r="G252" s="42"/>
      <c r="H252" s="42"/>
      <c r="I252" s="48"/>
      <c r="J252" s="42"/>
      <c r="K252" s="42"/>
      <c r="L252" s="42"/>
      <c r="M252" s="42"/>
      <c r="N252" s="42"/>
      <c r="O252" s="11" t="s">
        <v>607</v>
      </c>
      <c r="P252" s="11" t="s">
        <v>93</v>
      </c>
      <c r="Q252" s="11" t="s">
        <v>608</v>
      </c>
      <c r="R252" s="11">
        <v>0.2</v>
      </c>
      <c r="S252" s="11"/>
      <c r="T252" s="12" t="s">
        <v>601</v>
      </c>
      <c r="U252" s="12">
        <v>46131</v>
      </c>
      <c r="V252" s="4" t="s">
        <v>124</v>
      </c>
      <c r="W252" s="11" t="s">
        <v>609</v>
      </c>
      <c r="X252" s="11" t="s">
        <v>603</v>
      </c>
      <c r="Y252" s="11" t="s">
        <v>610</v>
      </c>
      <c r="Z252" s="11">
        <v>0.5</v>
      </c>
      <c r="AA252" s="11"/>
      <c r="AB252" s="12" t="s">
        <v>601</v>
      </c>
      <c r="AC252" s="12">
        <v>46131</v>
      </c>
      <c r="AD252" s="12" t="s">
        <v>124</v>
      </c>
      <c r="AE252" s="42"/>
      <c r="AF252" s="42"/>
    </row>
    <row r="253" spans="1:32" ht="23.85" customHeight="1" x14ac:dyDescent="0.25">
      <c r="A253" s="44">
        <v>82</v>
      </c>
      <c r="B253" s="42" t="s">
        <v>28</v>
      </c>
      <c r="C253" s="42" t="s">
        <v>29</v>
      </c>
      <c r="D253" s="42">
        <v>104264</v>
      </c>
      <c r="E253" s="42" t="s">
        <v>611</v>
      </c>
      <c r="F253" s="42" t="s">
        <v>596</v>
      </c>
      <c r="G253" s="42" t="s">
        <v>597</v>
      </c>
      <c r="H253" s="42" t="s">
        <v>33</v>
      </c>
      <c r="I253" s="48" t="s">
        <v>612</v>
      </c>
      <c r="J253" s="42" t="s">
        <v>35</v>
      </c>
      <c r="K253" s="42"/>
      <c r="L253" s="42" t="s">
        <v>91</v>
      </c>
      <c r="M253" s="52">
        <v>49667</v>
      </c>
      <c r="N253" s="42" t="s">
        <v>92</v>
      </c>
      <c r="O253" s="11" t="s">
        <v>599</v>
      </c>
      <c r="P253" s="11" t="s">
        <v>93</v>
      </c>
      <c r="Q253" s="11" t="s">
        <v>221</v>
      </c>
      <c r="R253" s="11">
        <v>0.2</v>
      </c>
      <c r="S253" s="11"/>
      <c r="T253" s="12" t="s">
        <v>613</v>
      </c>
      <c r="U253" s="12">
        <v>46138</v>
      </c>
      <c r="V253" s="4" t="s">
        <v>124</v>
      </c>
      <c r="W253" s="11" t="s">
        <v>602</v>
      </c>
      <c r="X253" s="11" t="s">
        <v>603</v>
      </c>
      <c r="Y253" s="11" t="s">
        <v>614</v>
      </c>
      <c r="Z253" s="11">
        <v>0.5</v>
      </c>
      <c r="AA253" s="11"/>
      <c r="AB253" s="12" t="s">
        <v>613</v>
      </c>
      <c r="AC253" s="12">
        <v>46138</v>
      </c>
      <c r="AD253" s="12" t="s">
        <v>124</v>
      </c>
      <c r="AE253" s="42"/>
      <c r="AF253" s="43" t="s">
        <v>45</v>
      </c>
    </row>
    <row r="254" spans="1:32" ht="25.5" x14ac:dyDescent="0.25">
      <c r="A254" s="44"/>
      <c r="B254" s="42"/>
      <c r="C254" s="42"/>
      <c r="D254" s="42"/>
      <c r="E254" s="42"/>
      <c r="F254" s="42"/>
      <c r="G254" s="42"/>
      <c r="H254" s="42"/>
      <c r="I254" s="48"/>
      <c r="J254" s="42"/>
      <c r="K254" s="42"/>
      <c r="L254" s="42"/>
      <c r="M254" s="42"/>
      <c r="N254" s="42"/>
      <c r="O254" s="11" t="s">
        <v>599</v>
      </c>
      <c r="P254" s="11" t="s">
        <v>93</v>
      </c>
      <c r="Q254" s="11" t="s">
        <v>615</v>
      </c>
      <c r="R254" s="11">
        <v>0.2</v>
      </c>
      <c r="S254" s="11"/>
      <c r="T254" s="12" t="s">
        <v>613</v>
      </c>
      <c r="U254" s="12">
        <v>46138</v>
      </c>
      <c r="V254" s="4" t="s">
        <v>124</v>
      </c>
      <c r="W254" s="11" t="s">
        <v>602</v>
      </c>
      <c r="X254" s="11" t="s">
        <v>603</v>
      </c>
      <c r="Y254" s="11" t="s">
        <v>616</v>
      </c>
      <c r="Z254" s="11">
        <v>0.5</v>
      </c>
      <c r="AA254" s="11"/>
      <c r="AB254" s="12" t="s">
        <v>613</v>
      </c>
      <c r="AC254" s="12">
        <v>46138</v>
      </c>
      <c r="AD254" s="12" t="s">
        <v>124</v>
      </c>
      <c r="AE254" s="42"/>
      <c r="AF254" s="42"/>
    </row>
    <row r="255" spans="1:32" x14ac:dyDescent="0.25">
      <c r="A255" s="44"/>
      <c r="B255" s="42"/>
      <c r="C255" s="42"/>
      <c r="D255" s="42"/>
      <c r="E255" s="42"/>
      <c r="F255" s="42"/>
      <c r="G255" s="42"/>
      <c r="H255" s="42"/>
      <c r="I255" s="48"/>
      <c r="J255" s="42"/>
      <c r="K255" s="42"/>
      <c r="L255" s="42"/>
      <c r="M255" s="42"/>
      <c r="N255" s="42"/>
      <c r="O255" s="11" t="s">
        <v>607</v>
      </c>
      <c r="P255" s="11" t="s">
        <v>93</v>
      </c>
      <c r="Q255" s="11" t="s">
        <v>617</v>
      </c>
      <c r="R255" s="11">
        <v>0.2</v>
      </c>
      <c r="S255" s="11"/>
      <c r="T255" s="12" t="s">
        <v>613</v>
      </c>
      <c r="U255" s="12">
        <v>46138</v>
      </c>
      <c r="V255" s="4" t="s">
        <v>124</v>
      </c>
      <c r="W255" s="11" t="s">
        <v>609</v>
      </c>
      <c r="X255" s="11" t="s">
        <v>603</v>
      </c>
      <c r="Y255" s="11" t="s">
        <v>618</v>
      </c>
      <c r="Z255" s="11">
        <v>0.5</v>
      </c>
      <c r="AA255" s="11"/>
      <c r="AB255" s="12" t="s">
        <v>613</v>
      </c>
      <c r="AC255" s="12">
        <v>46138</v>
      </c>
      <c r="AD255" s="12" t="s">
        <v>124</v>
      </c>
      <c r="AE255" s="42"/>
      <c r="AF255" s="42"/>
    </row>
    <row r="256" spans="1:32" ht="23.85" customHeight="1" x14ac:dyDescent="0.25">
      <c r="A256" s="44">
        <v>83</v>
      </c>
      <c r="B256" s="42" t="s">
        <v>28</v>
      </c>
      <c r="C256" s="42" t="s">
        <v>619</v>
      </c>
      <c r="D256" s="42">
        <v>103662</v>
      </c>
      <c r="E256" s="42" t="s">
        <v>620</v>
      </c>
      <c r="F256" s="42" t="s">
        <v>405</v>
      </c>
      <c r="G256" s="42" t="s">
        <v>32</v>
      </c>
      <c r="H256" s="42" t="s">
        <v>69</v>
      </c>
      <c r="I256" s="48" t="s">
        <v>621</v>
      </c>
      <c r="J256" s="42" t="s">
        <v>71</v>
      </c>
      <c r="K256" s="42"/>
      <c r="L256" s="42" t="s">
        <v>622</v>
      </c>
      <c r="M256" s="52">
        <v>47073</v>
      </c>
      <c r="N256" s="42" t="s">
        <v>623</v>
      </c>
      <c r="O256" s="11" t="s">
        <v>624</v>
      </c>
      <c r="P256" s="11" t="s">
        <v>625</v>
      </c>
      <c r="Q256" s="11" t="s">
        <v>626</v>
      </c>
      <c r="R256" s="11">
        <v>0.5</v>
      </c>
      <c r="S256" s="11"/>
      <c r="T256" s="12" t="s">
        <v>241</v>
      </c>
      <c r="U256" s="12">
        <v>47805</v>
      </c>
      <c r="V256" s="13" t="s">
        <v>627</v>
      </c>
      <c r="W256" s="11" t="s">
        <v>628</v>
      </c>
      <c r="X256" s="11" t="s">
        <v>409</v>
      </c>
      <c r="Y256" s="11" t="s">
        <v>629</v>
      </c>
      <c r="Z256" s="11">
        <v>0.2</v>
      </c>
      <c r="AA256" s="11"/>
      <c r="AB256" s="12" t="s">
        <v>630</v>
      </c>
      <c r="AC256" s="12">
        <v>47583</v>
      </c>
      <c r="AD256" s="12" t="s">
        <v>124</v>
      </c>
      <c r="AE256" s="42"/>
      <c r="AF256" s="43" t="s">
        <v>45</v>
      </c>
    </row>
    <row r="257" spans="1:32" ht="45" x14ac:dyDescent="0.25">
      <c r="A257" s="44"/>
      <c r="B257" s="42"/>
      <c r="C257" s="42"/>
      <c r="D257" s="42"/>
      <c r="E257" s="42"/>
      <c r="F257" s="42"/>
      <c r="G257" s="42"/>
      <c r="H257" s="42"/>
      <c r="I257" s="48"/>
      <c r="J257" s="42"/>
      <c r="K257" s="42"/>
      <c r="L257" s="42"/>
      <c r="M257" s="42"/>
      <c r="N257" s="42"/>
      <c r="O257" s="11" t="s">
        <v>624</v>
      </c>
      <c r="P257" s="11" t="s">
        <v>625</v>
      </c>
      <c r="Q257" s="11" t="s">
        <v>631</v>
      </c>
      <c r="R257" s="11">
        <v>0.5</v>
      </c>
      <c r="S257" s="11"/>
      <c r="T257" s="12" t="s">
        <v>241</v>
      </c>
      <c r="U257" s="12">
        <v>47805</v>
      </c>
      <c r="V257" s="13" t="s">
        <v>632</v>
      </c>
      <c r="W257" s="11" t="s">
        <v>628</v>
      </c>
      <c r="X257" s="11" t="s">
        <v>409</v>
      </c>
      <c r="Y257" s="11" t="s">
        <v>633</v>
      </c>
      <c r="Z257" s="11">
        <v>0.2</v>
      </c>
      <c r="AA257" s="11"/>
      <c r="AB257" s="12" t="s">
        <v>634</v>
      </c>
      <c r="AC257" s="12">
        <v>47598</v>
      </c>
      <c r="AD257" s="12" t="s">
        <v>124</v>
      </c>
      <c r="AE257" s="42"/>
      <c r="AF257" s="42"/>
    </row>
    <row r="258" spans="1:32" ht="45" x14ac:dyDescent="0.25">
      <c r="A258" s="44"/>
      <c r="B258" s="42"/>
      <c r="C258" s="42"/>
      <c r="D258" s="42"/>
      <c r="E258" s="42"/>
      <c r="F258" s="42"/>
      <c r="G258" s="42"/>
      <c r="H258" s="42"/>
      <c r="I258" s="48"/>
      <c r="J258" s="42"/>
      <c r="K258" s="42"/>
      <c r="L258" s="42"/>
      <c r="M258" s="42"/>
      <c r="N258" s="42"/>
      <c r="O258" s="11" t="s">
        <v>635</v>
      </c>
      <c r="P258" s="11" t="s">
        <v>625</v>
      </c>
      <c r="Q258" s="11" t="s">
        <v>636</v>
      </c>
      <c r="R258" s="11">
        <v>0.5</v>
      </c>
      <c r="S258" s="11"/>
      <c r="T258" s="12" t="s">
        <v>241</v>
      </c>
      <c r="U258" s="12">
        <v>47805</v>
      </c>
      <c r="V258" s="13" t="s">
        <v>637</v>
      </c>
      <c r="W258" s="11" t="s">
        <v>638</v>
      </c>
      <c r="X258" s="11" t="s">
        <v>409</v>
      </c>
      <c r="Y258" s="11" t="s">
        <v>639</v>
      </c>
      <c r="Z258" s="11">
        <v>0.2</v>
      </c>
      <c r="AA258" s="11"/>
      <c r="AB258" s="12" t="s">
        <v>634</v>
      </c>
      <c r="AC258" s="12">
        <v>47598</v>
      </c>
      <c r="AD258" s="12" t="s">
        <v>124</v>
      </c>
      <c r="AE258" s="42"/>
      <c r="AF258" s="42"/>
    </row>
    <row r="259" spans="1:32" ht="23.85" customHeight="1" x14ac:dyDescent="0.25">
      <c r="A259" s="44">
        <v>84</v>
      </c>
      <c r="B259" s="42" t="s">
        <v>28</v>
      </c>
      <c r="C259" s="42" t="s">
        <v>619</v>
      </c>
      <c r="D259" s="42">
        <v>103662</v>
      </c>
      <c r="E259" s="42" t="s">
        <v>640</v>
      </c>
      <c r="F259" s="42" t="s">
        <v>405</v>
      </c>
      <c r="G259" s="42" t="s">
        <v>32</v>
      </c>
      <c r="H259" s="42" t="s">
        <v>69</v>
      </c>
      <c r="I259" s="48" t="s">
        <v>641</v>
      </c>
      <c r="J259" s="42" t="s">
        <v>71</v>
      </c>
      <c r="K259" s="42"/>
      <c r="L259" s="42" t="s">
        <v>622</v>
      </c>
      <c r="M259" s="52">
        <v>47073</v>
      </c>
      <c r="N259" s="42" t="s">
        <v>623</v>
      </c>
      <c r="O259" s="11" t="s">
        <v>624</v>
      </c>
      <c r="P259" s="11" t="s">
        <v>59</v>
      </c>
      <c r="Q259" s="11" t="s">
        <v>642</v>
      </c>
      <c r="R259" s="11">
        <v>0.5</v>
      </c>
      <c r="S259" s="11"/>
      <c r="T259" s="12" t="s">
        <v>241</v>
      </c>
      <c r="U259" s="12">
        <v>47805</v>
      </c>
      <c r="V259" s="13" t="s">
        <v>643</v>
      </c>
      <c r="W259" s="11" t="s">
        <v>628</v>
      </c>
      <c r="X259" s="11" t="s">
        <v>409</v>
      </c>
      <c r="Y259" s="11" t="s">
        <v>629</v>
      </c>
      <c r="Z259" s="11">
        <v>0.2</v>
      </c>
      <c r="AA259" s="11"/>
      <c r="AB259" s="12" t="s">
        <v>630</v>
      </c>
      <c r="AC259" s="12">
        <v>47583</v>
      </c>
      <c r="AD259" s="12" t="s">
        <v>124</v>
      </c>
      <c r="AE259" s="42"/>
      <c r="AF259" s="43" t="s">
        <v>45</v>
      </c>
    </row>
    <row r="260" spans="1:32" ht="45" x14ac:dyDescent="0.25">
      <c r="A260" s="44"/>
      <c r="B260" s="42"/>
      <c r="C260" s="42"/>
      <c r="D260" s="42"/>
      <c r="E260" s="42"/>
      <c r="F260" s="42"/>
      <c r="G260" s="42"/>
      <c r="H260" s="42"/>
      <c r="I260" s="48"/>
      <c r="J260" s="42"/>
      <c r="K260" s="42"/>
      <c r="L260" s="42"/>
      <c r="M260" s="42"/>
      <c r="N260" s="42"/>
      <c r="O260" s="11" t="s">
        <v>624</v>
      </c>
      <c r="P260" s="11" t="s">
        <v>59</v>
      </c>
      <c r="Q260" s="11" t="s">
        <v>644</v>
      </c>
      <c r="R260" s="11">
        <v>0.5</v>
      </c>
      <c r="S260" s="11"/>
      <c r="T260" s="12" t="s">
        <v>241</v>
      </c>
      <c r="U260" s="12">
        <v>47805</v>
      </c>
      <c r="V260" s="13" t="s">
        <v>645</v>
      </c>
      <c r="W260" s="11" t="s">
        <v>628</v>
      </c>
      <c r="X260" s="11" t="s">
        <v>409</v>
      </c>
      <c r="Y260" s="11" t="s">
        <v>633</v>
      </c>
      <c r="Z260" s="11">
        <v>0.2</v>
      </c>
      <c r="AA260" s="11"/>
      <c r="AB260" s="12" t="s">
        <v>634</v>
      </c>
      <c r="AC260" s="12">
        <v>47598</v>
      </c>
      <c r="AD260" s="12" t="s">
        <v>124</v>
      </c>
      <c r="AE260" s="42"/>
      <c r="AF260" s="42"/>
    </row>
    <row r="261" spans="1:32" ht="45" x14ac:dyDescent="0.25">
      <c r="A261" s="44"/>
      <c r="B261" s="42"/>
      <c r="C261" s="42"/>
      <c r="D261" s="42"/>
      <c r="E261" s="42"/>
      <c r="F261" s="42"/>
      <c r="G261" s="42"/>
      <c r="H261" s="42"/>
      <c r="I261" s="48"/>
      <c r="J261" s="42"/>
      <c r="K261" s="42"/>
      <c r="L261" s="42"/>
      <c r="M261" s="42"/>
      <c r="N261" s="42"/>
      <c r="O261" s="11" t="s">
        <v>635</v>
      </c>
      <c r="P261" s="11" t="s">
        <v>59</v>
      </c>
      <c r="Q261" s="11">
        <v>33301</v>
      </c>
      <c r="R261" s="11">
        <v>0.5</v>
      </c>
      <c r="S261" s="11"/>
      <c r="T261" s="12" t="s">
        <v>241</v>
      </c>
      <c r="U261" s="12">
        <v>47805</v>
      </c>
      <c r="V261" s="13" t="s">
        <v>646</v>
      </c>
      <c r="W261" s="11" t="s">
        <v>638</v>
      </c>
      <c r="X261" s="11" t="s">
        <v>409</v>
      </c>
      <c r="Y261" s="11" t="s">
        <v>639</v>
      </c>
      <c r="Z261" s="11">
        <v>0.2</v>
      </c>
      <c r="AA261" s="11"/>
      <c r="AB261" s="12" t="s">
        <v>634</v>
      </c>
      <c r="AC261" s="12">
        <v>47598</v>
      </c>
      <c r="AD261" s="12" t="s">
        <v>124</v>
      </c>
      <c r="AE261" s="42"/>
      <c r="AF261" s="42"/>
    </row>
    <row r="262" spans="1:32" ht="35.1" customHeight="1" x14ac:dyDescent="0.25">
      <c r="A262" s="44">
        <v>85</v>
      </c>
      <c r="B262" s="42" t="s">
        <v>28</v>
      </c>
      <c r="C262" s="42" t="s">
        <v>619</v>
      </c>
      <c r="D262" s="42">
        <v>103662</v>
      </c>
      <c r="E262" s="42" t="s">
        <v>647</v>
      </c>
      <c r="F262" s="42" t="s">
        <v>405</v>
      </c>
      <c r="G262" s="42" t="s">
        <v>597</v>
      </c>
      <c r="H262" s="42" t="s">
        <v>33</v>
      </c>
      <c r="I262" s="48">
        <v>40791713</v>
      </c>
      <c r="J262" s="42" t="s">
        <v>35</v>
      </c>
      <c r="K262" s="42"/>
      <c r="L262" s="52">
        <v>43824</v>
      </c>
      <c r="M262" s="52">
        <v>49668</v>
      </c>
      <c r="N262" s="42" t="s">
        <v>92</v>
      </c>
      <c r="O262" s="11" t="s">
        <v>648</v>
      </c>
      <c r="P262" s="11" t="s">
        <v>38</v>
      </c>
      <c r="Q262" s="11" t="s">
        <v>649</v>
      </c>
      <c r="R262" s="11">
        <v>0.2</v>
      </c>
      <c r="S262" s="11"/>
      <c r="T262" s="12" t="s">
        <v>650</v>
      </c>
      <c r="U262" s="12">
        <v>47807</v>
      </c>
      <c r="V262" s="13" t="s">
        <v>651</v>
      </c>
      <c r="W262" s="11" t="s">
        <v>628</v>
      </c>
      <c r="X262" s="11" t="s">
        <v>409</v>
      </c>
      <c r="Y262" s="11" t="s">
        <v>629</v>
      </c>
      <c r="Z262" s="11">
        <v>0.2</v>
      </c>
      <c r="AA262" s="11"/>
      <c r="AB262" s="12" t="s">
        <v>630</v>
      </c>
      <c r="AC262" s="12">
        <v>47583</v>
      </c>
      <c r="AD262" s="12" t="s">
        <v>124</v>
      </c>
      <c r="AE262" s="42"/>
      <c r="AF262" s="43" t="s">
        <v>45</v>
      </c>
    </row>
    <row r="263" spans="1:32" ht="45" x14ac:dyDescent="0.25">
      <c r="A263" s="44"/>
      <c r="B263" s="42"/>
      <c r="C263" s="42"/>
      <c r="D263" s="42"/>
      <c r="E263" s="42"/>
      <c r="F263" s="42"/>
      <c r="G263" s="42"/>
      <c r="H263" s="42"/>
      <c r="I263" s="48"/>
      <c r="J263" s="42"/>
      <c r="K263" s="42"/>
      <c r="L263" s="42"/>
      <c r="M263" s="42"/>
      <c r="N263" s="42"/>
      <c r="O263" s="11" t="s">
        <v>648</v>
      </c>
      <c r="P263" s="11" t="s">
        <v>38</v>
      </c>
      <c r="Q263" s="11" t="s">
        <v>652</v>
      </c>
      <c r="R263" s="11">
        <v>0.2</v>
      </c>
      <c r="S263" s="11"/>
      <c r="T263" s="12" t="s">
        <v>653</v>
      </c>
      <c r="U263" s="12">
        <v>47808</v>
      </c>
      <c r="V263" s="13" t="s">
        <v>654</v>
      </c>
      <c r="W263" s="11" t="s">
        <v>628</v>
      </c>
      <c r="X263" s="11" t="s">
        <v>409</v>
      </c>
      <c r="Y263" s="11" t="s">
        <v>633</v>
      </c>
      <c r="Z263" s="11">
        <v>0.2</v>
      </c>
      <c r="AA263" s="11"/>
      <c r="AB263" s="12" t="s">
        <v>634</v>
      </c>
      <c r="AC263" s="12">
        <v>47598</v>
      </c>
      <c r="AD263" s="12" t="s">
        <v>124</v>
      </c>
      <c r="AE263" s="42"/>
      <c r="AF263" s="42"/>
    </row>
    <row r="264" spans="1:32" ht="45" x14ac:dyDescent="0.25">
      <c r="A264" s="44"/>
      <c r="B264" s="42"/>
      <c r="C264" s="42"/>
      <c r="D264" s="42"/>
      <c r="E264" s="42"/>
      <c r="F264" s="42"/>
      <c r="G264" s="42"/>
      <c r="H264" s="42"/>
      <c r="I264" s="48"/>
      <c r="J264" s="42"/>
      <c r="K264" s="42"/>
      <c r="L264" s="42"/>
      <c r="M264" s="42"/>
      <c r="N264" s="42"/>
      <c r="O264" s="11" t="s">
        <v>655</v>
      </c>
      <c r="P264" s="11" t="s">
        <v>38</v>
      </c>
      <c r="Q264" s="11" t="s">
        <v>656</v>
      </c>
      <c r="R264" s="11">
        <v>0.2</v>
      </c>
      <c r="S264" s="11"/>
      <c r="T264" s="12" t="s">
        <v>653</v>
      </c>
      <c r="U264" s="12">
        <v>47808</v>
      </c>
      <c r="V264" s="13" t="s">
        <v>657</v>
      </c>
      <c r="W264" s="11" t="s">
        <v>638</v>
      </c>
      <c r="X264" s="11" t="s">
        <v>409</v>
      </c>
      <c r="Y264" s="11" t="s">
        <v>639</v>
      </c>
      <c r="Z264" s="11">
        <v>0.2</v>
      </c>
      <c r="AA264" s="11"/>
      <c r="AB264" s="12" t="s">
        <v>634</v>
      </c>
      <c r="AC264" s="12">
        <v>47598</v>
      </c>
      <c r="AD264" s="12" t="s">
        <v>124</v>
      </c>
      <c r="AE264" s="42"/>
      <c r="AF264" s="42"/>
    </row>
    <row r="265" spans="1:32" ht="23.85" customHeight="1" x14ac:dyDescent="0.25">
      <c r="A265" s="44">
        <v>86</v>
      </c>
      <c r="B265" s="42" t="s">
        <v>28</v>
      </c>
      <c r="C265" s="42" t="s">
        <v>619</v>
      </c>
      <c r="D265" s="42">
        <v>103662</v>
      </c>
      <c r="E265" s="42" t="s">
        <v>658</v>
      </c>
      <c r="F265" s="42" t="s">
        <v>405</v>
      </c>
      <c r="G265" s="42" t="s">
        <v>32</v>
      </c>
      <c r="H265" s="42" t="s">
        <v>69</v>
      </c>
      <c r="I265" s="48" t="s">
        <v>659</v>
      </c>
      <c r="J265" s="42" t="s">
        <v>71</v>
      </c>
      <c r="K265" s="42"/>
      <c r="L265" s="42" t="s">
        <v>622</v>
      </c>
      <c r="M265" s="52">
        <v>47073</v>
      </c>
      <c r="N265" s="42" t="s">
        <v>623</v>
      </c>
      <c r="O265" s="11" t="s">
        <v>624</v>
      </c>
      <c r="P265" s="11" t="s">
        <v>625</v>
      </c>
      <c r="Q265" s="11" t="s">
        <v>660</v>
      </c>
      <c r="R265" s="11">
        <v>0.5</v>
      </c>
      <c r="S265" s="11"/>
      <c r="T265" s="12" t="s">
        <v>653</v>
      </c>
      <c r="U265" s="12">
        <v>47808</v>
      </c>
      <c r="V265" s="13" t="s">
        <v>661</v>
      </c>
      <c r="W265" s="11" t="s">
        <v>628</v>
      </c>
      <c r="X265" s="11" t="s">
        <v>409</v>
      </c>
      <c r="Y265" s="11" t="s">
        <v>662</v>
      </c>
      <c r="Z265" s="11">
        <v>0.2</v>
      </c>
      <c r="AA265" s="11"/>
      <c r="AB265" s="12" t="s">
        <v>634</v>
      </c>
      <c r="AC265" s="12">
        <v>47598</v>
      </c>
      <c r="AD265" s="12" t="s">
        <v>124</v>
      </c>
      <c r="AE265" s="42"/>
      <c r="AF265" s="43" t="s">
        <v>45</v>
      </c>
    </row>
    <row r="266" spans="1:32" ht="45" x14ac:dyDescent="0.25">
      <c r="A266" s="44"/>
      <c r="B266" s="42"/>
      <c r="C266" s="42"/>
      <c r="D266" s="42"/>
      <c r="E266" s="42"/>
      <c r="F266" s="42"/>
      <c r="G266" s="42"/>
      <c r="H266" s="42"/>
      <c r="I266" s="48"/>
      <c r="J266" s="42"/>
      <c r="K266" s="42"/>
      <c r="L266" s="42"/>
      <c r="M266" s="42"/>
      <c r="N266" s="42"/>
      <c r="O266" s="11" t="s">
        <v>624</v>
      </c>
      <c r="P266" s="11" t="s">
        <v>625</v>
      </c>
      <c r="Q266" s="11" t="s">
        <v>663</v>
      </c>
      <c r="R266" s="11">
        <v>0.5</v>
      </c>
      <c r="S266" s="11"/>
      <c r="T266" s="12" t="s">
        <v>650</v>
      </c>
      <c r="U266" s="12">
        <v>47807</v>
      </c>
      <c r="V266" s="13" t="s">
        <v>664</v>
      </c>
      <c r="W266" s="11" t="s">
        <v>628</v>
      </c>
      <c r="X266" s="11" t="s">
        <v>409</v>
      </c>
      <c r="Y266" s="11" t="s">
        <v>665</v>
      </c>
      <c r="Z266" s="11">
        <v>0.2</v>
      </c>
      <c r="AA266" s="11"/>
      <c r="AB266" s="12" t="s">
        <v>634</v>
      </c>
      <c r="AC266" s="12">
        <v>47598</v>
      </c>
      <c r="AD266" s="12" t="s">
        <v>124</v>
      </c>
      <c r="AE266" s="42"/>
      <c r="AF266" s="42"/>
    </row>
    <row r="267" spans="1:32" ht="45" x14ac:dyDescent="0.25">
      <c r="A267" s="44"/>
      <c r="B267" s="42"/>
      <c r="C267" s="42"/>
      <c r="D267" s="42"/>
      <c r="E267" s="42"/>
      <c r="F267" s="42"/>
      <c r="G267" s="42"/>
      <c r="H267" s="42"/>
      <c r="I267" s="48"/>
      <c r="J267" s="42"/>
      <c r="K267" s="42"/>
      <c r="L267" s="42"/>
      <c r="M267" s="42"/>
      <c r="N267" s="42"/>
      <c r="O267" s="11" t="s">
        <v>635</v>
      </c>
      <c r="P267" s="11" t="s">
        <v>625</v>
      </c>
      <c r="Q267" s="11">
        <v>846</v>
      </c>
      <c r="R267" s="11">
        <v>0.5</v>
      </c>
      <c r="S267" s="11"/>
      <c r="T267" s="12" t="s">
        <v>653</v>
      </c>
      <c r="U267" s="12">
        <v>47808</v>
      </c>
      <c r="V267" s="13" t="s">
        <v>666</v>
      </c>
      <c r="W267" s="11" t="s">
        <v>638</v>
      </c>
      <c r="X267" s="11" t="s">
        <v>409</v>
      </c>
      <c r="Y267" s="11" t="s">
        <v>667</v>
      </c>
      <c r="Z267" s="11">
        <v>0.2</v>
      </c>
      <c r="AA267" s="11"/>
      <c r="AB267" s="12" t="s">
        <v>634</v>
      </c>
      <c r="AC267" s="12">
        <v>47598</v>
      </c>
      <c r="AD267" s="12" t="s">
        <v>124</v>
      </c>
      <c r="AE267" s="42"/>
      <c r="AF267" s="42"/>
    </row>
    <row r="268" spans="1:32" ht="23.85" customHeight="1" x14ac:dyDescent="0.25">
      <c r="A268" s="44">
        <v>87</v>
      </c>
      <c r="B268" s="42" t="s">
        <v>28</v>
      </c>
      <c r="C268" s="42" t="s">
        <v>619</v>
      </c>
      <c r="D268" s="42">
        <v>103662</v>
      </c>
      <c r="E268" s="42" t="s">
        <v>668</v>
      </c>
      <c r="F268" s="42" t="s">
        <v>405</v>
      </c>
      <c r="G268" s="42" t="s">
        <v>32</v>
      </c>
      <c r="H268" s="42" t="s">
        <v>69</v>
      </c>
      <c r="I268" s="48" t="s">
        <v>669</v>
      </c>
      <c r="J268" s="42" t="s">
        <v>71</v>
      </c>
      <c r="K268" s="42"/>
      <c r="L268" s="42" t="s">
        <v>622</v>
      </c>
      <c r="M268" s="52">
        <v>47073</v>
      </c>
      <c r="N268" s="42" t="s">
        <v>623</v>
      </c>
      <c r="O268" s="11" t="s">
        <v>624</v>
      </c>
      <c r="P268" s="11" t="s">
        <v>59</v>
      </c>
      <c r="Q268" s="11" t="s">
        <v>670</v>
      </c>
      <c r="R268" s="11">
        <v>0.5</v>
      </c>
      <c r="S268" s="11"/>
      <c r="T268" s="12" t="s">
        <v>653</v>
      </c>
      <c r="U268" s="12">
        <v>47808</v>
      </c>
      <c r="V268" s="13" t="s">
        <v>671</v>
      </c>
      <c r="W268" s="11" t="s">
        <v>628</v>
      </c>
      <c r="X268" s="11" t="s">
        <v>409</v>
      </c>
      <c r="Y268" s="11" t="s">
        <v>662</v>
      </c>
      <c r="Z268" s="11">
        <v>0.2</v>
      </c>
      <c r="AA268" s="11"/>
      <c r="AB268" s="12" t="s">
        <v>634</v>
      </c>
      <c r="AC268" s="12">
        <v>47598</v>
      </c>
      <c r="AD268" s="12" t="s">
        <v>124</v>
      </c>
      <c r="AE268" s="42"/>
      <c r="AF268" s="43" t="s">
        <v>45</v>
      </c>
    </row>
    <row r="269" spans="1:32" ht="45" x14ac:dyDescent="0.25">
      <c r="A269" s="44"/>
      <c r="B269" s="42"/>
      <c r="C269" s="42"/>
      <c r="D269" s="42"/>
      <c r="E269" s="42"/>
      <c r="F269" s="42"/>
      <c r="G269" s="42"/>
      <c r="H269" s="42"/>
      <c r="I269" s="48"/>
      <c r="J269" s="42"/>
      <c r="K269" s="42"/>
      <c r="L269" s="42"/>
      <c r="M269" s="42"/>
      <c r="N269" s="42"/>
      <c r="O269" s="11" t="s">
        <v>624</v>
      </c>
      <c r="P269" s="11" t="s">
        <v>59</v>
      </c>
      <c r="Q269" s="11" t="s">
        <v>672</v>
      </c>
      <c r="R269" s="11">
        <v>0.5</v>
      </c>
      <c r="S269" s="11"/>
      <c r="T269" s="12" t="s">
        <v>653</v>
      </c>
      <c r="U269" s="12">
        <v>47808</v>
      </c>
      <c r="V269" s="13" t="s">
        <v>673</v>
      </c>
      <c r="W269" s="11" t="s">
        <v>628</v>
      </c>
      <c r="X269" s="11" t="s">
        <v>409</v>
      </c>
      <c r="Y269" s="11" t="s">
        <v>665</v>
      </c>
      <c r="Z269" s="11">
        <v>0.2</v>
      </c>
      <c r="AA269" s="11"/>
      <c r="AB269" s="12" t="s">
        <v>634</v>
      </c>
      <c r="AC269" s="12">
        <v>47598</v>
      </c>
      <c r="AD269" s="12" t="s">
        <v>124</v>
      </c>
      <c r="AE269" s="42"/>
      <c r="AF269" s="42"/>
    </row>
    <row r="270" spans="1:32" ht="45" x14ac:dyDescent="0.25">
      <c r="A270" s="44"/>
      <c r="B270" s="42"/>
      <c r="C270" s="42"/>
      <c r="D270" s="42"/>
      <c r="E270" s="42"/>
      <c r="F270" s="42"/>
      <c r="G270" s="42"/>
      <c r="H270" s="42"/>
      <c r="I270" s="48"/>
      <c r="J270" s="42"/>
      <c r="K270" s="42"/>
      <c r="L270" s="42"/>
      <c r="M270" s="42"/>
      <c r="N270" s="42"/>
      <c r="O270" s="11" t="s">
        <v>635</v>
      </c>
      <c r="P270" s="11" t="s">
        <v>59</v>
      </c>
      <c r="Q270" s="11">
        <v>28819</v>
      </c>
      <c r="R270" s="11">
        <v>0.5</v>
      </c>
      <c r="S270" s="11"/>
      <c r="T270" s="12" t="s">
        <v>653</v>
      </c>
      <c r="U270" s="12">
        <v>47808</v>
      </c>
      <c r="V270" s="13" t="s">
        <v>674</v>
      </c>
      <c r="W270" s="11" t="s">
        <v>638</v>
      </c>
      <c r="X270" s="11" t="s">
        <v>409</v>
      </c>
      <c r="Y270" s="11" t="s">
        <v>667</v>
      </c>
      <c r="Z270" s="11">
        <v>0.2</v>
      </c>
      <c r="AA270" s="11"/>
      <c r="AB270" s="12" t="s">
        <v>634</v>
      </c>
      <c r="AC270" s="12">
        <v>47598</v>
      </c>
      <c r="AD270" s="12" t="s">
        <v>124</v>
      </c>
      <c r="AE270" s="42"/>
      <c r="AF270" s="42"/>
    </row>
    <row r="271" spans="1:32" ht="35.1" customHeight="1" x14ac:dyDescent="0.25">
      <c r="A271" s="44">
        <v>88</v>
      </c>
      <c r="B271" s="42" t="s">
        <v>28</v>
      </c>
      <c r="C271" s="42" t="s">
        <v>619</v>
      </c>
      <c r="D271" s="42">
        <v>103662</v>
      </c>
      <c r="E271" s="42" t="s">
        <v>675</v>
      </c>
      <c r="F271" s="42" t="s">
        <v>405</v>
      </c>
      <c r="G271" s="42" t="s">
        <v>68</v>
      </c>
      <c r="H271" s="42" t="s">
        <v>33</v>
      </c>
      <c r="I271" s="48">
        <v>40791677</v>
      </c>
      <c r="J271" s="42" t="s">
        <v>35</v>
      </c>
      <c r="K271" s="42"/>
      <c r="L271" s="52">
        <v>43824</v>
      </c>
      <c r="M271" s="52">
        <v>49668</v>
      </c>
      <c r="N271" s="55" t="s">
        <v>92</v>
      </c>
      <c r="O271" s="11" t="s">
        <v>648</v>
      </c>
      <c r="P271" s="11" t="s">
        <v>38</v>
      </c>
      <c r="Q271" s="11" t="s">
        <v>676</v>
      </c>
      <c r="R271" s="11">
        <v>0.2</v>
      </c>
      <c r="S271" s="11"/>
      <c r="T271" s="12" t="s">
        <v>650</v>
      </c>
      <c r="U271" s="12">
        <v>47807</v>
      </c>
      <c r="V271" s="13" t="s">
        <v>677</v>
      </c>
      <c r="W271" s="11" t="s">
        <v>628</v>
      </c>
      <c r="X271" s="11" t="s">
        <v>409</v>
      </c>
      <c r="Y271" s="11" t="s">
        <v>662</v>
      </c>
      <c r="Z271" s="11">
        <v>0.2</v>
      </c>
      <c r="AA271" s="11"/>
      <c r="AB271" s="12" t="s">
        <v>634</v>
      </c>
      <c r="AC271" s="12">
        <v>47598</v>
      </c>
      <c r="AD271" s="12" t="s">
        <v>124</v>
      </c>
      <c r="AE271" s="42"/>
      <c r="AF271" s="43" t="s">
        <v>45</v>
      </c>
    </row>
    <row r="272" spans="1:32" ht="45" x14ac:dyDescent="0.25">
      <c r="A272" s="44"/>
      <c r="B272" s="42"/>
      <c r="C272" s="42"/>
      <c r="D272" s="42"/>
      <c r="E272" s="42"/>
      <c r="F272" s="42"/>
      <c r="G272" s="42"/>
      <c r="H272" s="42"/>
      <c r="I272" s="48"/>
      <c r="J272" s="42"/>
      <c r="K272" s="42"/>
      <c r="L272" s="42"/>
      <c r="M272" s="42"/>
      <c r="N272" s="42"/>
      <c r="O272" s="11" t="s">
        <v>648</v>
      </c>
      <c r="P272" s="11" t="s">
        <v>38</v>
      </c>
      <c r="Q272" s="11" t="s">
        <v>678</v>
      </c>
      <c r="R272" s="11">
        <v>0.2</v>
      </c>
      <c r="S272" s="11"/>
      <c r="T272" s="12" t="s">
        <v>653</v>
      </c>
      <c r="U272" s="12">
        <v>47808</v>
      </c>
      <c r="V272" s="13" t="s">
        <v>679</v>
      </c>
      <c r="W272" s="11" t="s">
        <v>628</v>
      </c>
      <c r="X272" s="11" t="s">
        <v>409</v>
      </c>
      <c r="Y272" s="11" t="s">
        <v>665</v>
      </c>
      <c r="Z272" s="11">
        <v>0.2</v>
      </c>
      <c r="AA272" s="11"/>
      <c r="AB272" s="12" t="s">
        <v>634</v>
      </c>
      <c r="AC272" s="12">
        <v>47598</v>
      </c>
      <c r="AD272" s="12" t="s">
        <v>124</v>
      </c>
      <c r="AE272" s="42"/>
      <c r="AF272" s="42"/>
    </row>
    <row r="273" spans="1:32" ht="45" x14ac:dyDescent="0.25">
      <c r="A273" s="44"/>
      <c r="B273" s="42"/>
      <c r="C273" s="42"/>
      <c r="D273" s="42"/>
      <c r="E273" s="42"/>
      <c r="F273" s="42"/>
      <c r="G273" s="42"/>
      <c r="H273" s="42"/>
      <c r="I273" s="48"/>
      <c r="J273" s="42"/>
      <c r="K273" s="42"/>
      <c r="L273" s="42"/>
      <c r="M273" s="42"/>
      <c r="N273" s="42"/>
      <c r="O273" s="11" t="s">
        <v>655</v>
      </c>
      <c r="P273" s="11" t="s">
        <v>38</v>
      </c>
      <c r="Q273" s="11" t="s">
        <v>680</v>
      </c>
      <c r="R273" s="11">
        <v>0.2</v>
      </c>
      <c r="S273" s="11"/>
      <c r="T273" s="12" t="s">
        <v>653</v>
      </c>
      <c r="U273" s="12">
        <v>47808</v>
      </c>
      <c r="V273" s="13" t="s">
        <v>681</v>
      </c>
      <c r="W273" s="11" t="s">
        <v>638</v>
      </c>
      <c r="X273" s="11" t="s">
        <v>409</v>
      </c>
      <c r="Y273" s="11" t="s">
        <v>667</v>
      </c>
      <c r="Z273" s="11">
        <v>0.2</v>
      </c>
      <c r="AA273" s="11"/>
      <c r="AB273" s="12" t="s">
        <v>634</v>
      </c>
      <c r="AC273" s="12">
        <v>47598</v>
      </c>
      <c r="AD273" s="12" t="s">
        <v>124</v>
      </c>
      <c r="AE273" s="42"/>
      <c r="AF273" s="42"/>
    </row>
    <row r="274" spans="1:32" ht="23.85" customHeight="1" x14ac:dyDescent="0.25">
      <c r="A274" s="44">
        <v>89</v>
      </c>
      <c r="B274" s="42" t="s">
        <v>28</v>
      </c>
      <c r="C274" s="42" t="s">
        <v>619</v>
      </c>
      <c r="D274" s="42">
        <v>103662</v>
      </c>
      <c r="E274" s="42" t="s">
        <v>682</v>
      </c>
      <c r="F274" s="42" t="s">
        <v>405</v>
      </c>
      <c r="G274" s="42" t="s">
        <v>90</v>
      </c>
      <c r="H274" s="42" t="s">
        <v>33</v>
      </c>
      <c r="I274" s="48" t="s">
        <v>683</v>
      </c>
      <c r="J274" s="42" t="s">
        <v>35</v>
      </c>
      <c r="K274" s="42"/>
      <c r="L274" s="42" t="s">
        <v>265</v>
      </c>
      <c r="M274" s="52">
        <v>49668</v>
      </c>
      <c r="N274" s="42" t="s">
        <v>92</v>
      </c>
      <c r="O274" s="11" t="s">
        <v>624</v>
      </c>
      <c r="P274" s="11" t="s">
        <v>163</v>
      </c>
      <c r="Q274" s="11" t="s">
        <v>684</v>
      </c>
      <c r="R274" s="11">
        <v>0.5</v>
      </c>
      <c r="S274" s="11"/>
      <c r="T274" s="12" t="s">
        <v>634</v>
      </c>
      <c r="U274" s="12">
        <v>46868</v>
      </c>
      <c r="V274" s="13" t="s">
        <v>685</v>
      </c>
      <c r="W274" s="11" t="s">
        <v>628</v>
      </c>
      <c r="X274" s="11" t="s">
        <v>409</v>
      </c>
      <c r="Y274" s="11" t="s">
        <v>686</v>
      </c>
      <c r="Z274" s="11">
        <v>0.2</v>
      </c>
      <c r="AA274" s="11"/>
      <c r="AB274" s="12" t="s">
        <v>634</v>
      </c>
      <c r="AC274" s="12">
        <v>47598</v>
      </c>
      <c r="AD274" s="12" t="s">
        <v>124</v>
      </c>
      <c r="AE274" s="42"/>
      <c r="AF274" s="43" t="s">
        <v>45</v>
      </c>
    </row>
    <row r="275" spans="1:32" ht="25.5" x14ac:dyDescent="0.25">
      <c r="A275" s="44"/>
      <c r="B275" s="42"/>
      <c r="C275" s="42"/>
      <c r="D275" s="42"/>
      <c r="E275" s="42"/>
      <c r="F275" s="42"/>
      <c r="G275" s="42"/>
      <c r="H275" s="42"/>
      <c r="I275" s="48"/>
      <c r="J275" s="42"/>
      <c r="K275" s="42"/>
      <c r="L275" s="42"/>
      <c r="M275" s="42"/>
      <c r="N275" s="42"/>
      <c r="O275" s="11" t="s">
        <v>77</v>
      </c>
      <c r="P275" s="11" t="s">
        <v>77</v>
      </c>
      <c r="Q275" s="11" t="s">
        <v>77</v>
      </c>
      <c r="R275" s="11" t="s">
        <v>77</v>
      </c>
      <c r="S275" s="11"/>
      <c r="T275" s="12" t="s">
        <v>77</v>
      </c>
      <c r="U275" s="12" t="s">
        <v>77</v>
      </c>
      <c r="V275" s="4"/>
      <c r="W275" s="11" t="s">
        <v>628</v>
      </c>
      <c r="X275" s="11" t="s">
        <v>409</v>
      </c>
      <c r="Y275" s="11" t="s">
        <v>687</v>
      </c>
      <c r="Z275" s="11">
        <v>0.2</v>
      </c>
      <c r="AA275" s="11"/>
      <c r="AB275" s="12" t="s">
        <v>634</v>
      </c>
      <c r="AC275" s="12">
        <v>47598</v>
      </c>
      <c r="AD275" s="12" t="s">
        <v>124</v>
      </c>
      <c r="AE275" s="42"/>
      <c r="AF275" s="42"/>
    </row>
    <row r="276" spans="1:32" ht="45" x14ac:dyDescent="0.25">
      <c r="A276" s="44"/>
      <c r="B276" s="42"/>
      <c r="C276" s="42"/>
      <c r="D276" s="42"/>
      <c r="E276" s="42"/>
      <c r="F276" s="42"/>
      <c r="G276" s="42"/>
      <c r="H276" s="42"/>
      <c r="I276" s="48"/>
      <c r="J276" s="42"/>
      <c r="K276" s="42"/>
      <c r="L276" s="42"/>
      <c r="M276" s="42"/>
      <c r="N276" s="42"/>
      <c r="O276" s="11" t="s">
        <v>635</v>
      </c>
      <c r="P276" s="11" t="s">
        <v>163</v>
      </c>
      <c r="Q276" s="11">
        <v>10941</v>
      </c>
      <c r="R276" s="11">
        <v>0.5</v>
      </c>
      <c r="S276" s="11"/>
      <c r="T276" s="12" t="s">
        <v>634</v>
      </c>
      <c r="U276" s="12">
        <v>46868</v>
      </c>
      <c r="V276" s="13" t="s">
        <v>688</v>
      </c>
      <c r="W276" s="11" t="s">
        <v>638</v>
      </c>
      <c r="X276" s="11" t="s">
        <v>409</v>
      </c>
      <c r="Y276" s="11" t="s">
        <v>689</v>
      </c>
      <c r="Z276" s="11">
        <v>0.2</v>
      </c>
      <c r="AA276" s="11"/>
      <c r="AB276" s="12" t="s">
        <v>634</v>
      </c>
      <c r="AC276" s="12">
        <v>47598</v>
      </c>
      <c r="AD276" s="12" t="s">
        <v>124</v>
      </c>
      <c r="AE276" s="42"/>
      <c r="AF276" s="42"/>
    </row>
    <row r="277" spans="1:32" ht="35.1" customHeight="1" x14ac:dyDescent="0.25">
      <c r="A277" s="44">
        <v>90</v>
      </c>
      <c r="B277" s="42" t="s">
        <v>28</v>
      </c>
      <c r="C277" s="42" t="s">
        <v>619</v>
      </c>
      <c r="D277" s="42">
        <v>103662</v>
      </c>
      <c r="E277" s="42" t="s">
        <v>690</v>
      </c>
      <c r="F277" s="42" t="s">
        <v>405</v>
      </c>
      <c r="G277" s="42" t="s">
        <v>597</v>
      </c>
      <c r="H277" s="42" t="s">
        <v>33</v>
      </c>
      <c r="I277" s="48">
        <v>40791631</v>
      </c>
      <c r="J277" s="42" t="s">
        <v>35</v>
      </c>
      <c r="K277" s="42"/>
      <c r="L277" s="52">
        <v>43824</v>
      </c>
      <c r="M277" s="52">
        <v>49668</v>
      </c>
      <c r="N277" s="42" t="s">
        <v>92</v>
      </c>
      <c r="O277" s="11" t="s">
        <v>648</v>
      </c>
      <c r="P277" s="11" t="s">
        <v>38</v>
      </c>
      <c r="Q277" s="11" t="s">
        <v>691</v>
      </c>
      <c r="R277" s="11">
        <v>0.2</v>
      </c>
      <c r="S277" s="11"/>
      <c r="T277" s="12" t="s">
        <v>630</v>
      </c>
      <c r="U277" s="12">
        <v>47583</v>
      </c>
      <c r="V277" s="13" t="s">
        <v>692</v>
      </c>
      <c r="W277" s="11" t="s">
        <v>628</v>
      </c>
      <c r="X277" s="11" t="s">
        <v>409</v>
      </c>
      <c r="Y277" s="11" t="s">
        <v>686</v>
      </c>
      <c r="Z277" s="11">
        <v>0.2</v>
      </c>
      <c r="AA277" s="11"/>
      <c r="AB277" s="12" t="s">
        <v>634</v>
      </c>
      <c r="AC277" s="12">
        <v>47598</v>
      </c>
      <c r="AD277" s="12" t="s">
        <v>124</v>
      </c>
      <c r="AE277" s="42"/>
      <c r="AF277" s="43" t="s">
        <v>45</v>
      </c>
    </row>
    <row r="278" spans="1:32" ht="45" x14ac:dyDescent="0.25">
      <c r="A278" s="44"/>
      <c r="B278" s="42"/>
      <c r="C278" s="42"/>
      <c r="D278" s="42"/>
      <c r="E278" s="42"/>
      <c r="F278" s="42"/>
      <c r="G278" s="42"/>
      <c r="H278" s="42"/>
      <c r="I278" s="48"/>
      <c r="J278" s="42"/>
      <c r="K278" s="42"/>
      <c r="L278" s="42"/>
      <c r="M278" s="42"/>
      <c r="N278" s="42"/>
      <c r="O278" s="11" t="s">
        <v>648</v>
      </c>
      <c r="P278" s="11" t="s">
        <v>38</v>
      </c>
      <c r="Q278" s="11" t="s">
        <v>693</v>
      </c>
      <c r="R278" s="11">
        <v>0.2</v>
      </c>
      <c r="S278" s="11"/>
      <c r="T278" s="12" t="s">
        <v>694</v>
      </c>
      <c r="U278" s="12">
        <v>47584</v>
      </c>
      <c r="V278" s="13" t="s">
        <v>695</v>
      </c>
      <c r="W278" s="11" t="s">
        <v>628</v>
      </c>
      <c r="X278" s="11" t="s">
        <v>409</v>
      </c>
      <c r="Y278" s="11" t="s">
        <v>687</v>
      </c>
      <c r="Z278" s="11">
        <v>0.2</v>
      </c>
      <c r="AA278" s="11"/>
      <c r="AB278" s="12" t="s">
        <v>634</v>
      </c>
      <c r="AC278" s="12">
        <v>47598</v>
      </c>
      <c r="AD278" s="12" t="s">
        <v>124</v>
      </c>
      <c r="AE278" s="42"/>
      <c r="AF278" s="42"/>
    </row>
    <row r="279" spans="1:32" ht="45" x14ac:dyDescent="0.25">
      <c r="A279" s="44"/>
      <c r="B279" s="42"/>
      <c r="C279" s="42"/>
      <c r="D279" s="42"/>
      <c r="E279" s="42"/>
      <c r="F279" s="42"/>
      <c r="G279" s="42"/>
      <c r="H279" s="42"/>
      <c r="I279" s="48"/>
      <c r="J279" s="42"/>
      <c r="K279" s="42"/>
      <c r="L279" s="42"/>
      <c r="M279" s="42"/>
      <c r="N279" s="42"/>
      <c r="O279" s="11" t="s">
        <v>655</v>
      </c>
      <c r="P279" s="11" t="s">
        <v>38</v>
      </c>
      <c r="Q279" s="11" t="s">
        <v>696</v>
      </c>
      <c r="R279" s="11">
        <v>0.2</v>
      </c>
      <c r="S279" s="11"/>
      <c r="T279" s="12" t="s">
        <v>694</v>
      </c>
      <c r="U279" s="12">
        <v>47584</v>
      </c>
      <c r="V279" s="13" t="s">
        <v>697</v>
      </c>
      <c r="W279" s="11" t="s">
        <v>638</v>
      </c>
      <c r="X279" s="11" t="s">
        <v>409</v>
      </c>
      <c r="Y279" s="11" t="s">
        <v>689</v>
      </c>
      <c r="Z279" s="11">
        <v>0.2</v>
      </c>
      <c r="AA279" s="11"/>
      <c r="AB279" s="12" t="s">
        <v>634</v>
      </c>
      <c r="AC279" s="12">
        <v>47598</v>
      </c>
      <c r="AD279" s="12" t="s">
        <v>124</v>
      </c>
      <c r="AE279" s="42"/>
      <c r="AF279" s="42"/>
    </row>
    <row r="280" spans="1:32" ht="23.85" customHeight="1" x14ac:dyDescent="0.25">
      <c r="A280" s="44">
        <v>91</v>
      </c>
      <c r="B280" s="42" t="s">
        <v>28</v>
      </c>
      <c r="C280" s="42" t="s">
        <v>619</v>
      </c>
      <c r="D280" s="42">
        <v>103662</v>
      </c>
      <c r="E280" s="42" t="s">
        <v>698</v>
      </c>
      <c r="F280" s="42" t="s">
        <v>405</v>
      </c>
      <c r="G280" s="42" t="s">
        <v>90</v>
      </c>
      <c r="H280" s="42" t="s">
        <v>33</v>
      </c>
      <c r="I280" s="48" t="s">
        <v>699</v>
      </c>
      <c r="J280" s="42" t="s">
        <v>35</v>
      </c>
      <c r="K280" s="42"/>
      <c r="L280" s="42" t="s">
        <v>265</v>
      </c>
      <c r="M280" s="52">
        <v>49668</v>
      </c>
      <c r="N280" s="42" t="s">
        <v>92</v>
      </c>
      <c r="O280" s="11" t="s">
        <v>624</v>
      </c>
      <c r="P280" s="11" t="s">
        <v>116</v>
      </c>
      <c r="Q280" s="11" t="s">
        <v>700</v>
      </c>
      <c r="R280" s="11">
        <v>0.5</v>
      </c>
      <c r="S280" s="11"/>
      <c r="T280" s="12" t="s">
        <v>701</v>
      </c>
      <c r="U280" s="12">
        <v>46869</v>
      </c>
      <c r="V280" s="13" t="s">
        <v>702</v>
      </c>
      <c r="W280" s="11" t="s">
        <v>628</v>
      </c>
      <c r="X280" s="11" t="s">
        <v>409</v>
      </c>
      <c r="Y280" s="11" t="s">
        <v>686</v>
      </c>
      <c r="Z280" s="11">
        <v>0.2</v>
      </c>
      <c r="AA280" s="11"/>
      <c r="AB280" s="12" t="s">
        <v>634</v>
      </c>
      <c r="AC280" s="12">
        <v>47598</v>
      </c>
      <c r="AD280" s="12" t="s">
        <v>124</v>
      </c>
      <c r="AE280" s="42"/>
      <c r="AF280" s="43" t="s">
        <v>45</v>
      </c>
    </row>
    <row r="281" spans="1:32" ht="25.5" x14ac:dyDescent="0.25">
      <c r="A281" s="44"/>
      <c r="B281" s="42"/>
      <c r="C281" s="42"/>
      <c r="D281" s="42"/>
      <c r="E281" s="42"/>
      <c r="F281" s="42"/>
      <c r="G281" s="42"/>
      <c r="H281" s="42"/>
      <c r="I281" s="48"/>
      <c r="J281" s="42"/>
      <c r="K281" s="42"/>
      <c r="L281" s="42"/>
      <c r="M281" s="42"/>
      <c r="N281" s="42"/>
      <c r="O281" s="11" t="s">
        <v>77</v>
      </c>
      <c r="P281" s="11" t="s">
        <v>77</v>
      </c>
      <c r="Q281" s="11" t="s">
        <v>77</v>
      </c>
      <c r="R281" s="11" t="s">
        <v>77</v>
      </c>
      <c r="S281" s="11"/>
      <c r="T281" s="12" t="s">
        <v>77</v>
      </c>
      <c r="U281" s="12" t="s">
        <v>77</v>
      </c>
      <c r="V281" s="4"/>
      <c r="W281" s="11" t="s">
        <v>628</v>
      </c>
      <c r="X281" s="11" t="s">
        <v>409</v>
      </c>
      <c r="Y281" s="11" t="s">
        <v>687</v>
      </c>
      <c r="Z281" s="11">
        <v>0.2</v>
      </c>
      <c r="AA281" s="11"/>
      <c r="AB281" s="12" t="s">
        <v>634</v>
      </c>
      <c r="AC281" s="12">
        <v>47598</v>
      </c>
      <c r="AD281" s="12" t="s">
        <v>124</v>
      </c>
      <c r="AE281" s="42"/>
      <c r="AF281" s="42"/>
    </row>
    <row r="282" spans="1:32" ht="45" x14ac:dyDescent="0.25">
      <c r="A282" s="44"/>
      <c r="B282" s="42"/>
      <c r="C282" s="42"/>
      <c r="D282" s="42"/>
      <c r="E282" s="42"/>
      <c r="F282" s="42"/>
      <c r="G282" s="42"/>
      <c r="H282" s="42"/>
      <c r="I282" s="48"/>
      <c r="J282" s="42"/>
      <c r="K282" s="42"/>
      <c r="L282" s="42"/>
      <c r="M282" s="42"/>
      <c r="N282" s="42"/>
      <c r="O282" s="11" t="s">
        <v>635</v>
      </c>
      <c r="P282" s="11" t="s">
        <v>116</v>
      </c>
      <c r="Q282" s="11">
        <v>2920</v>
      </c>
      <c r="R282" s="11">
        <v>0.5</v>
      </c>
      <c r="S282" s="11"/>
      <c r="T282" s="12" t="s">
        <v>703</v>
      </c>
      <c r="U282" s="12">
        <v>46870</v>
      </c>
      <c r="V282" s="13" t="s">
        <v>704</v>
      </c>
      <c r="W282" s="11" t="s">
        <v>638</v>
      </c>
      <c r="X282" s="11" t="s">
        <v>409</v>
      </c>
      <c r="Y282" s="11" t="s">
        <v>689</v>
      </c>
      <c r="Z282" s="11">
        <v>0.2</v>
      </c>
      <c r="AA282" s="11"/>
      <c r="AB282" s="12" t="s">
        <v>634</v>
      </c>
      <c r="AC282" s="12">
        <v>47598</v>
      </c>
      <c r="AD282" s="12" t="s">
        <v>124</v>
      </c>
      <c r="AE282" s="42"/>
      <c r="AF282" s="42"/>
    </row>
    <row r="283" spans="1:32" ht="23.85" customHeight="1" x14ac:dyDescent="0.25">
      <c r="A283" s="44">
        <v>92</v>
      </c>
      <c r="B283" s="42" t="s">
        <v>28</v>
      </c>
      <c r="C283" s="42" t="s">
        <v>619</v>
      </c>
      <c r="D283" s="42">
        <v>103662</v>
      </c>
      <c r="E283" s="42" t="s">
        <v>705</v>
      </c>
      <c r="F283" s="42" t="s">
        <v>405</v>
      </c>
      <c r="G283" s="42" t="s">
        <v>90</v>
      </c>
      <c r="H283" s="42" t="s">
        <v>33</v>
      </c>
      <c r="I283" s="48" t="s">
        <v>706</v>
      </c>
      <c r="J283" s="42" t="s">
        <v>35</v>
      </c>
      <c r="K283" s="42"/>
      <c r="L283" s="42" t="s">
        <v>265</v>
      </c>
      <c r="M283" s="52">
        <v>49668</v>
      </c>
      <c r="N283" s="42" t="s">
        <v>92</v>
      </c>
      <c r="O283" s="11" t="s">
        <v>624</v>
      </c>
      <c r="P283" s="11" t="s">
        <v>156</v>
      </c>
      <c r="Q283" s="11" t="s">
        <v>707</v>
      </c>
      <c r="R283" s="11">
        <v>0.5</v>
      </c>
      <c r="S283" s="11"/>
      <c r="T283" s="12" t="s">
        <v>634</v>
      </c>
      <c r="U283" s="12">
        <v>46868</v>
      </c>
      <c r="V283" s="13" t="s">
        <v>708</v>
      </c>
      <c r="W283" s="11" t="s">
        <v>628</v>
      </c>
      <c r="X283" s="11" t="s">
        <v>409</v>
      </c>
      <c r="Y283" s="11" t="s">
        <v>686</v>
      </c>
      <c r="Z283" s="11">
        <v>0.2</v>
      </c>
      <c r="AA283" s="11"/>
      <c r="AB283" s="12" t="s">
        <v>634</v>
      </c>
      <c r="AC283" s="12">
        <v>47598</v>
      </c>
      <c r="AD283" s="12" t="s">
        <v>124</v>
      </c>
      <c r="AE283" s="42"/>
      <c r="AF283" s="43" t="s">
        <v>45</v>
      </c>
    </row>
    <row r="284" spans="1:32" ht="25.5" x14ac:dyDescent="0.25">
      <c r="A284" s="44"/>
      <c r="B284" s="42"/>
      <c r="C284" s="42"/>
      <c r="D284" s="42"/>
      <c r="E284" s="42"/>
      <c r="F284" s="42"/>
      <c r="G284" s="42"/>
      <c r="H284" s="42"/>
      <c r="I284" s="48"/>
      <c r="J284" s="42"/>
      <c r="K284" s="42"/>
      <c r="L284" s="42"/>
      <c r="M284" s="42"/>
      <c r="N284" s="42"/>
      <c r="O284" s="11" t="s">
        <v>77</v>
      </c>
      <c r="P284" s="11" t="s">
        <v>77</v>
      </c>
      <c r="Q284" s="11" t="s">
        <v>77</v>
      </c>
      <c r="R284" s="11" t="s">
        <v>77</v>
      </c>
      <c r="S284" s="11"/>
      <c r="T284" s="12" t="s">
        <v>77</v>
      </c>
      <c r="U284" s="12" t="s">
        <v>77</v>
      </c>
      <c r="V284" s="4"/>
      <c r="W284" s="11" t="s">
        <v>628</v>
      </c>
      <c r="X284" s="11" t="s">
        <v>409</v>
      </c>
      <c r="Y284" s="11" t="s">
        <v>687</v>
      </c>
      <c r="Z284" s="11">
        <v>0.2</v>
      </c>
      <c r="AA284" s="11"/>
      <c r="AB284" s="12" t="s">
        <v>634</v>
      </c>
      <c r="AC284" s="12">
        <v>47598</v>
      </c>
      <c r="AD284" s="12" t="s">
        <v>124</v>
      </c>
      <c r="AE284" s="42"/>
      <c r="AF284" s="42"/>
    </row>
    <row r="285" spans="1:32" ht="45" x14ac:dyDescent="0.25">
      <c r="A285" s="44"/>
      <c r="B285" s="42"/>
      <c r="C285" s="42"/>
      <c r="D285" s="42"/>
      <c r="E285" s="42"/>
      <c r="F285" s="42"/>
      <c r="G285" s="42"/>
      <c r="H285" s="42"/>
      <c r="I285" s="48"/>
      <c r="J285" s="42"/>
      <c r="K285" s="42"/>
      <c r="L285" s="42"/>
      <c r="M285" s="42"/>
      <c r="N285" s="42"/>
      <c r="O285" s="11" t="s">
        <v>635</v>
      </c>
      <c r="P285" s="11" t="s">
        <v>156</v>
      </c>
      <c r="Q285" s="11">
        <v>29548</v>
      </c>
      <c r="R285" s="11">
        <v>0.5</v>
      </c>
      <c r="S285" s="11"/>
      <c r="T285" s="12" t="s">
        <v>703</v>
      </c>
      <c r="U285" s="12">
        <v>46870</v>
      </c>
      <c r="V285" s="13" t="s">
        <v>709</v>
      </c>
      <c r="W285" s="11" t="s">
        <v>638</v>
      </c>
      <c r="X285" s="11" t="s">
        <v>409</v>
      </c>
      <c r="Y285" s="11" t="s">
        <v>689</v>
      </c>
      <c r="Z285" s="11">
        <v>0.2</v>
      </c>
      <c r="AA285" s="11"/>
      <c r="AB285" s="12" t="s">
        <v>634</v>
      </c>
      <c r="AC285" s="12">
        <v>47598</v>
      </c>
      <c r="AD285" s="12" t="s">
        <v>124</v>
      </c>
      <c r="AE285" s="42"/>
      <c r="AF285" s="42"/>
    </row>
    <row r="286" spans="1:32" ht="23.85" customHeight="1" x14ac:dyDescent="0.25">
      <c r="A286" s="44">
        <v>93</v>
      </c>
      <c r="B286" s="42" t="s">
        <v>28</v>
      </c>
      <c r="C286" s="42" t="s">
        <v>619</v>
      </c>
      <c r="D286" s="42">
        <v>103662</v>
      </c>
      <c r="E286" s="42" t="s">
        <v>710</v>
      </c>
      <c r="F286" s="42" t="s">
        <v>405</v>
      </c>
      <c r="G286" s="42" t="s">
        <v>90</v>
      </c>
      <c r="H286" s="42" t="s">
        <v>33</v>
      </c>
      <c r="I286" s="48" t="s">
        <v>711</v>
      </c>
      <c r="J286" s="42" t="s">
        <v>35</v>
      </c>
      <c r="K286" s="42"/>
      <c r="L286" s="42" t="s">
        <v>265</v>
      </c>
      <c r="M286" s="52">
        <v>49668</v>
      </c>
      <c r="N286" s="42" t="s">
        <v>92</v>
      </c>
      <c r="O286" s="11" t="s">
        <v>624</v>
      </c>
      <c r="P286" s="11" t="s">
        <v>163</v>
      </c>
      <c r="Q286" s="11" t="s">
        <v>712</v>
      </c>
      <c r="R286" s="11">
        <v>0.5</v>
      </c>
      <c r="S286" s="11"/>
      <c r="T286" s="12" t="s">
        <v>634</v>
      </c>
      <c r="U286" s="12">
        <v>46868</v>
      </c>
      <c r="V286" s="13" t="s">
        <v>713</v>
      </c>
      <c r="W286" s="11" t="s">
        <v>628</v>
      </c>
      <c r="X286" s="11" t="s">
        <v>409</v>
      </c>
      <c r="Y286" s="11" t="s">
        <v>686</v>
      </c>
      <c r="Z286" s="11">
        <v>0.2</v>
      </c>
      <c r="AA286" s="11"/>
      <c r="AB286" s="12" t="s">
        <v>634</v>
      </c>
      <c r="AC286" s="12">
        <v>47598</v>
      </c>
      <c r="AD286" s="12" t="s">
        <v>124</v>
      </c>
      <c r="AE286" s="42"/>
      <c r="AF286" s="43" t="s">
        <v>45</v>
      </c>
    </row>
    <row r="287" spans="1:32" ht="25.5" x14ac:dyDescent="0.25">
      <c r="A287" s="44"/>
      <c r="B287" s="42"/>
      <c r="C287" s="42"/>
      <c r="D287" s="42"/>
      <c r="E287" s="42"/>
      <c r="F287" s="42"/>
      <c r="G287" s="42"/>
      <c r="H287" s="42"/>
      <c r="I287" s="48"/>
      <c r="J287" s="42"/>
      <c r="K287" s="42"/>
      <c r="L287" s="42"/>
      <c r="M287" s="42"/>
      <c r="N287" s="42"/>
      <c r="O287" s="11" t="s">
        <v>77</v>
      </c>
      <c r="P287" s="11" t="s">
        <v>77</v>
      </c>
      <c r="Q287" s="11" t="s">
        <v>77</v>
      </c>
      <c r="R287" s="11" t="s">
        <v>77</v>
      </c>
      <c r="S287" s="11"/>
      <c r="T287" s="12" t="s">
        <v>77</v>
      </c>
      <c r="U287" s="12" t="s">
        <v>77</v>
      </c>
      <c r="V287" s="4"/>
      <c r="W287" s="11" t="s">
        <v>628</v>
      </c>
      <c r="X287" s="11" t="s">
        <v>409</v>
      </c>
      <c r="Y287" s="11" t="s">
        <v>687</v>
      </c>
      <c r="Z287" s="11">
        <v>0.2</v>
      </c>
      <c r="AA287" s="11"/>
      <c r="AB287" s="12" t="s">
        <v>634</v>
      </c>
      <c r="AC287" s="12">
        <v>47598</v>
      </c>
      <c r="AD287" s="12" t="s">
        <v>124</v>
      </c>
      <c r="AE287" s="42"/>
      <c r="AF287" s="42"/>
    </row>
    <row r="288" spans="1:32" ht="45" x14ac:dyDescent="0.25">
      <c r="A288" s="44"/>
      <c r="B288" s="42"/>
      <c r="C288" s="42"/>
      <c r="D288" s="42"/>
      <c r="E288" s="42"/>
      <c r="F288" s="42"/>
      <c r="G288" s="42"/>
      <c r="H288" s="42"/>
      <c r="I288" s="48"/>
      <c r="J288" s="42"/>
      <c r="K288" s="42"/>
      <c r="L288" s="42"/>
      <c r="M288" s="42"/>
      <c r="N288" s="42"/>
      <c r="O288" s="11" t="s">
        <v>635</v>
      </c>
      <c r="P288" s="11" t="s">
        <v>163</v>
      </c>
      <c r="Q288" s="11">
        <v>31051</v>
      </c>
      <c r="R288" s="11">
        <v>0.5</v>
      </c>
      <c r="S288" s="11"/>
      <c r="T288" s="12" t="s">
        <v>701</v>
      </c>
      <c r="U288" s="12">
        <v>46869</v>
      </c>
      <c r="V288" s="13" t="s">
        <v>714</v>
      </c>
      <c r="W288" s="11" t="s">
        <v>638</v>
      </c>
      <c r="X288" s="11" t="s">
        <v>409</v>
      </c>
      <c r="Y288" s="11" t="s">
        <v>689</v>
      </c>
      <c r="Z288" s="11">
        <v>0.2</v>
      </c>
      <c r="AA288" s="11"/>
      <c r="AB288" s="12" t="s">
        <v>634</v>
      </c>
      <c r="AC288" s="12">
        <v>47598</v>
      </c>
      <c r="AD288" s="12" t="s">
        <v>124</v>
      </c>
      <c r="AE288" s="42"/>
      <c r="AF288" s="42"/>
    </row>
    <row r="289" spans="1:32" ht="23.85" customHeight="1" x14ac:dyDescent="0.25">
      <c r="A289" s="44">
        <v>94</v>
      </c>
      <c r="B289" s="42" t="s">
        <v>28</v>
      </c>
      <c r="C289" s="42" t="s">
        <v>619</v>
      </c>
      <c r="D289" s="42">
        <v>103662</v>
      </c>
      <c r="E289" s="42" t="s">
        <v>715</v>
      </c>
      <c r="F289" s="42" t="s">
        <v>405</v>
      </c>
      <c r="G289" s="42" t="s">
        <v>90</v>
      </c>
      <c r="H289" s="42" t="s">
        <v>33</v>
      </c>
      <c r="I289" s="48" t="s">
        <v>716</v>
      </c>
      <c r="J289" s="42" t="s">
        <v>35</v>
      </c>
      <c r="K289" s="42"/>
      <c r="L289" s="42" t="s">
        <v>265</v>
      </c>
      <c r="M289" s="52">
        <v>49668</v>
      </c>
      <c r="N289" s="42" t="s">
        <v>92</v>
      </c>
      <c r="O289" s="11" t="s">
        <v>624</v>
      </c>
      <c r="P289" s="11" t="s">
        <v>74</v>
      </c>
      <c r="Q289" s="11" t="s">
        <v>717</v>
      </c>
      <c r="R289" s="11">
        <v>0.5</v>
      </c>
      <c r="S289" s="11"/>
      <c r="T289" s="12" t="s">
        <v>701</v>
      </c>
      <c r="U289" s="12">
        <v>46869</v>
      </c>
      <c r="V289" s="13" t="s">
        <v>718</v>
      </c>
      <c r="W289" s="11" t="s">
        <v>628</v>
      </c>
      <c r="X289" s="11" t="s">
        <v>409</v>
      </c>
      <c r="Y289" s="11" t="s">
        <v>686</v>
      </c>
      <c r="Z289" s="11">
        <v>0.2</v>
      </c>
      <c r="AA289" s="11"/>
      <c r="AB289" s="12" t="s">
        <v>634</v>
      </c>
      <c r="AC289" s="12">
        <v>47598</v>
      </c>
      <c r="AD289" s="12" t="s">
        <v>124</v>
      </c>
      <c r="AE289" s="42"/>
      <c r="AF289" s="43" t="s">
        <v>45</v>
      </c>
    </row>
    <row r="290" spans="1:32" ht="25.5" x14ac:dyDescent="0.25">
      <c r="A290" s="44"/>
      <c r="B290" s="42"/>
      <c r="C290" s="42"/>
      <c r="D290" s="42"/>
      <c r="E290" s="42"/>
      <c r="F290" s="42"/>
      <c r="G290" s="42"/>
      <c r="H290" s="42"/>
      <c r="I290" s="48"/>
      <c r="J290" s="42"/>
      <c r="K290" s="42"/>
      <c r="L290" s="42"/>
      <c r="M290" s="42"/>
      <c r="N290" s="42"/>
      <c r="O290" s="11" t="s">
        <v>77</v>
      </c>
      <c r="P290" s="11" t="s">
        <v>77</v>
      </c>
      <c r="Q290" s="11" t="s">
        <v>77</v>
      </c>
      <c r="R290" s="11" t="s">
        <v>77</v>
      </c>
      <c r="S290" s="11"/>
      <c r="T290" s="12" t="s">
        <v>77</v>
      </c>
      <c r="U290" s="12" t="s">
        <v>77</v>
      </c>
      <c r="V290" s="4"/>
      <c r="W290" s="11" t="s">
        <v>628</v>
      </c>
      <c r="X290" s="11" t="s">
        <v>409</v>
      </c>
      <c r="Y290" s="11" t="s">
        <v>687</v>
      </c>
      <c r="Z290" s="11">
        <v>0.2</v>
      </c>
      <c r="AA290" s="11"/>
      <c r="AB290" s="12" t="s">
        <v>634</v>
      </c>
      <c r="AC290" s="12">
        <v>47598</v>
      </c>
      <c r="AD290" s="12" t="s">
        <v>124</v>
      </c>
      <c r="AE290" s="42"/>
      <c r="AF290" s="42"/>
    </row>
    <row r="291" spans="1:32" ht="45" x14ac:dyDescent="0.25">
      <c r="A291" s="44"/>
      <c r="B291" s="42"/>
      <c r="C291" s="42"/>
      <c r="D291" s="42"/>
      <c r="E291" s="42"/>
      <c r="F291" s="42"/>
      <c r="G291" s="42"/>
      <c r="H291" s="42"/>
      <c r="I291" s="48"/>
      <c r="J291" s="42"/>
      <c r="K291" s="42"/>
      <c r="L291" s="42"/>
      <c r="M291" s="42"/>
      <c r="N291" s="42"/>
      <c r="O291" s="11" t="s">
        <v>635</v>
      </c>
      <c r="P291" s="11" t="s">
        <v>74</v>
      </c>
      <c r="Q291" s="11">
        <v>8331</v>
      </c>
      <c r="R291" s="11">
        <v>0.5</v>
      </c>
      <c r="S291" s="11"/>
      <c r="T291" s="12" t="s">
        <v>701</v>
      </c>
      <c r="U291" s="12">
        <v>46869</v>
      </c>
      <c r="V291" s="13" t="s">
        <v>719</v>
      </c>
      <c r="W291" s="11" t="s">
        <v>638</v>
      </c>
      <c r="X291" s="11" t="s">
        <v>409</v>
      </c>
      <c r="Y291" s="11" t="s">
        <v>689</v>
      </c>
      <c r="Z291" s="11">
        <v>0.2</v>
      </c>
      <c r="AA291" s="11"/>
      <c r="AB291" s="12" t="s">
        <v>634</v>
      </c>
      <c r="AC291" s="12">
        <v>47598</v>
      </c>
      <c r="AD291" s="12" t="s">
        <v>124</v>
      </c>
      <c r="AE291" s="42"/>
      <c r="AF291" s="42"/>
    </row>
    <row r="292" spans="1:32" ht="23.85" customHeight="1" x14ac:dyDescent="0.25">
      <c r="A292" s="44">
        <v>95</v>
      </c>
      <c r="B292" s="42" t="s">
        <v>28</v>
      </c>
      <c r="C292" s="42" t="s">
        <v>619</v>
      </c>
      <c r="D292" s="42">
        <v>103662</v>
      </c>
      <c r="E292" s="42" t="s">
        <v>720</v>
      </c>
      <c r="F292" s="42" t="s">
        <v>405</v>
      </c>
      <c r="G292" s="42" t="s">
        <v>32</v>
      </c>
      <c r="H292" s="45" t="s">
        <v>33</v>
      </c>
      <c r="I292" s="47" t="s">
        <v>721</v>
      </c>
      <c r="J292" s="45" t="s">
        <v>35</v>
      </c>
      <c r="K292" s="45"/>
      <c r="L292" s="45" t="s">
        <v>265</v>
      </c>
      <c r="M292" s="50">
        <v>49668</v>
      </c>
      <c r="N292" s="42" t="s">
        <v>92</v>
      </c>
      <c r="O292" s="11" t="s">
        <v>722</v>
      </c>
      <c r="P292" s="11" t="s">
        <v>156</v>
      </c>
      <c r="Q292" s="11"/>
      <c r="R292" s="11">
        <v>0</v>
      </c>
      <c r="S292" s="11"/>
      <c r="T292" s="12">
        <v>0</v>
      </c>
      <c r="U292" s="12">
        <v>0</v>
      </c>
      <c r="V292" s="4" t="s">
        <v>77</v>
      </c>
      <c r="W292" s="11" t="s">
        <v>628</v>
      </c>
      <c r="X292" s="11" t="s">
        <v>409</v>
      </c>
      <c r="Y292" s="11" t="s">
        <v>686</v>
      </c>
      <c r="Z292" s="11">
        <v>0.2</v>
      </c>
      <c r="AA292" s="11"/>
      <c r="AB292" s="12" t="s">
        <v>634</v>
      </c>
      <c r="AC292" s="12">
        <v>47598</v>
      </c>
      <c r="AD292" s="12" t="s">
        <v>124</v>
      </c>
      <c r="AE292" s="42"/>
      <c r="AF292" s="43" t="s">
        <v>45</v>
      </c>
    </row>
    <row r="293" spans="1:32" ht="25.5" x14ac:dyDescent="0.25">
      <c r="A293" s="44"/>
      <c r="B293" s="42"/>
      <c r="C293" s="42"/>
      <c r="D293" s="42"/>
      <c r="E293" s="42"/>
      <c r="F293" s="42"/>
      <c r="G293" s="42"/>
      <c r="H293" s="42"/>
      <c r="I293" s="48"/>
      <c r="J293" s="42"/>
      <c r="K293" s="42"/>
      <c r="L293" s="42"/>
      <c r="M293" s="42"/>
      <c r="N293" s="42"/>
      <c r="O293" s="11" t="s">
        <v>722</v>
      </c>
      <c r="P293" s="11" t="s">
        <v>156</v>
      </c>
      <c r="Q293" s="11"/>
      <c r="R293" s="11">
        <v>0</v>
      </c>
      <c r="S293" s="11"/>
      <c r="T293" s="12">
        <v>0</v>
      </c>
      <c r="U293" s="12">
        <v>0</v>
      </c>
      <c r="V293" s="4" t="s">
        <v>77</v>
      </c>
      <c r="W293" s="11" t="s">
        <v>628</v>
      </c>
      <c r="X293" s="11" t="s">
        <v>409</v>
      </c>
      <c r="Y293" s="11" t="s">
        <v>687</v>
      </c>
      <c r="Z293" s="11">
        <v>0.2</v>
      </c>
      <c r="AA293" s="11"/>
      <c r="AB293" s="12" t="s">
        <v>634</v>
      </c>
      <c r="AC293" s="12">
        <v>47598</v>
      </c>
      <c r="AD293" s="12" t="s">
        <v>124</v>
      </c>
      <c r="AE293" s="42"/>
      <c r="AF293" s="42"/>
    </row>
    <row r="294" spans="1:32" ht="25.5" x14ac:dyDescent="0.25">
      <c r="A294" s="44"/>
      <c r="B294" s="42"/>
      <c r="C294" s="42"/>
      <c r="D294" s="42"/>
      <c r="E294" s="42"/>
      <c r="F294" s="42"/>
      <c r="G294" s="42"/>
      <c r="H294" s="46"/>
      <c r="I294" s="49"/>
      <c r="J294" s="46"/>
      <c r="K294" s="46"/>
      <c r="L294" s="46"/>
      <c r="M294" s="46"/>
      <c r="N294" s="42"/>
      <c r="O294" s="11" t="s">
        <v>722</v>
      </c>
      <c r="P294" s="11" t="s">
        <v>156</v>
      </c>
      <c r="Q294" s="11"/>
      <c r="R294" s="11">
        <v>0</v>
      </c>
      <c r="S294" s="11"/>
      <c r="T294" s="12">
        <v>0</v>
      </c>
      <c r="U294" s="12">
        <v>0</v>
      </c>
      <c r="V294" s="4" t="s">
        <v>77</v>
      </c>
      <c r="W294" s="11" t="s">
        <v>638</v>
      </c>
      <c r="X294" s="11" t="s">
        <v>409</v>
      </c>
      <c r="Y294" s="11" t="s">
        <v>689</v>
      </c>
      <c r="Z294" s="11">
        <v>0.2</v>
      </c>
      <c r="AA294" s="11"/>
      <c r="AB294" s="12" t="s">
        <v>634</v>
      </c>
      <c r="AC294" s="12">
        <v>47598</v>
      </c>
      <c r="AD294" s="12" t="s">
        <v>124</v>
      </c>
      <c r="AE294" s="42"/>
      <c r="AF294" s="42"/>
    </row>
    <row r="295" spans="1:32" ht="23.85" customHeight="1" x14ac:dyDescent="0.25">
      <c r="A295" s="44">
        <v>96</v>
      </c>
      <c r="B295" s="42" t="s">
        <v>28</v>
      </c>
      <c r="C295" s="42" t="s">
        <v>619</v>
      </c>
      <c r="D295" s="42">
        <v>103662</v>
      </c>
      <c r="E295" s="42" t="s">
        <v>723</v>
      </c>
      <c r="F295" s="42" t="s">
        <v>405</v>
      </c>
      <c r="G295" s="42" t="s">
        <v>90</v>
      </c>
      <c r="H295" s="42" t="s">
        <v>33</v>
      </c>
      <c r="I295" s="48" t="s">
        <v>724</v>
      </c>
      <c r="J295" s="42" t="s">
        <v>35</v>
      </c>
      <c r="K295" s="42"/>
      <c r="L295" s="42" t="s">
        <v>265</v>
      </c>
      <c r="M295" s="52">
        <v>49668</v>
      </c>
      <c r="N295" s="42" t="s">
        <v>92</v>
      </c>
      <c r="O295" s="11" t="s">
        <v>624</v>
      </c>
      <c r="P295" s="11" t="s">
        <v>163</v>
      </c>
      <c r="Q295" s="11" t="s">
        <v>725</v>
      </c>
      <c r="R295" s="11">
        <v>0.5</v>
      </c>
      <c r="S295" s="11"/>
      <c r="T295" s="12" t="s">
        <v>701</v>
      </c>
      <c r="U295" s="12">
        <v>46869</v>
      </c>
      <c r="V295" s="13" t="s">
        <v>726</v>
      </c>
      <c r="W295" s="11" t="s">
        <v>628</v>
      </c>
      <c r="X295" s="11" t="s">
        <v>409</v>
      </c>
      <c r="Y295" s="11" t="s">
        <v>686</v>
      </c>
      <c r="Z295" s="11">
        <v>0.2</v>
      </c>
      <c r="AA295" s="11"/>
      <c r="AB295" s="12" t="s">
        <v>634</v>
      </c>
      <c r="AC295" s="12">
        <v>47598</v>
      </c>
      <c r="AD295" s="12" t="s">
        <v>124</v>
      </c>
      <c r="AE295" s="42"/>
      <c r="AF295" s="43" t="s">
        <v>45</v>
      </c>
    </row>
    <row r="296" spans="1:32" ht="25.5" x14ac:dyDescent="0.25">
      <c r="A296" s="44"/>
      <c r="B296" s="42"/>
      <c r="C296" s="42"/>
      <c r="D296" s="42"/>
      <c r="E296" s="42"/>
      <c r="F296" s="42"/>
      <c r="G296" s="42"/>
      <c r="H296" s="42"/>
      <c r="I296" s="48"/>
      <c r="J296" s="42"/>
      <c r="K296" s="42"/>
      <c r="L296" s="42"/>
      <c r="M296" s="42"/>
      <c r="N296" s="42"/>
      <c r="O296" s="11" t="s">
        <v>77</v>
      </c>
      <c r="P296" s="11" t="s">
        <v>77</v>
      </c>
      <c r="Q296" s="11" t="s">
        <v>77</v>
      </c>
      <c r="R296" s="11" t="s">
        <v>77</v>
      </c>
      <c r="S296" s="11"/>
      <c r="T296" s="12" t="s">
        <v>77</v>
      </c>
      <c r="U296" s="12" t="s">
        <v>77</v>
      </c>
      <c r="V296" s="4"/>
      <c r="W296" s="11" t="s">
        <v>628</v>
      </c>
      <c r="X296" s="11" t="s">
        <v>409</v>
      </c>
      <c r="Y296" s="11" t="s">
        <v>687</v>
      </c>
      <c r="Z296" s="11">
        <v>0.2</v>
      </c>
      <c r="AA296" s="11"/>
      <c r="AB296" s="12" t="s">
        <v>634</v>
      </c>
      <c r="AC296" s="12">
        <v>47598</v>
      </c>
      <c r="AD296" s="12" t="s">
        <v>124</v>
      </c>
      <c r="AE296" s="42"/>
      <c r="AF296" s="42"/>
    </row>
    <row r="297" spans="1:32" ht="45" x14ac:dyDescent="0.25">
      <c r="A297" s="44"/>
      <c r="B297" s="42"/>
      <c r="C297" s="42"/>
      <c r="D297" s="42"/>
      <c r="E297" s="42"/>
      <c r="F297" s="42"/>
      <c r="G297" s="42"/>
      <c r="H297" s="42"/>
      <c r="I297" s="48"/>
      <c r="J297" s="42"/>
      <c r="K297" s="42"/>
      <c r="L297" s="42"/>
      <c r="M297" s="42"/>
      <c r="N297" s="42"/>
      <c r="O297" s="11" t="s">
        <v>635</v>
      </c>
      <c r="P297" s="11" t="s">
        <v>163</v>
      </c>
      <c r="Q297" s="11">
        <v>31100</v>
      </c>
      <c r="R297" s="11">
        <v>0.5</v>
      </c>
      <c r="S297" s="11"/>
      <c r="T297" s="12" t="s">
        <v>701</v>
      </c>
      <c r="U297" s="12">
        <v>46869</v>
      </c>
      <c r="V297" s="13" t="s">
        <v>727</v>
      </c>
      <c r="W297" s="11" t="s">
        <v>638</v>
      </c>
      <c r="X297" s="11" t="s">
        <v>409</v>
      </c>
      <c r="Y297" s="11" t="s">
        <v>689</v>
      </c>
      <c r="Z297" s="11">
        <v>0.2</v>
      </c>
      <c r="AA297" s="11"/>
      <c r="AB297" s="12" t="s">
        <v>634</v>
      </c>
      <c r="AC297" s="12">
        <v>47598</v>
      </c>
      <c r="AD297" s="12" t="s">
        <v>124</v>
      </c>
      <c r="AE297" s="42"/>
      <c r="AF297" s="42"/>
    </row>
    <row r="298" spans="1:32" ht="23.85" customHeight="1" x14ac:dyDescent="0.25">
      <c r="A298" s="44">
        <v>97</v>
      </c>
      <c r="B298" s="42" t="s">
        <v>28</v>
      </c>
      <c r="C298" s="42" t="s">
        <v>619</v>
      </c>
      <c r="D298" s="42">
        <v>103662</v>
      </c>
      <c r="E298" s="42" t="s">
        <v>728</v>
      </c>
      <c r="F298" s="42" t="s">
        <v>405</v>
      </c>
      <c r="G298" s="42" t="s">
        <v>90</v>
      </c>
      <c r="H298" s="42" t="s">
        <v>33</v>
      </c>
      <c r="I298" s="48" t="s">
        <v>729</v>
      </c>
      <c r="J298" s="42" t="s">
        <v>35</v>
      </c>
      <c r="K298" s="42"/>
      <c r="L298" s="42" t="s">
        <v>265</v>
      </c>
      <c r="M298" s="52">
        <v>49668</v>
      </c>
      <c r="N298" s="42" t="s">
        <v>92</v>
      </c>
      <c r="O298" s="11" t="s">
        <v>624</v>
      </c>
      <c r="P298" s="11" t="s">
        <v>433</v>
      </c>
      <c r="Q298" s="11" t="s">
        <v>730</v>
      </c>
      <c r="R298" s="11">
        <v>0.5</v>
      </c>
      <c r="S298" s="11"/>
      <c r="T298" s="12" t="s">
        <v>634</v>
      </c>
      <c r="U298" s="12">
        <v>46868</v>
      </c>
      <c r="V298" s="13" t="s">
        <v>731</v>
      </c>
      <c r="W298" s="11" t="s">
        <v>628</v>
      </c>
      <c r="X298" s="11" t="s">
        <v>409</v>
      </c>
      <c r="Y298" s="11" t="s">
        <v>686</v>
      </c>
      <c r="Z298" s="11">
        <v>0.2</v>
      </c>
      <c r="AA298" s="11"/>
      <c r="AB298" s="12" t="s">
        <v>634</v>
      </c>
      <c r="AC298" s="12">
        <v>47598</v>
      </c>
      <c r="AD298" s="12" t="s">
        <v>124</v>
      </c>
      <c r="AE298" s="42"/>
      <c r="AF298" s="43" t="s">
        <v>45</v>
      </c>
    </row>
    <row r="299" spans="1:32" ht="25.5" x14ac:dyDescent="0.25">
      <c r="A299" s="44"/>
      <c r="B299" s="42"/>
      <c r="C299" s="42"/>
      <c r="D299" s="42"/>
      <c r="E299" s="42"/>
      <c r="F299" s="42"/>
      <c r="G299" s="42"/>
      <c r="H299" s="42"/>
      <c r="I299" s="48"/>
      <c r="J299" s="42"/>
      <c r="K299" s="42"/>
      <c r="L299" s="42"/>
      <c r="M299" s="42"/>
      <c r="N299" s="42"/>
      <c r="O299" s="11" t="s">
        <v>77</v>
      </c>
      <c r="P299" s="11" t="s">
        <v>77</v>
      </c>
      <c r="Q299" s="11" t="s">
        <v>77</v>
      </c>
      <c r="R299" s="11" t="s">
        <v>77</v>
      </c>
      <c r="S299" s="11"/>
      <c r="T299" s="12" t="s">
        <v>77</v>
      </c>
      <c r="U299" s="12" t="s">
        <v>77</v>
      </c>
      <c r="V299" s="4"/>
      <c r="W299" s="11" t="s">
        <v>628</v>
      </c>
      <c r="X299" s="11" t="s">
        <v>409</v>
      </c>
      <c r="Y299" s="11" t="s">
        <v>687</v>
      </c>
      <c r="Z299" s="11">
        <v>0.2</v>
      </c>
      <c r="AA299" s="11"/>
      <c r="AB299" s="12" t="s">
        <v>634</v>
      </c>
      <c r="AC299" s="12">
        <v>47598</v>
      </c>
      <c r="AD299" s="12" t="s">
        <v>124</v>
      </c>
      <c r="AE299" s="42"/>
      <c r="AF299" s="42"/>
    </row>
    <row r="300" spans="1:32" ht="45" x14ac:dyDescent="0.25">
      <c r="A300" s="44"/>
      <c r="B300" s="42"/>
      <c r="C300" s="42"/>
      <c r="D300" s="42"/>
      <c r="E300" s="42"/>
      <c r="F300" s="42"/>
      <c r="G300" s="42"/>
      <c r="H300" s="42"/>
      <c r="I300" s="48"/>
      <c r="J300" s="42"/>
      <c r="K300" s="42"/>
      <c r="L300" s="42"/>
      <c r="M300" s="42"/>
      <c r="N300" s="42"/>
      <c r="O300" s="11" t="s">
        <v>635</v>
      </c>
      <c r="P300" s="11" t="s">
        <v>433</v>
      </c>
      <c r="Q300" s="11">
        <v>23025</v>
      </c>
      <c r="R300" s="11">
        <v>0.5</v>
      </c>
      <c r="S300" s="11"/>
      <c r="T300" s="12" t="s">
        <v>703</v>
      </c>
      <c r="U300" s="12">
        <v>46870</v>
      </c>
      <c r="V300" s="13" t="s">
        <v>732</v>
      </c>
      <c r="W300" s="11" t="s">
        <v>638</v>
      </c>
      <c r="X300" s="11" t="s">
        <v>409</v>
      </c>
      <c r="Y300" s="11" t="s">
        <v>689</v>
      </c>
      <c r="Z300" s="11">
        <v>0.2</v>
      </c>
      <c r="AA300" s="11"/>
      <c r="AB300" s="12" t="s">
        <v>634</v>
      </c>
      <c r="AC300" s="12">
        <v>47598</v>
      </c>
      <c r="AD300" s="12" t="s">
        <v>124</v>
      </c>
      <c r="AE300" s="42"/>
      <c r="AF300" s="42"/>
    </row>
    <row r="301" spans="1:32" ht="23.85" customHeight="1" x14ac:dyDescent="0.25">
      <c r="A301" s="44">
        <v>98</v>
      </c>
      <c r="B301" s="42" t="s">
        <v>28</v>
      </c>
      <c r="C301" s="42" t="s">
        <v>619</v>
      </c>
      <c r="D301" s="42">
        <v>103662</v>
      </c>
      <c r="E301" s="42" t="s">
        <v>733</v>
      </c>
      <c r="F301" s="42" t="s">
        <v>405</v>
      </c>
      <c r="G301" s="42" t="s">
        <v>90</v>
      </c>
      <c r="H301" s="42" t="s">
        <v>33</v>
      </c>
      <c r="I301" s="48" t="s">
        <v>734</v>
      </c>
      <c r="J301" s="42" t="s">
        <v>35</v>
      </c>
      <c r="K301" s="42"/>
      <c r="L301" s="42" t="s">
        <v>265</v>
      </c>
      <c r="M301" s="52">
        <v>49668</v>
      </c>
      <c r="N301" s="42" t="s">
        <v>92</v>
      </c>
      <c r="O301" s="11" t="s">
        <v>624</v>
      </c>
      <c r="P301" s="11" t="s">
        <v>156</v>
      </c>
      <c r="Q301" s="11" t="s">
        <v>735</v>
      </c>
      <c r="R301" s="11">
        <v>0.5</v>
      </c>
      <c r="S301" s="11"/>
      <c r="T301" s="12" t="s">
        <v>703</v>
      </c>
      <c r="U301" s="12">
        <v>46870</v>
      </c>
      <c r="V301" s="13" t="s">
        <v>736</v>
      </c>
      <c r="W301" s="11" t="s">
        <v>628</v>
      </c>
      <c r="X301" s="11" t="s">
        <v>409</v>
      </c>
      <c r="Y301" s="11" t="s">
        <v>686</v>
      </c>
      <c r="Z301" s="11">
        <v>0.2</v>
      </c>
      <c r="AA301" s="11"/>
      <c r="AB301" s="12" t="s">
        <v>634</v>
      </c>
      <c r="AC301" s="12">
        <v>47598</v>
      </c>
      <c r="AD301" s="12" t="s">
        <v>124</v>
      </c>
      <c r="AE301" s="42"/>
      <c r="AF301" s="43" t="s">
        <v>45</v>
      </c>
    </row>
    <row r="302" spans="1:32" ht="25.5" x14ac:dyDescent="0.25">
      <c r="A302" s="44"/>
      <c r="B302" s="42"/>
      <c r="C302" s="42"/>
      <c r="D302" s="42"/>
      <c r="E302" s="42"/>
      <c r="F302" s="42"/>
      <c r="G302" s="42"/>
      <c r="H302" s="42"/>
      <c r="I302" s="48"/>
      <c r="J302" s="42"/>
      <c r="K302" s="42"/>
      <c r="L302" s="42"/>
      <c r="M302" s="42"/>
      <c r="N302" s="42"/>
      <c r="O302" s="11" t="s">
        <v>77</v>
      </c>
      <c r="P302" s="11" t="s">
        <v>77</v>
      </c>
      <c r="Q302" s="11" t="s">
        <v>77</v>
      </c>
      <c r="R302" s="11" t="s">
        <v>77</v>
      </c>
      <c r="S302" s="11"/>
      <c r="T302" s="12" t="s">
        <v>77</v>
      </c>
      <c r="U302" s="12" t="s">
        <v>77</v>
      </c>
      <c r="V302" s="4"/>
      <c r="W302" s="11" t="s">
        <v>628</v>
      </c>
      <c r="X302" s="11" t="s">
        <v>409</v>
      </c>
      <c r="Y302" s="11" t="s">
        <v>687</v>
      </c>
      <c r="Z302" s="11">
        <v>0.2</v>
      </c>
      <c r="AA302" s="11"/>
      <c r="AB302" s="12" t="s">
        <v>634</v>
      </c>
      <c r="AC302" s="12">
        <v>47598</v>
      </c>
      <c r="AD302" s="12" t="s">
        <v>124</v>
      </c>
      <c r="AE302" s="42"/>
      <c r="AF302" s="42"/>
    </row>
    <row r="303" spans="1:32" ht="45" x14ac:dyDescent="0.25">
      <c r="A303" s="44"/>
      <c r="B303" s="42"/>
      <c r="C303" s="42"/>
      <c r="D303" s="42"/>
      <c r="E303" s="42"/>
      <c r="F303" s="42"/>
      <c r="G303" s="42"/>
      <c r="H303" s="42"/>
      <c r="I303" s="48"/>
      <c r="J303" s="42"/>
      <c r="K303" s="42"/>
      <c r="L303" s="42"/>
      <c r="M303" s="42"/>
      <c r="N303" s="42"/>
      <c r="O303" s="11" t="s">
        <v>635</v>
      </c>
      <c r="P303" s="11" t="s">
        <v>156</v>
      </c>
      <c r="Q303" s="11">
        <v>29333</v>
      </c>
      <c r="R303" s="11">
        <v>0.5</v>
      </c>
      <c r="S303" s="11"/>
      <c r="T303" s="12" t="s">
        <v>634</v>
      </c>
      <c r="U303" s="12">
        <v>46868</v>
      </c>
      <c r="V303" s="13" t="s">
        <v>737</v>
      </c>
      <c r="W303" s="11" t="s">
        <v>638</v>
      </c>
      <c r="X303" s="11" t="s">
        <v>409</v>
      </c>
      <c r="Y303" s="11" t="s">
        <v>689</v>
      </c>
      <c r="Z303" s="11">
        <v>0.2</v>
      </c>
      <c r="AA303" s="11"/>
      <c r="AB303" s="12" t="s">
        <v>634</v>
      </c>
      <c r="AC303" s="12">
        <v>47598</v>
      </c>
      <c r="AD303" s="12" t="s">
        <v>124</v>
      </c>
      <c r="AE303" s="42"/>
      <c r="AF303" s="42"/>
    </row>
    <row r="304" spans="1:32" ht="23.85" customHeight="1" x14ac:dyDescent="0.25">
      <c r="A304" s="44">
        <v>99</v>
      </c>
      <c r="B304" s="42" t="s">
        <v>28</v>
      </c>
      <c r="C304" s="42" t="s">
        <v>619</v>
      </c>
      <c r="D304" s="42">
        <v>103662</v>
      </c>
      <c r="E304" s="42" t="s">
        <v>738</v>
      </c>
      <c r="F304" s="42" t="s">
        <v>405</v>
      </c>
      <c r="G304" s="42" t="s">
        <v>90</v>
      </c>
      <c r="H304" s="42" t="s">
        <v>33</v>
      </c>
      <c r="I304" s="48" t="s">
        <v>739</v>
      </c>
      <c r="J304" s="42" t="s">
        <v>35</v>
      </c>
      <c r="K304" s="42"/>
      <c r="L304" s="42" t="s">
        <v>265</v>
      </c>
      <c r="M304" s="52">
        <v>49668</v>
      </c>
      <c r="N304" s="42" t="s">
        <v>92</v>
      </c>
      <c r="O304" s="11" t="s">
        <v>624</v>
      </c>
      <c r="P304" s="11" t="s">
        <v>156</v>
      </c>
      <c r="Q304" s="11" t="s">
        <v>740</v>
      </c>
      <c r="R304" s="11">
        <v>0.5</v>
      </c>
      <c r="S304" s="11"/>
      <c r="T304" s="12" t="s">
        <v>703</v>
      </c>
      <c r="U304" s="12">
        <v>46870</v>
      </c>
      <c r="V304" s="13" t="s">
        <v>741</v>
      </c>
      <c r="W304" s="11" t="s">
        <v>628</v>
      </c>
      <c r="X304" s="11" t="s">
        <v>409</v>
      </c>
      <c r="Y304" s="11" t="s">
        <v>686</v>
      </c>
      <c r="Z304" s="11">
        <v>0.2</v>
      </c>
      <c r="AA304" s="11"/>
      <c r="AB304" s="12" t="s">
        <v>634</v>
      </c>
      <c r="AC304" s="12">
        <v>47598</v>
      </c>
      <c r="AD304" s="12" t="s">
        <v>124</v>
      </c>
      <c r="AE304" s="42"/>
      <c r="AF304" s="43" t="s">
        <v>45</v>
      </c>
    </row>
    <row r="305" spans="1:32" ht="25.5" x14ac:dyDescent="0.25">
      <c r="A305" s="44"/>
      <c r="B305" s="42"/>
      <c r="C305" s="42"/>
      <c r="D305" s="42"/>
      <c r="E305" s="42"/>
      <c r="F305" s="42"/>
      <c r="G305" s="42"/>
      <c r="H305" s="42"/>
      <c r="I305" s="48"/>
      <c r="J305" s="42"/>
      <c r="K305" s="42"/>
      <c r="L305" s="42"/>
      <c r="M305" s="42"/>
      <c r="N305" s="42"/>
      <c r="O305" s="11" t="s">
        <v>77</v>
      </c>
      <c r="P305" s="11" t="s">
        <v>77</v>
      </c>
      <c r="Q305" s="11" t="s">
        <v>77</v>
      </c>
      <c r="R305" s="11" t="s">
        <v>77</v>
      </c>
      <c r="S305" s="11"/>
      <c r="T305" s="12" t="s">
        <v>77</v>
      </c>
      <c r="U305" s="12" t="s">
        <v>77</v>
      </c>
      <c r="V305" s="4"/>
      <c r="W305" s="11" t="s">
        <v>628</v>
      </c>
      <c r="X305" s="11" t="s">
        <v>409</v>
      </c>
      <c r="Y305" s="11" t="s">
        <v>687</v>
      </c>
      <c r="Z305" s="11">
        <v>0.2</v>
      </c>
      <c r="AA305" s="11"/>
      <c r="AB305" s="12" t="s">
        <v>634</v>
      </c>
      <c r="AC305" s="12">
        <v>47598</v>
      </c>
      <c r="AD305" s="12" t="s">
        <v>124</v>
      </c>
      <c r="AE305" s="42"/>
      <c r="AF305" s="42"/>
    </row>
    <row r="306" spans="1:32" ht="45" x14ac:dyDescent="0.25">
      <c r="A306" s="44"/>
      <c r="B306" s="42"/>
      <c r="C306" s="42"/>
      <c r="D306" s="42"/>
      <c r="E306" s="42"/>
      <c r="F306" s="42"/>
      <c r="G306" s="42"/>
      <c r="H306" s="42"/>
      <c r="I306" s="48"/>
      <c r="J306" s="42"/>
      <c r="K306" s="42"/>
      <c r="L306" s="42"/>
      <c r="M306" s="42"/>
      <c r="N306" s="42"/>
      <c r="O306" s="11" t="s">
        <v>635</v>
      </c>
      <c r="P306" s="11" t="s">
        <v>156</v>
      </c>
      <c r="Q306" s="11">
        <v>12869</v>
      </c>
      <c r="R306" s="11">
        <v>0.5</v>
      </c>
      <c r="S306" s="11"/>
      <c r="T306" s="12" t="s">
        <v>634</v>
      </c>
      <c r="U306" s="12">
        <v>46868</v>
      </c>
      <c r="V306" s="13" t="s">
        <v>742</v>
      </c>
      <c r="W306" s="11" t="s">
        <v>638</v>
      </c>
      <c r="X306" s="11" t="s">
        <v>409</v>
      </c>
      <c r="Y306" s="11" t="s">
        <v>689</v>
      </c>
      <c r="Z306" s="11">
        <v>0.2</v>
      </c>
      <c r="AA306" s="11"/>
      <c r="AB306" s="12" t="s">
        <v>634</v>
      </c>
      <c r="AC306" s="12">
        <v>47598</v>
      </c>
      <c r="AD306" s="12" t="s">
        <v>124</v>
      </c>
      <c r="AE306" s="42"/>
      <c r="AF306" s="42"/>
    </row>
    <row r="307" spans="1:32" ht="35.1" customHeight="1" x14ac:dyDescent="0.25">
      <c r="A307" s="44">
        <v>100</v>
      </c>
      <c r="B307" s="42" t="s">
        <v>28</v>
      </c>
      <c r="C307" s="42" t="s">
        <v>619</v>
      </c>
      <c r="D307" s="42">
        <v>103662</v>
      </c>
      <c r="E307" s="42" t="s">
        <v>743</v>
      </c>
      <c r="F307" s="42" t="s">
        <v>405</v>
      </c>
      <c r="G307" s="42" t="s">
        <v>597</v>
      </c>
      <c r="H307" s="42" t="s">
        <v>33</v>
      </c>
      <c r="I307" s="48">
        <v>40791634</v>
      </c>
      <c r="J307" s="42" t="s">
        <v>35</v>
      </c>
      <c r="K307" s="42"/>
      <c r="L307" s="52">
        <v>43824</v>
      </c>
      <c r="M307" s="52">
        <v>49668</v>
      </c>
      <c r="N307" s="42" t="s">
        <v>92</v>
      </c>
      <c r="O307" s="11" t="s">
        <v>648</v>
      </c>
      <c r="P307" s="11" t="s">
        <v>38</v>
      </c>
      <c r="Q307" s="11" t="s">
        <v>744</v>
      </c>
      <c r="R307" s="11">
        <v>0.2</v>
      </c>
      <c r="S307" s="11"/>
      <c r="T307" s="12" t="s">
        <v>694</v>
      </c>
      <c r="U307" s="12">
        <v>47584</v>
      </c>
      <c r="V307" s="13" t="s">
        <v>745</v>
      </c>
      <c r="W307" s="11" t="s">
        <v>628</v>
      </c>
      <c r="X307" s="11" t="s">
        <v>409</v>
      </c>
      <c r="Y307" s="11" t="s">
        <v>746</v>
      </c>
      <c r="Z307" s="11">
        <v>0.2</v>
      </c>
      <c r="AA307" s="11"/>
      <c r="AB307" s="12" t="s">
        <v>747</v>
      </c>
      <c r="AC307" s="12">
        <v>47590</v>
      </c>
      <c r="AD307" s="12" t="s">
        <v>124</v>
      </c>
      <c r="AE307" s="42"/>
      <c r="AF307" s="43" t="s">
        <v>45</v>
      </c>
    </row>
    <row r="308" spans="1:32" ht="45" x14ac:dyDescent="0.25">
      <c r="A308" s="44"/>
      <c r="B308" s="42"/>
      <c r="C308" s="42"/>
      <c r="D308" s="42"/>
      <c r="E308" s="42"/>
      <c r="F308" s="42"/>
      <c r="G308" s="42"/>
      <c r="H308" s="42"/>
      <c r="I308" s="48"/>
      <c r="J308" s="42"/>
      <c r="K308" s="42"/>
      <c r="L308" s="42"/>
      <c r="M308" s="42"/>
      <c r="N308" s="42"/>
      <c r="O308" s="11" t="s">
        <v>648</v>
      </c>
      <c r="P308" s="11" t="s">
        <v>38</v>
      </c>
      <c r="Q308" s="11" t="s">
        <v>748</v>
      </c>
      <c r="R308" s="11">
        <v>0.2</v>
      </c>
      <c r="S308" s="11"/>
      <c r="T308" s="12" t="s">
        <v>630</v>
      </c>
      <c r="U308" s="12">
        <v>47583</v>
      </c>
      <c r="V308" s="13" t="s">
        <v>749</v>
      </c>
      <c r="W308" s="11" t="s">
        <v>628</v>
      </c>
      <c r="X308" s="11" t="s">
        <v>409</v>
      </c>
      <c r="Y308" s="11" t="s">
        <v>750</v>
      </c>
      <c r="Z308" s="11">
        <v>0.2</v>
      </c>
      <c r="AA308" s="11"/>
      <c r="AB308" s="12" t="s">
        <v>634</v>
      </c>
      <c r="AC308" s="12">
        <v>47598</v>
      </c>
      <c r="AD308" s="12" t="s">
        <v>124</v>
      </c>
      <c r="AE308" s="42"/>
      <c r="AF308" s="42"/>
    </row>
    <row r="309" spans="1:32" ht="45" x14ac:dyDescent="0.25">
      <c r="A309" s="44"/>
      <c r="B309" s="42"/>
      <c r="C309" s="42"/>
      <c r="D309" s="42"/>
      <c r="E309" s="42"/>
      <c r="F309" s="42"/>
      <c r="G309" s="42"/>
      <c r="H309" s="42"/>
      <c r="I309" s="48"/>
      <c r="J309" s="42"/>
      <c r="K309" s="42"/>
      <c r="L309" s="42"/>
      <c r="M309" s="42"/>
      <c r="N309" s="42"/>
      <c r="O309" s="11" t="s">
        <v>655</v>
      </c>
      <c r="P309" s="11" t="s">
        <v>38</v>
      </c>
      <c r="Q309" s="11">
        <v>1269</v>
      </c>
      <c r="R309" s="11">
        <v>0.2</v>
      </c>
      <c r="S309" s="11"/>
      <c r="T309" s="12" t="s">
        <v>694</v>
      </c>
      <c r="U309" s="12">
        <v>47584</v>
      </c>
      <c r="V309" s="13" t="s">
        <v>751</v>
      </c>
      <c r="W309" s="11" t="s">
        <v>638</v>
      </c>
      <c r="X309" s="11" t="s">
        <v>409</v>
      </c>
      <c r="Y309" s="11" t="s">
        <v>752</v>
      </c>
      <c r="Z309" s="11">
        <v>0.2</v>
      </c>
      <c r="AA309" s="11"/>
      <c r="AB309" s="12" t="s">
        <v>634</v>
      </c>
      <c r="AC309" s="12">
        <v>47598</v>
      </c>
      <c r="AD309" s="12" t="s">
        <v>124</v>
      </c>
      <c r="AE309" s="42"/>
      <c r="AF309" s="42"/>
    </row>
    <row r="310" spans="1:32" ht="23.85" customHeight="1" x14ac:dyDescent="0.25">
      <c r="A310" s="44">
        <v>101</v>
      </c>
      <c r="B310" s="42" t="s">
        <v>28</v>
      </c>
      <c r="C310" s="42" t="s">
        <v>619</v>
      </c>
      <c r="D310" s="42">
        <v>103662</v>
      </c>
      <c r="E310" s="42" t="s">
        <v>753</v>
      </c>
      <c r="F310" s="42" t="s">
        <v>405</v>
      </c>
      <c r="G310" s="42" t="s">
        <v>90</v>
      </c>
      <c r="H310" s="42" t="s">
        <v>33</v>
      </c>
      <c r="I310" s="48" t="s">
        <v>754</v>
      </c>
      <c r="J310" s="42" t="s">
        <v>35</v>
      </c>
      <c r="K310" s="42"/>
      <c r="L310" s="42" t="s">
        <v>265</v>
      </c>
      <c r="M310" s="52">
        <v>49668</v>
      </c>
      <c r="N310" s="42" t="s">
        <v>92</v>
      </c>
      <c r="O310" s="11" t="s">
        <v>624</v>
      </c>
      <c r="P310" s="11" t="s">
        <v>84</v>
      </c>
      <c r="Q310" s="11" t="s">
        <v>755</v>
      </c>
      <c r="R310" s="11">
        <v>0.5</v>
      </c>
      <c r="S310" s="11"/>
      <c r="T310" s="12" t="s">
        <v>703</v>
      </c>
      <c r="U310" s="12">
        <v>46870</v>
      </c>
      <c r="V310" s="13" t="s">
        <v>756</v>
      </c>
      <c r="W310" s="11" t="s">
        <v>628</v>
      </c>
      <c r="X310" s="11" t="s">
        <v>409</v>
      </c>
      <c r="Y310" s="11" t="s">
        <v>746</v>
      </c>
      <c r="Z310" s="11">
        <v>0.2</v>
      </c>
      <c r="AA310" s="11"/>
      <c r="AB310" s="12" t="s">
        <v>747</v>
      </c>
      <c r="AC310" s="12">
        <v>47590</v>
      </c>
      <c r="AD310" s="12" t="s">
        <v>124</v>
      </c>
      <c r="AE310" s="42"/>
      <c r="AF310" s="43" t="s">
        <v>45</v>
      </c>
    </row>
    <row r="311" spans="1:32" ht="25.5" x14ac:dyDescent="0.25">
      <c r="A311" s="44"/>
      <c r="B311" s="42"/>
      <c r="C311" s="42"/>
      <c r="D311" s="42"/>
      <c r="E311" s="42"/>
      <c r="F311" s="42"/>
      <c r="G311" s="42"/>
      <c r="H311" s="42"/>
      <c r="I311" s="48"/>
      <c r="J311" s="42"/>
      <c r="K311" s="42"/>
      <c r="L311" s="42"/>
      <c r="M311" s="42"/>
      <c r="N311" s="42"/>
      <c r="O311" s="11" t="s">
        <v>77</v>
      </c>
      <c r="P311" s="11" t="s">
        <v>77</v>
      </c>
      <c r="Q311" s="11" t="s">
        <v>77</v>
      </c>
      <c r="R311" s="11" t="s">
        <v>77</v>
      </c>
      <c r="S311" s="11"/>
      <c r="T311" s="12" t="s">
        <v>77</v>
      </c>
      <c r="U311" s="12" t="s">
        <v>77</v>
      </c>
      <c r="V311" s="4"/>
      <c r="W311" s="11" t="s">
        <v>628</v>
      </c>
      <c r="X311" s="11" t="s">
        <v>409</v>
      </c>
      <c r="Y311" s="11" t="s">
        <v>750</v>
      </c>
      <c r="Z311" s="11">
        <v>0.2</v>
      </c>
      <c r="AA311" s="11"/>
      <c r="AB311" s="12" t="s">
        <v>634</v>
      </c>
      <c r="AC311" s="12">
        <v>47598</v>
      </c>
      <c r="AD311" s="12" t="s">
        <v>124</v>
      </c>
      <c r="AE311" s="42"/>
      <c r="AF311" s="42"/>
    </row>
    <row r="312" spans="1:32" ht="45" x14ac:dyDescent="0.25">
      <c r="A312" s="44"/>
      <c r="B312" s="42"/>
      <c r="C312" s="42"/>
      <c r="D312" s="42"/>
      <c r="E312" s="42"/>
      <c r="F312" s="42"/>
      <c r="G312" s="42"/>
      <c r="H312" s="42"/>
      <c r="I312" s="48"/>
      <c r="J312" s="42"/>
      <c r="K312" s="42"/>
      <c r="L312" s="42"/>
      <c r="M312" s="42"/>
      <c r="N312" s="42"/>
      <c r="O312" s="11" t="s">
        <v>635</v>
      </c>
      <c r="P312" s="11" t="s">
        <v>84</v>
      </c>
      <c r="Q312" s="11">
        <v>52406</v>
      </c>
      <c r="R312" s="11">
        <v>0.5</v>
      </c>
      <c r="S312" s="11"/>
      <c r="T312" s="12" t="s">
        <v>634</v>
      </c>
      <c r="U312" s="12">
        <v>46868</v>
      </c>
      <c r="V312" s="13" t="s">
        <v>757</v>
      </c>
      <c r="W312" s="11" t="s">
        <v>638</v>
      </c>
      <c r="X312" s="11" t="s">
        <v>409</v>
      </c>
      <c r="Y312" s="11" t="s">
        <v>752</v>
      </c>
      <c r="Z312" s="11">
        <v>0.2</v>
      </c>
      <c r="AA312" s="11"/>
      <c r="AB312" s="12" t="s">
        <v>634</v>
      </c>
      <c r="AC312" s="12">
        <v>47598</v>
      </c>
      <c r="AD312" s="12" t="s">
        <v>124</v>
      </c>
      <c r="AE312" s="42"/>
      <c r="AF312" s="42"/>
    </row>
    <row r="313" spans="1:32" ht="23.85" customHeight="1" x14ac:dyDescent="0.25">
      <c r="A313" s="44">
        <v>102</v>
      </c>
      <c r="B313" s="42" t="s">
        <v>28</v>
      </c>
      <c r="C313" s="42" t="s">
        <v>619</v>
      </c>
      <c r="D313" s="42">
        <v>103662</v>
      </c>
      <c r="E313" s="42" t="s">
        <v>758</v>
      </c>
      <c r="F313" s="42" t="s">
        <v>405</v>
      </c>
      <c r="G313" s="42" t="s">
        <v>90</v>
      </c>
      <c r="H313" s="42" t="s">
        <v>33</v>
      </c>
      <c r="I313" s="48" t="s">
        <v>759</v>
      </c>
      <c r="J313" s="42" t="s">
        <v>35</v>
      </c>
      <c r="K313" s="42"/>
      <c r="L313" s="42" t="s">
        <v>265</v>
      </c>
      <c r="M313" s="52">
        <v>49668</v>
      </c>
      <c r="N313" s="42" t="s">
        <v>92</v>
      </c>
      <c r="O313" s="11" t="s">
        <v>624</v>
      </c>
      <c r="P313" s="11" t="s">
        <v>74</v>
      </c>
      <c r="Q313" s="11" t="s">
        <v>760</v>
      </c>
      <c r="R313" s="11">
        <v>0.5</v>
      </c>
      <c r="S313" s="11"/>
      <c r="T313" s="12" t="s">
        <v>701</v>
      </c>
      <c r="U313" s="12">
        <v>46869</v>
      </c>
      <c r="V313" s="13" t="s">
        <v>761</v>
      </c>
      <c r="W313" s="11" t="s">
        <v>628</v>
      </c>
      <c r="X313" s="11" t="s">
        <v>409</v>
      </c>
      <c r="Y313" s="11" t="s">
        <v>746</v>
      </c>
      <c r="Z313" s="11">
        <v>0.2</v>
      </c>
      <c r="AA313" s="11"/>
      <c r="AB313" s="12" t="s">
        <v>747</v>
      </c>
      <c r="AC313" s="12">
        <v>47590</v>
      </c>
      <c r="AD313" s="12" t="s">
        <v>124</v>
      </c>
      <c r="AE313" s="42"/>
      <c r="AF313" s="43" t="s">
        <v>45</v>
      </c>
    </row>
    <row r="314" spans="1:32" ht="25.5" x14ac:dyDescent="0.25">
      <c r="A314" s="44"/>
      <c r="B314" s="42"/>
      <c r="C314" s="42"/>
      <c r="D314" s="42"/>
      <c r="E314" s="42"/>
      <c r="F314" s="42"/>
      <c r="G314" s="42"/>
      <c r="H314" s="42"/>
      <c r="I314" s="48"/>
      <c r="J314" s="42"/>
      <c r="K314" s="42"/>
      <c r="L314" s="42"/>
      <c r="M314" s="42"/>
      <c r="N314" s="42"/>
      <c r="O314" s="11" t="s">
        <v>77</v>
      </c>
      <c r="P314" s="11" t="s">
        <v>77</v>
      </c>
      <c r="Q314" s="11" t="s">
        <v>77</v>
      </c>
      <c r="R314" s="11" t="s">
        <v>77</v>
      </c>
      <c r="S314" s="11"/>
      <c r="T314" s="12" t="s">
        <v>77</v>
      </c>
      <c r="U314" s="12" t="s">
        <v>77</v>
      </c>
      <c r="V314" s="4"/>
      <c r="W314" s="11" t="s">
        <v>628</v>
      </c>
      <c r="X314" s="11" t="s">
        <v>409</v>
      </c>
      <c r="Y314" s="11" t="s">
        <v>750</v>
      </c>
      <c r="Z314" s="11">
        <v>0.2</v>
      </c>
      <c r="AA314" s="11"/>
      <c r="AB314" s="12" t="s">
        <v>634</v>
      </c>
      <c r="AC314" s="12">
        <v>47598</v>
      </c>
      <c r="AD314" s="12" t="s">
        <v>124</v>
      </c>
      <c r="AE314" s="42"/>
      <c r="AF314" s="42"/>
    </row>
    <row r="315" spans="1:32" ht="45" x14ac:dyDescent="0.25">
      <c r="A315" s="44"/>
      <c r="B315" s="42"/>
      <c r="C315" s="42"/>
      <c r="D315" s="42"/>
      <c r="E315" s="42"/>
      <c r="F315" s="42"/>
      <c r="G315" s="42"/>
      <c r="H315" s="42"/>
      <c r="I315" s="48"/>
      <c r="J315" s="42"/>
      <c r="K315" s="42"/>
      <c r="L315" s="42"/>
      <c r="M315" s="42"/>
      <c r="N315" s="42"/>
      <c r="O315" s="11" t="s">
        <v>635</v>
      </c>
      <c r="P315" s="11" t="s">
        <v>74</v>
      </c>
      <c r="Q315" s="11">
        <v>36151</v>
      </c>
      <c r="R315" s="11">
        <v>0.5</v>
      </c>
      <c r="S315" s="11"/>
      <c r="T315" s="12" t="s">
        <v>701</v>
      </c>
      <c r="U315" s="12">
        <v>46869</v>
      </c>
      <c r="V315" s="13" t="s">
        <v>762</v>
      </c>
      <c r="W315" s="11" t="s">
        <v>638</v>
      </c>
      <c r="X315" s="11" t="s">
        <v>409</v>
      </c>
      <c r="Y315" s="11" t="s">
        <v>752</v>
      </c>
      <c r="Z315" s="11">
        <v>0.2</v>
      </c>
      <c r="AA315" s="11"/>
      <c r="AB315" s="12" t="s">
        <v>634</v>
      </c>
      <c r="AC315" s="12">
        <v>47598</v>
      </c>
      <c r="AD315" s="12" t="s">
        <v>124</v>
      </c>
      <c r="AE315" s="42"/>
      <c r="AF315" s="42"/>
    </row>
    <row r="316" spans="1:32" ht="23.85" customHeight="1" x14ac:dyDescent="0.25">
      <c r="A316" s="44">
        <v>103</v>
      </c>
      <c r="B316" s="42" t="s">
        <v>28</v>
      </c>
      <c r="C316" s="42" t="s">
        <v>619</v>
      </c>
      <c r="D316" s="42">
        <v>103662</v>
      </c>
      <c r="E316" s="42" t="s">
        <v>763</v>
      </c>
      <c r="F316" s="42" t="s">
        <v>405</v>
      </c>
      <c r="G316" s="42" t="s">
        <v>90</v>
      </c>
      <c r="H316" s="42" t="s">
        <v>33</v>
      </c>
      <c r="I316" s="48" t="s">
        <v>764</v>
      </c>
      <c r="J316" s="42" t="s">
        <v>35</v>
      </c>
      <c r="K316" s="42"/>
      <c r="L316" s="42" t="s">
        <v>265</v>
      </c>
      <c r="M316" s="52">
        <v>49668</v>
      </c>
      <c r="N316" s="42" t="s">
        <v>92</v>
      </c>
      <c r="O316" s="11" t="s">
        <v>624</v>
      </c>
      <c r="P316" s="11" t="s">
        <v>156</v>
      </c>
      <c r="Q316" s="11">
        <v>30680</v>
      </c>
      <c r="R316" s="11">
        <v>0.5</v>
      </c>
      <c r="S316" s="11"/>
      <c r="T316" s="12" t="s">
        <v>703</v>
      </c>
      <c r="U316" s="12">
        <v>46870</v>
      </c>
      <c r="V316" s="4" t="s">
        <v>124</v>
      </c>
      <c r="W316" s="11" t="s">
        <v>628</v>
      </c>
      <c r="X316" s="11" t="s">
        <v>409</v>
      </c>
      <c r="Y316" s="11" t="s">
        <v>746</v>
      </c>
      <c r="Z316" s="11">
        <v>0.2</v>
      </c>
      <c r="AA316" s="11"/>
      <c r="AB316" s="12" t="s">
        <v>747</v>
      </c>
      <c r="AC316" s="12">
        <v>47590</v>
      </c>
      <c r="AD316" s="12" t="s">
        <v>124</v>
      </c>
      <c r="AE316" s="42"/>
      <c r="AF316" s="43" t="s">
        <v>45</v>
      </c>
    </row>
    <row r="317" spans="1:32" ht="25.5" x14ac:dyDescent="0.25">
      <c r="A317" s="44"/>
      <c r="B317" s="42"/>
      <c r="C317" s="42"/>
      <c r="D317" s="42"/>
      <c r="E317" s="42"/>
      <c r="F317" s="42"/>
      <c r="G317" s="42"/>
      <c r="H317" s="42"/>
      <c r="I317" s="48"/>
      <c r="J317" s="42"/>
      <c r="K317" s="42"/>
      <c r="L317" s="42"/>
      <c r="M317" s="42"/>
      <c r="N317" s="42"/>
      <c r="O317" s="11" t="s">
        <v>77</v>
      </c>
      <c r="P317" s="11" t="s">
        <v>77</v>
      </c>
      <c r="Q317" s="11" t="s">
        <v>77</v>
      </c>
      <c r="R317" s="11" t="s">
        <v>77</v>
      </c>
      <c r="S317" s="11"/>
      <c r="T317" s="12" t="s">
        <v>77</v>
      </c>
      <c r="U317" s="12" t="s">
        <v>77</v>
      </c>
      <c r="V317" s="4"/>
      <c r="W317" s="11" t="s">
        <v>628</v>
      </c>
      <c r="X317" s="11" t="s">
        <v>409</v>
      </c>
      <c r="Y317" s="11" t="s">
        <v>750</v>
      </c>
      <c r="Z317" s="11">
        <v>0.2</v>
      </c>
      <c r="AA317" s="11"/>
      <c r="AB317" s="12" t="s">
        <v>634</v>
      </c>
      <c r="AC317" s="12">
        <v>47598</v>
      </c>
      <c r="AD317" s="12" t="s">
        <v>124</v>
      </c>
      <c r="AE317" s="42"/>
      <c r="AF317" s="42"/>
    </row>
    <row r="318" spans="1:32" x14ac:dyDescent="0.25">
      <c r="A318" s="44"/>
      <c r="B318" s="42"/>
      <c r="C318" s="42"/>
      <c r="D318" s="42"/>
      <c r="E318" s="42"/>
      <c r="F318" s="42"/>
      <c r="G318" s="42"/>
      <c r="H318" s="42"/>
      <c r="I318" s="48"/>
      <c r="J318" s="42"/>
      <c r="K318" s="42"/>
      <c r="L318" s="42"/>
      <c r="M318" s="42"/>
      <c r="N318" s="42"/>
      <c r="O318" s="11" t="s">
        <v>635</v>
      </c>
      <c r="P318" s="11" t="s">
        <v>156</v>
      </c>
      <c r="Q318" s="11" t="s">
        <v>765</v>
      </c>
      <c r="R318" s="11">
        <v>0.5</v>
      </c>
      <c r="S318" s="11"/>
      <c r="T318" s="12" t="s">
        <v>634</v>
      </c>
      <c r="U318" s="12">
        <v>46868</v>
      </c>
      <c r="V318" s="4" t="s">
        <v>124</v>
      </c>
      <c r="W318" s="11" t="s">
        <v>638</v>
      </c>
      <c r="X318" s="11" t="s">
        <v>409</v>
      </c>
      <c r="Y318" s="11" t="s">
        <v>752</v>
      </c>
      <c r="Z318" s="11">
        <v>0.2</v>
      </c>
      <c r="AA318" s="11"/>
      <c r="AB318" s="12" t="s">
        <v>634</v>
      </c>
      <c r="AC318" s="12">
        <v>47598</v>
      </c>
      <c r="AD318" s="12" t="s">
        <v>124</v>
      </c>
      <c r="AE318" s="42"/>
      <c r="AF318" s="42"/>
    </row>
    <row r="319" spans="1:32" ht="23.85" customHeight="1" x14ac:dyDescent="0.25">
      <c r="A319" s="44">
        <v>104</v>
      </c>
      <c r="B319" s="42" t="s">
        <v>28</v>
      </c>
      <c r="C319" s="42" t="s">
        <v>619</v>
      </c>
      <c r="D319" s="42">
        <v>103662</v>
      </c>
      <c r="E319" s="42" t="s">
        <v>766</v>
      </c>
      <c r="F319" s="42" t="s">
        <v>405</v>
      </c>
      <c r="G319" s="42" t="s">
        <v>90</v>
      </c>
      <c r="H319" s="42" t="s">
        <v>33</v>
      </c>
      <c r="I319" s="48" t="s">
        <v>767</v>
      </c>
      <c r="J319" s="42" t="s">
        <v>35</v>
      </c>
      <c r="K319" s="42"/>
      <c r="L319" s="42" t="s">
        <v>265</v>
      </c>
      <c r="M319" s="52">
        <v>49668</v>
      </c>
      <c r="N319" s="42" t="s">
        <v>92</v>
      </c>
      <c r="O319" s="11" t="s">
        <v>624</v>
      </c>
      <c r="P319" s="11" t="s">
        <v>93</v>
      </c>
      <c r="Q319" s="11" t="s">
        <v>768</v>
      </c>
      <c r="R319" s="11">
        <v>0.5</v>
      </c>
      <c r="S319" s="11"/>
      <c r="T319" s="12" t="s">
        <v>634</v>
      </c>
      <c r="U319" s="12">
        <v>46868</v>
      </c>
      <c r="V319" s="4" t="s">
        <v>124</v>
      </c>
      <c r="W319" s="11" t="s">
        <v>628</v>
      </c>
      <c r="X319" s="11" t="s">
        <v>409</v>
      </c>
      <c r="Y319" s="11" t="s">
        <v>746</v>
      </c>
      <c r="Z319" s="11">
        <v>0.2</v>
      </c>
      <c r="AA319" s="11"/>
      <c r="AB319" s="12" t="s">
        <v>747</v>
      </c>
      <c r="AC319" s="12">
        <v>47590</v>
      </c>
      <c r="AD319" s="12" t="s">
        <v>124</v>
      </c>
      <c r="AE319" s="42"/>
      <c r="AF319" s="43" t="s">
        <v>45</v>
      </c>
    </row>
    <row r="320" spans="1:32" ht="25.5" x14ac:dyDescent="0.25">
      <c r="A320" s="44"/>
      <c r="B320" s="42"/>
      <c r="C320" s="42"/>
      <c r="D320" s="42"/>
      <c r="E320" s="42"/>
      <c r="F320" s="42"/>
      <c r="G320" s="42"/>
      <c r="H320" s="42"/>
      <c r="I320" s="48"/>
      <c r="J320" s="42"/>
      <c r="K320" s="42"/>
      <c r="L320" s="42"/>
      <c r="M320" s="42"/>
      <c r="N320" s="42"/>
      <c r="O320" s="11" t="s">
        <v>77</v>
      </c>
      <c r="P320" s="11" t="s">
        <v>77</v>
      </c>
      <c r="Q320" s="11" t="s">
        <v>77</v>
      </c>
      <c r="R320" s="11" t="s">
        <v>77</v>
      </c>
      <c r="S320" s="11"/>
      <c r="T320" s="12" t="s">
        <v>77</v>
      </c>
      <c r="U320" s="12" t="s">
        <v>77</v>
      </c>
      <c r="V320" s="4"/>
      <c r="W320" s="11" t="s">
        <v>628</v>
      </c>
      <c r="X320" s="11" t="s">
        <v>409</v>
      </c>
      <c r="Y320" s="11" t="s">
        <v>750</v>
      </c>
      <c r="Z320" s="11">
        <v>0.2</v>
      </c>
      <c r="AA320" s="11"/>
      <c r="AB320" s="12" t="s">
        <v>634</v>
      </c>
      <c r="AC320" s="12">
        <v>47598</v>
      </c>
      <c r="AD320" s="12" t="s">
        <v>124</v>
      </c>
      <c r="AE320" s="42"/>
      <c r="AF320" s="42"/>
    </row>
    <row r="321" spans="1:32" ht="45" x14ac:dyDescent="0.25">
      <c r="A321" s="44"/>
      <c r="B321" s="42"/>
      <c r="C321" s="42"/>
      <c r="D321" s="42"/>
      <c r="E321" s="42"/>
      <c r="F321" s="42"/>
      <c r="G321" s="42"/>
      <c r="H321" s="42"/>
      <c r="I321" s="48"/>
      <c r="J321" s="42"/>
      <c r="K321" s="42"/>
      <c r="L321" s="42"/>
      <c r="M321" s="42"/>
      <c r="N321" s="42"/>
      <c r="O321" s="11" t="s">
        <v>635</v>
      </c>
      <c r="P321" s="11" t="s">
        <v>93</v>
      </c>
      <c r="Q321" s="11">
        <v>5325</v>
      </c>
      <c r="R321" s="11">
        <v>0.5</v>
      </c>
      <c r="S321" s="11"/>
      <c r="T321" s="12">
        <v>44677</v>
      </c>
      <c r="U321" s="12">
        <v>46869</v>
      </c>
      <c r="V321" s="13" t="s">
        <v>769</v>
      </c>
      <c r="W321" s="11" t="s">
        <v>638</v>
      </c>
      <c r="X321" s="11" t="s">
        <v>409</v>
      </c>
      <c r="Y321" s="11" t="s">
        <v>752</v>
      </c>
      <c r="Z321" s="11">
        <v>0.2</v>
      </c>
      <c r="AA321" s="11"/>
      <c r="AB321" s="12" t="s">
        <v>634</v>
      </c>
      <c r="AC321" s="12">
        <v>47598</v>
      </c>
      <c r="AD321" s="12" t="s">
        <v>124</v>
      </c>
      <c r="AE321" s="42"/>
      <c r="AF321" s="42"/>
    </row>
    <row r="322" spans="1:32" ht="23.85" customHeight="1" x14ac:dyDescent="0.25">
      <c r="A322" s="44">
        <v>105</v>
      </c>
      <c r="B322" s="42" t="s">
        <v>28</v>
      </c>
      <c r="C322" s="42" t="s">
        <v>619</v>
      </c>
      <c r="D322" s="42">
        <v>103662</v>
      </c>
      <c r="E322" s="42" t="s">
        <v>770</v>
      </c>
      <c r="F322" s="42" t="s">
        <v>405</v>
      </c>
      <c r="G322" s="42" t="s">
        <v>32</v>
      </c>
      <c r="H322" s="42" t="s">
        <v>69</v>
      </c>
      <c r="I322" s="48" t="s">
        <v>771</v>
      </c>
      <c r="J322" s="42" t="s">
        <v>71</v>
      </c>
      <c r="K322" s="42"/>
      <c r="L322" s="42" t="s">
        <v>622</v>
      </c>
      <c r="M322" s="52">
        <v>47073</v>
      </c>
      <c r="N322" s="42" t="s">
        <v>623</v>
      </c>
      <c r="O322" s="11" t="s">
        <v>624</v>
      </c>
      <c r="P322" s="11" t="s">
        <v>93</v>
      </c>
      <c r="Q322" s="11" t="s">
        <v>772</v>
      </c>
      <c r="R322" s="11">
        <v>0.5</v>
      </c>
      <c r="S322" s="11"/>
      <c r="T322" s="12" t="s">
        <v>634</v>
      </c>
      <c r="U322" s="12">
        <v>46868</v>
      </c>
      <c r="V322" s="4" t="s">
        <v>124</v>
      </c>
      <c r="W322" s="11" t="s">
        <v>628</v>
      </c>
      <c r="X322" s="11" t="s">
        <v>409</v>
      </c>
      <c r="Y322" s="11" t="s">
        <v>746</v>
      </c>
      <c r="Z322" s="11">
        <v>0.2</v>
      </c>
      <c r="AA322" s="11"/>
      <c r="AB322" s="12" t="s">
        <v>747</v>
      </c>
      <c r="AC322" s="12">
        <v>47590</v>
      </c>
      <c r="AD322" s="12" t="s">
        <v>124</v>
      </c>
      <c r="AE322" s="42"/>
      <c r="AF322" s="43" t="s">
        <v>45</v>
      </c>
    </row>
    <row r="323" spans="1:32" ht="25.5" x14ac:dyDescent="0.25">
      <c r="A323" s="44"/>
      <c r="B323" s="42"/>
      <c r="C323" s="42"/>
      <c r="D323" s="42"/>
      <c r="E323" s="42"/>
      <c r="F323" s="42"/>
      <c r="G323" s="42"/>
      <c r="H323" s="42"/>
      <c r="I323" s="48"/>
      <c r="J323" s="42"/>
      <c r="K323" s="42"/>
      <c r="L323" s="42"/>
      <c r="M323" s="42"/>
      <c r="N323" s="42"/>
      <c r="O323" s="11" t="s">
        <v>77</v>
      </c>
      <c r="P323" s="11" t="s">
        <v>77</v>
      </c>
      <c r="Q323" s="11" t="s">
        <v>77</v>
      </c>
      <c r="R323" s="11" t="s">
        <v>77</v>
      </c>
      <c r="S323" s="11"/>
      <c r="T323" s="12" t="s">
        <v>77</v>
      </c>
      <c r="U323" s="12" t="s">
        <v>77</v>
      </c>
      <c r="V323" s="4"/>
      <c r="W323" s="11" t="s">
        <v>628</v>
      </c>
      <c r="X323" s="11" t="s">
        <v>409</v>
      </c>
      <c r="Y323" s="11" t="s">
        <v>750</v>
      </c>
      <c r="Z323" s="11">
        <v>0.2</v>
      </c>
      <c r="AA323" s="11"/>
      <c r="AB323" s="12" t="s">
        <v>634</v>
      </c>
      <c r="AC323" s="12">
        <v>47598</v>
      </c>
      <c r="AD323" s="12" t="s">
        <v>124</v>
      </c>
      <c r="AE323" s="42"/>
      <c r="AF323" s="42"/>
    </row>
    <row r="324" spans="1:32" x14ac:dyDescent="0.25">
      <c r="A324" s="44"/>
      <c r="B324" s="42"/>
      <c r="C324" s="42"/>
      <c r="D324" s="42"/>
      <c r="E324" s="42"/>
      <c r="F324" s="42"/>
      <c r="G324" s="42"/>
      <c r="H324" s="42"/>
      <c r="I324" s="48"/>
      <c r="J324" s="42"/>
      <c r="K324" s="42"/>
      <c r="L324" s="42"/>
      <c r="M324" s="42"/>
      <c r="N324" s="42"/>
      <c r="O324" s="11" t="s">
        <v>635</v>
      </c>
      <c r="P324" s="11" t="s">
        <v>93</v>
      </c>
      <c r="Q324" s="11" t="s">
        <v>773</v>
      </c>
      <c r="R324" s="11">
        <v>0.5</v>
      </c>
      <c r="S324" s="11"/>
      <c r="T324" s="12" t="s">
        <v>703</v>
      </c>
      <c r="U324" s="12">
        <v>46870</v>
      </c>
      <c r="V324" s="4" t="s">
        <v>124</v>
      </c>
      <c r="W324" s="11" t="s">
        <v>638</v>
      </c>
      <c r="X324" s="11" t="s">
        <v>409</v>
      </c>
      <c r="Y324" s="11" t="s">
        <v>752</v>
      </c>
      <c r="Z324" s="11">
        <v>0.2</v>
      </c>
      <c r="AA324" s="11"/>
      <c r="AB324" s="12" t="s">
        <v>634</v>
      </c>
      <c r="AC324" s="12">
        <v>47598</v>
      </c>
      <c r="AD324" s="12" t="s">
        <v>124</v>
      </c>
      <c r="AE324" s="42"/>
      <c r="AF324" s="42"/>
    </row>
    <row r="325" spans="1:32" ht="23.85" customHeight="1" x14ac:dyDescent="0.25">
      <c r="A325" s="44">
        <v>106</v>
      </c>
      <c r="B325" s="42" t="s">
        <v>28</v>
      </c>
      <c r="C325" s="42" t="s">
        <v>619</v>
      </c>
      <c r="D325" s="42">
        <v>103662</v>
      </c>
      <c r="E325" s="42" t="s">
        <v>774</v>
      </c>
      <c r="F325" s="42" t="s">
        <v>405</v>
      </c>
      <c r="G325" s="42" t="s">
        <v>32</v>
      </c>
      <c r="H325" s="42" t="s">
        <v>69</v>
      </c>
      <c r="I325" s="48" t="s">
        <v>775</v>
      </c>
      <c r="J325" s="42" t="s">
        <v>71</v>
      </c>
      <c r="K325" s="42"/>
      <c r="L325" s="42" t="s">
        <v>622</v>
      </c>
      <c r="M325" s="52">
        <v>47073</v>
      </c>
      <c r="N325" s="42" t="s">
        <v>623</v>
      </c>
      <c r="O325" s="11" t="s">
        <v>624</v>
      </c>
      <c r="P325" s="11" t="s">
        <v>625</v>
      </c>
      <c r="Q325" s="11" t="s">
        <v>776</v>
      </c>
      <c r="R325" s="11">
        <v>0.5</v>
      </c>
      <c r="S325" s="11"/>
      <c r="T325" s="12" t="s">
        <v>703</v>
      </c>
      <c r="U325" s="12">
        <v>46870</v>
      </c>
      <c r="V325" s="4" t="s">
        <v>124</v>
      </c>
      <c r="W325" s="11" t="s">
        <v>628</v>
      </c>
      <c r="X325" s="11" t="s">
        <v>409</v>
      </c>
      <c r="Y325" s="11" t="s">
        <v>746</v>
      </c>
      <c r="Z325" s="11">
        <v>0.2</v>
      </c>
      <c r="AA325" s="11"/>
      <c r="AB325" s="12" t="s">
        <v>747</v>
      </c>
      <c r="AC325" s="12">
        <v>47590</v>
      </c>
      <c r="AD325" s="12" t="s">
        <v>124</v>
      </c>
      <c r="AE325" s="42"/>
      <c r="AF325" s="43" t="s">
        <v>45</v>
      </c>
    </row>
    <row r="326" spans="1:32" ht="25.5" x14ac:dyDescent="0.25">
      <c r="A326" s="44"/>
      <c r="B326" s="42"/>
      <c r="C326" s="42"/>
      <c r="D326" s="42"/>
      <c r="E326" s="42"/>
      <c r="F326" s="42"/>
      <c r="G326" s="42"/>
      <c r="H326" s="42"/>
      <c r="I326" s="48"/>
      <c r="J326" s="42"/>
      <c r="K326" s="42"/>
      <c r="L326" s="42"/>
      <c r="M326" s="42"/>
      <c r="N326" s="42"/>
      <c r="O326" s="11" t="s">
        <v>77</v>
      </c>
      <c r="P326" s="11" t="s">
        <v>77</v>
      </c>
      <c r="Q326" s="11" t="s">
        <v>77</v>
      </c>
      <c r="R326" s="11" t="s">
        <v>77</v>
      </c>
      <c r="S326" s="11"/>
      <c r="T326" s="12" t="s">
        <v>77</v>
      </c>
      <c r="U326" s="12" t="s">
        <v>77</v>
      </c>
      <c r="V326" s="4"/>
      <c r="W326" s="11" t="s">
        <v>628</v>
      </c>
      <c r="X326" s="11" t="s">
        <v>409</v>
      </c>
      <c r="Y326" s="11" t="s">
        <v>750</v>
      </c>
      <c r="Z326" s="11">
        <v>0.2</v>
      </c>
      <c r="AA326" s="11"/>
      <c r="AB326" s="12" t="s">
        <v>634</v>
      </c>
      <c r="AC326" s="12">
        <v>47598</v>
      </c>
      <c r="AD326" s="12" t="s">
        <v>124</v>
      </c>
      <c r="AE326" s="42"/>
      <c r="AF326" s="42"/>
    </row>
    <row r="327" spans="1:32" x14ac:dyDescent="0.25">
      <c r="A327" s="44"/>
      <c r="B327" s="42"/>
      <c r="C327" s="42"/>
      <c r="D327" s="42"/>
      <c r="E327" s="42"/>
      <c r="F327" s="42"/>
      <c r="G327" s="42"/>
      <c r="H327" s="42"/>
      <c r="I327" s="48"/>
      <c r="J327" s="42"/>
      <c r="K327" s="42"/>
      <c r="L327" s="42"/>
      <c r="M327" s="42"/>
      <c r="N327" s="42"/>
      <c r="O327" s="11" t="s">
        <v>635</v>
      </c>
      <c r="P327" s="11" t="s">
        <v>625</v>
      </c>
      <c r="Q327" s="11" t="s">
        <v>777</v>
      </c>
      <c r="R327" s="11">
        <v>0.5</v>
      </c>
      <c r="S327" s="11"/>
      <c r="T327" s="12" t="s">
        <v>634</v>
      </c>
      <c r="U327" s="12">
        <v>46868</v>
      </c>
      <c r="V327" s="4" t="s">
        <v>124</v>
      </c>
      <c r="W327" s="11" t="s">
        <v>638</v>
      </c>
      <c r="X327" s="11" t="s">
        <v>409</v>
      </c>
      <c r="Y327" s="11" t="s">
        <v>752</v>
      </c>
      <c r="Z327" s="11">
        <v>0.2</v>
      </c>
      <c r="AA327" s="11"/>
      <c r="AB327" s="12" t="s">
        <v>634</v>
      </c>
      <c r="AC327" s="12">
        <v>47598</v>
      </c>
      <c r="AD327" s="12" t="s">
        <v>124</v>
      </c>
      <c r="AE327" s="42"/>
      <c r="AF327" s="42"/>
    </row>
    <row r="328" spans="1:32" ht="23.85" customHeight="1" x14ac:dyDescent="0.25">
      <c r="A328" s="44">
        <v>107</v>
      </c>
      <c r="B328" s="42" t="s">
        <v>28</v>
      </c>
      <c r="C328" s="42" t="s">
        <v>619</v>
      </c>
      <c r="D328" s="42">
        <v>103662</v>
      </c>
      <c r="E328" s="42" t="s">
        <v>778</v>
      </c>
      <c r="F328" s="42" t="s">
        <v>405</v>
      </c>
      <c r="G328" s="42" t="s">
        <v>32</v>
      </c>
      <c r="H328" s="42" t="s">
        <v>69</v>
      </c>
      <c r="I328" s="48" t="s">
        <v>779</v>
      </c>
      <c r="J328" s="42" t="s">
        <v>71</v>
      </c>
      <c r="K328" s="42"/>
      <c r="L328" s="42" t="s">
        <v>622</v>
      </c>
      <c r="M328" s="52">
        <v>47073</v>
      </c>
      <c r="N328" s="42" t="s">
        <v>623</v>
      </c>
      <c r="O328" s="11" t="s">
        <v>624</v>
      </c>
      <c r="P328" s="11" t="s">
        <v>433</v>
      </c>
      <c r="Q328" s="11" t="s">
        <v>780</v>
      </c>
      <c r="R328" s="11">
        <v>0.5</v>
      </c>
      <c r="S328" s="11"/>
      <c r="T328" s="12" t="s">
        <v>634</v>
      </c>
      <c r="U328" s="12">
        <v>46868</v>
      </c>
      <c r="V328" s="4" t="s">
        <v>124</v>
      </c>
      <c r="W328" s="11" t="s">
        <v>628</v>
      </c>
      <c r="X328" s="11" t="s">
        <v>409</v>
      </c>
      <c r="Y328" s="11" t="s">
        <v>746</v>
      </c>
      <c r="Z328" s="11">
        <v>0.2</v>
      </c>
      <c r="AA328" s="11"/>
      <c r="AB328" s="12" t="s">
        <v>747</v>
      </c>
      <c r="AC328" s="12">
        <v>47590</v>
      </c>
      <c r="AD328" s="12" t="s">
        <v>124</v>
      </c>
      <c r="AE328" s="42"/>
      <c r="AF328" s="43" t="s">
        <v>45</v>
      </c>
    </row>
    <row r="329" spans="1:32" ht="25.5" x14ac:dyDescent="0.25">
      <c r="A329" s="44"/>
      <c r="B329" s="42"/>
      <c r="C329" s="42"/>
      <c r="D329" s="42"/>
      <c r="E329" s="42"/>
      <c r="F329" s="42"/>
      <c r="G329" s="42"/>
      <c r="H329" s="42"/>
      <c r="I329" s="48"/>
      <c r="J329" s="42"/>
      <c r="K329" s="42"/>
      <c r="L329" s="42"/>
      <c r="M329" s="42"/>
      <c r="N329" s="42"/>
      <c r="O329" s="11" t="s">
        <v>77</v>
      </c>
      <c r="P329" s="11" t="s">
        <v>77</v>
      </c>
      <c r="Q329" s="11" t="s">
        <v>77</v>
      </c>
      <c r="R329" s="11" t="s">
        <v>77</v>
      </c>
      <c r="S329" s="11"/>
      <c r="T329" s="12" t="s">
        <v>77</v>
      </c>
      <c r="U329" s="12" t="s">
        <v>77</v>
      </c>
      <c r="V329" s="4"/>
      <c r="W329" s="11" t="s">
        <v>628</v>
      </c>
      <c r="X329" s="11" t="s">
        <v>409</v>
      </c>
      <c r="Y329" s="11" t="s">
        <v>750</v>
      </c>
      <c r="Z329" s="11">
        <v>0.2</v>
      </c>
      <c r="AA329" s="11"/>
      <c r="AB329" s="12" t="s">
        <v>634</v>
      </c>
      <c r="AC329" s="12">
        <v>47598</v>
      </c>
      <c r="AD329" s="12" t="s">
        <v>124</v>
      </c>
      <c r="AE329" s="42"/>
      <c r="AF329" s="42"/>
    </row>
    <row r="330" spans="1:32" ht="45" x14ac:dyDescent="0.25">
      <c r="A330" s="44"/>
      <c r="B330" s="42"/>
      <c r="C330" s="42"/>
      <c r="D330" s="42"/>
      <c r="E330" s="42"/>
      <c r="F330" s="42"/>
      <c r="G330" s="42"/>
      <c r="H330" s="42"/>
      <c r="I330" s="48"/>
      <c r="J330" s="42"/>
      <c r="K330" s="42"/>
      <c r="L330" s="42"/>
      <c r="M330" s="42"/>
      <c r="N330" s="42"/>
      <c r="O330" s="11" t="s">
        <v>635</v>
      </c>
      <c r="P330" s="11" t="s">
        <v>433</v>
      </c>
      <c r="Q330" s="11">
        <v>30763</v>
      </c>
      <c r="R330" s="11">
        <v>0.5</v>
      </c>
      <c r="S330" s="11"/>
      <c r="T330" s="12">
        <v>44676</v>
      </c>
      <c r="U330" s="12">
        <v>46868</v>
      </c>
      <c r="V330" s="13" t="s">
        <v>781</v>
      </c>
      <c r="W330" s="11" t="s">
        <v>638</v>
      </c>
      <c r="X330" s="11" t="s">
        <v>409</v>
      </c>
      <c r="Y330" s="11" t="s">
        <v>752</v>
      </c>
      <c r="Z330" s="11">
        <v>0.2</v>
      </c>
      <c r="AA330" s="11"/>
      <c r="AB330" s="12" t="s">
        <v>634</v>
      </c>
      <c r="AC330" s="12">
        <v>47598</v>
      </c>
      <c r="AD330" s="12" t="s">
        <v>124</v>
      </c>
      <c r="AE330" s="42"/>
      <c r="AF330" s="42"/>
    </row>
    <row r="331" spans="1:32" ht="23.85" customHeight="1" x14ac:dyDescent="0.25">
      <c r="A331" s="44">
        <v>108</v>
      </c>
      <c r="B331" s="42" t="s">
        <v>28</v>
      </c>
      <c r="C331" s="42" t="s">
        <v>619</v>
      </c>
      <c r="D331" s="42">
        <v>103662</v>
      </c>
      <c r="E331" s="42" t="s">
        <v>782</v>
      </c>
      <c r="F331" s="42" t="s">
        <v>405</v>
      </c>
      <c r="G331" s="42" t="s">
        <v>90</v>
      </c>
      <c r="H331" s="42" t="s">
        <v>33</v>
      </c>
      <c r="I331" s="48" t="s">
        <v>783</v>
      </c>
      <c r="J331" s="42" t="s">
        <v>35</v>
      </c>
      <c r="K331" s="42"/>
      <c r="L331" s="42" t="s">
        <v>265</v>
      </c>
      <c r="M331" s="52">
        <v>49668</v>
      </c>
      <c r="N331" s="42" t="s">
        <v>92</v>
      </c>
      <c r="O331" s="11" t="s">
        <v>624</v>
      </c>
      <c r="P331" s="11" t="s">
        <v>156</v>
      </c>
      <c r="Q331" s="11" t="s">
        <v>784</v>
      </c>
      <c r="R331" s="11">
        <v>0.5</v>
      </c>
      <c r="S331" s="11"/>
      <c r="T331" s="12" t="s">
        <v>701</v>
      </c>
      <c r="U331" s="12">
        <v>46869</v>
      </c>
      <c r="V331" s="4" t="s">
        <v>124</v>
      </c>
      <c r="W331" s="11" t="s">
        <v>628</v>
      </c>
      <c r="X331" s="11" t="s">
        <v>409</v>
      </c>
      <c r="Y331" s="11" t="s">
        <v>746</v>
      </c>
      <c r="Z331" s="11">
        <v>0.2</v>
      </c>
      <c r="AA331" s="11"/>
      <c r="AB331" s="12" t="s">
        <v>747</v>
      </c>
      <c r="AC331" s="12">
        <v>47590</v>
      </c>
      <c r="AD331" s="12" t="s">
        <v>124</v>
      </c>
      <c r="AE331" s="42"/>
      <c r="AF331" s="43" t="s">
        <v>45</v>
      </c>
    </row>
    <row r="332" spans="1:32" ht="25.5" x14ac:dyDescent="0.25">
      <c r="A332" s="44"/>
      <c r="B332" s="42"/>
      <c r="C332" s="42"/>
      <c r="D332" s="42"/>
      <c r="E332" s="42"/>
      <c r="F332" s="42"/>
      <c r="G332" s="42"/>
      <c r="H332" s="42"/>
      <c r="I332" s="48"/>
      <c r="J332" s="42"/>
      <c r="K332" s="42"/>
      <c r="L332" s="42"/>
      <c r="M332" s="42"/>
      <c r="N332" s="42"/>
      <c r="O332" s="11" t="s">
        <v>77</v>
      </c>
      <c r="P332" s="11" t="s">
        <v>77</v>
      </c>
      <c r="Q332" s="11" t="s">
        <v>77</v>
      </c>
      <c r="R332" s="11" t="s">
        <v>77</v>
      </c>
      <c r="S332" s="11"/>
      <c r="T332" s="12" t="s">
        <v>77</v>
      </c>
      <c r="U332" s="12" t="s">
        <v>77</v>
      </c>
      <c r="V332" s="4"/>
      <c r="W332" s="11" t="s">
        <v>628</v>
      </c>
      <c r="X332" s="11" t="s">
        <v>409</v>
      </c>
      <c r="Y332" s="11" t="s">
        <v>750</v>
      </c>
      <c r="Z332" s="11">
        <v>0.2</v>
      </c>
      <c r="AA332" s="11"/>
      <c r="AB332" s="12" t="s">
        <v>634</v>
      </c>
      <c r="AC332" s="12">
        <v>47598</v>
      </c>
      <c r="AD332" s="12" t="s">
        <v>124</v>
      </c>
      <c r="AE332" s="42"/>
      <c r="AF332" s="42"/>
    </row>
    <row r="333" spans="1:32" x14ac:dyDescent="0.25">
      <c r="A333" s="44"/>
      <c r="B333" s="42"/>
      <c r="C333" s="42"/>
      <c r="D333" s="42"/>
      <c r="E333" s="42"/>
      <c r="F333" s="42"/>
      <c r="G333" s="42"/>
      <c r="H333" s="42"/>
      <c r="I333" s="48"/>
      <c r="J333" s="42"/>
      <c r="K333" s="42"/>
      <c r="L333" s="42"/>
      <c r="M333" s="42"/>
      <c r="N333" s="42"/>
      <c r="O333" s="11" t="s">
        <v>635</v>
      </c>
      <c r="P333" s="11" t="s">
        <v>156</v>
      </c>
      <c r="Q333" s="11" t="s">
        <v>785</v>
      </c>
      <c r="R333" s="11">
        <v>0.5</v>
      </c>
      <c r="S333" s="11"/>
      <c r="T333" s="12" t="s">
        <v>701</v>
      </c>
      <c r="U333" s="12">
        <v>46869</v>
      </c>
      <c r="V333" s="4" t="s">
        <v>124</v>
      </c>
      <c r="W333" s="11" t="s">
        <v>638</v>
      </c>
      <c r="X333" s="11" t="s">
        <v>409</v>
      </c>
      <c r="Y333" s="11" t="s">
        <v>752</v>
      </c>
      <c r="Z333" s="11">
        <v>0.2</v>
      </c>
      <c r="AA333" s="11"/>
      <c r="AB333" s="12" t="s">
        <v>634</v>
      </c>
      <c r="AC333" s="12">
        <v>47598</v>
      </c>
      <c r="AD333" s="12" t="s">
        <v>124</v>
      </c>
      <c r="AE333" s="42"/>
      <c r="AF333" s="42"/>
    </row>
    <row r="334" spans="1:32" ht="23.85" customHeight="1" x14ac:dyDescent="0.25">
      <c r="A334" s="44">
        <v>109</v>
      </c>
      <c r="B334" s="42" t="s">
        <v>28</v>
      </c>
      <c r="C334" s="42" t="s">
        <v>619</v>
      </c>
      <c r="D334" s="42">
        <v>103662</v>
      </c>
      <c r="E334" s="42" t="s">
        <v>786</v>
      </c>
      <c r="F334" s="42" t="s">
        <v>405</v>
      </c>
      <c r="G334" s="42" t="s">
        <v>90</v>
      </c>
      <c r="H334" s="42" t="s">
        <v>33</v>
      </c>
      <c r="I334" s="48" t="s">
        <v>787</v>
      </c>
      <c r="J334" s="42" t="s">
        <v>35</v>
      </c>
      <c r="K334" s="42"/>
      <c r="L334" s="42" t="s">
        <v>265</v>
      </c>
      <c r="M334" s="52">
        <v>49668</v>
      </c>
      <c r="N334" s="42" t="s">
        <v>92</v>
      </c>
      <c r="O334" s="11" t="s">
        <v>624</v>
      </c>
      <c r="P334" s="11" t="s">
        <v>116</v>
      </c>
      <c r="Q334" s="11" t="s">
        <v>788</v>
      </c>
      <c r="R334" s="11">
        <v>0.5</v>
      </c>
      <c r="S334" s="11"/>
      <c r="T334" s="12" t="s">
        <v>634</v>
      </c>
      <c r="U334" s="12">
        <v>46868</v>
      </c>
      <c r="V334" s="4" t="s">
        <v>124</v>
      </c>
      <c r="W334" s="11" t="s">
        <v>628</v>
      </c>
      <c r="X334" s="11" t="s">
        <v>409</v>
      </c>
      <c r="Y334" s="11" t="s">
        <v>746</v>
      </c>
      <c r="Z334" s="11">
        <v>0.2</v>
      </c>
      <c r="AA334" s="11"/>
      <c r="AB334" s="12" t="s">
        <v>747</v>
      </c>
      <c r="AC334" s="12">
        <v>47590</v>
      </c>
      <c r="AD334" s="12" t="s">
        <v>124</v>
      </c>
      <c r="AE334" s="42"/>
      <c r="AF334" s="43" t="s">
        <v>45</v>
      </c>
    </row>
    <row r="335" spans="1:32" ht="25.5" x14ac:dyDescent="0.25">
      <c r="A335" s="44"/>
      <c r="B335" s="42"/>
      <c r="C335" s="42"/>
      <c r="D335" s="42"/>
      <c r="E335" s="42"/>
      <c r="F335" s="42"/>
      <c r="G335" s="42"/>
      <c r="H335" s="42"/>
      <c r="I335" s="48"/>
      <c r="J335" s="42"/>
      <c r="K335" s="42"/>
      <c r="L335" s="42"/>
      <c r="M335" s="42"/>
      <c r="N335" s="42"/>
      <c r="O335" s="11" t="s">
        <v>77</v>
      </c>
      <c r="P335" s="11" t="s">
        <v>77</v>
      </c>
      <c r="Q335" s="11" t="s">
        <v>77</v>
      </c>
      <c r="R335" s="11" t="s">
        <v>77</v>
      </c>
      <c r="S335" s="11"/>
      <c r="T335" s="12" t="s">
        <v>77</v>
      </c>
      <c r="U335" s="12" t="s">
        <v>77</v>
      </c>
      <c r="V335" s="4"/>
      <c r="W335" s="11" t="s">
        <v>628</v>
      </c>
      <c r="X335" s="11" t="s">
        <v>409</v>
      </c>
      <c r="Y335" s="11" t="s">
        <v>750</v>
      </c>
      <c r="Z335" s="11">
        <v>0.2</v>
      </c>
      <c r="AA335" s="11"/>
      <c r="AB335" s="12" t="s">
        <v>634</v>
      </c>
      <c r="AC335" s="12">
        <v>47598</v>
      </c>
      <c r="AD335" s="12" t="s">
        <v>124</v>
      </c>
      <c r="AE335" s="42"/>
      <c r="AF335" s="42"/>
    </row>
    <row r="336" spans="1:32" x14ac:dyDescent="0.25">
      <c r="A336" s="44"/>
      <c r="B336" s="42"/>
      <c r="C336" s="42"/>
      <c r="D336" s="42"/>
      <c r="E336" s="42"/>
      <c r="F336" s="42"/>
      <c r="G336" s="42"/>
      <c r="H336" s="42"/>
      <c r="I336" s="48"/>
      <c r="J336" s="42"/>
      <c r="K336" s="42"/>
      <c r="L336" s="42"/>
      <c r="M336" s="42"/>
      <c r="N336" s="42"/>
      <c r="O336" s="11" t="s">
        <v>635</v>
      </c>
      <c r="P336" s="11" t="s">
        <v>116</v>
      </c>
      <c r="Q336" s="11" t="s">
        <v>789</v>
      </c>
      <c r="R336" s="11">
        <v>0.5</v>
      </c>
      <c r="S336" s="11"/>
      <c r="T336" s="12" t="s">
        <v>634</v>
      </c>
      <c r="U336" s="12">
        <v>46868</v>
      </c>
      <c r="V336" s="4" t="s">
        <v>124</v>
      </c>
      <c r="W336" s="11" t="s">
        <v>638</v>
      </c>
      <c r="X336" s="11" t="s">
        <v>409</v>
      </c>
      <c r="Y336" s="11" t="s">
        <v>752</v>
      </c>
      <c r="Z336" s="11">
        <v>0.2</v>
      </c>
      <c r="AA336" s="11"/>
      <c r="AB336" s="12" t="s">
        <v>634</v>
      </c>
      <c r="AC336" s="12">
        <v>47598</v>
      </c>
      <c r="AD336" s="12" t="s">
        <v>124</v>
      </c>
      <c r="AE336" s="42"/>
      <c r="AF336" s="42"/>
    </row>
    <row r="337" spans="1:32" ht="35.1" customHeight="1" x14ac:dyDescent="0.25">
      <c r="A337" s="44">
        <v>110</v>
      </c>
      <c r="B337" s="42" t="s">
        <v>28</v>
      </c>
      <c r="C337" s="42" t="s">
        <v>619</v>
      </c>
      <c r="D337" s="42">
        <v>103662</v>
      </c>
      <c r="E337" s="42" t="s">
        <v>790</v>
      </c>
      <c r="F337" s="42" t="s">
        <v>405</v>
      </c>
      <c r="G337" s="42" t="s">
        <v>597</v>
      </c>
      <c r="H337" s="42" t="s">
        <v>33</v>
      </c>
      <c r="I337" s="48" t="s">
        <v>791</v>
      </c>
      <c r="J337" s="42" t="s">
        <v>35</v>
      </c>
      <c r="K337" s="42"/>
      <c r="L337" s="42" t="s">
        <v>792</v>
      </c>
      <c r="M337" s="52">
        <v>49565</v>
      </c>
      <c r="N337" s="42" t="s">
        <v>92</v>
      </c>
      <c r="O337" s="11" t="s">
        <v>648</v>
      </c>
      <c r="P337" s="11" t="s">
        <v>38</v>
      </c>
      <c r="Q337" s="11" t="s">
        <v>793</v>
      </c>
      <c r="R337" s="11">
        <v>0.2</v>
      </c>
      <c r="S337" s="11"/>
      <c r="T337" s="12">
        <v>44694</v>
      </c>
      <c r="U337" s="12">
        <v>47616</v>
      </c>
      <c r="V337" s="13" t="s">
        <v>794</v>
      </c>
      <c r="W337" s="11" t="s">
        <v>628</v>
      </c>
      <c r="X337" s="11" t="s">
        <v>409</v>
      </c>
      <c r="Y337" s="11" t="s">
        <v>795</v>
      </c>
      <c r="Z337" s="11">
        <v>0.2</v>
      </c>
      <c r="AA337" s="11"/>
      <c r="AB337" s="12" t="s">
        <v>796</v>
      </c>
      <c r="AC337" s="12">
        <v>47589</v>
      </c>
      <c r="AD337" s="12" t="s">
        <v>124</v>
      </c>
      <c r="AE337" s="42"/>
      <c r="AF337" s="43" t="s">
        <v>45</v>
      </c>
    </row>
    <row r="338" spans="1:32" ht="45" x14ac:dyDescent="0.25">
      <c r="A338" s="44"/>
      <c r="B338" s="42"/>
      <c r="C338" s="42"/>
      <c r="D338" s="42"/>
      <c r="E338" s="42"/>
      <c r="F338" s="42"/>
      <c r="G338" s="42"/>
      <c r="H338" s="42"/>
      <c r="I338" s="48"/>
      <c r="J338" s="42"/>
      <c r="K338" s="42"/>
      <c r="L338" s="42"/>
      <c r="M338" s="42"/>
      <c r="N338" s="42"/>
      <c r="O338" s="11" t="s">
        <v>648</v>
      </c>
      <c r="P338" s="11" t="s">
        <v>38</v>
      </c>
      <c r="Q338" s="11" t="s">
        <v>797</v>
      </c>
      <c r="R338" s="11">
        <v>0.2</v>
      </c>
      <c r="S338" s="11"/>
      <c r="T338" s="12">
        <v>44694</v>
      </c>
      <c r="U338" s="12">
        <v>47616</v>
      </c>
      <c r="V338" s="13" t="s">
        <v>798</v>
      </c>
      <c r="W338" s="11" t="s">
        <v>628</v>
      </c>
      <c r="X338" s="11" t="s">
        <v>409</v>
      </c>
      <c r="Y338" s="11" t="s">
        <v>799</v>
      </c>
      <c r="Z338" s="11">
        <v>0.2</v>
      </c>
      <c r="AA338" s="11"/>
      <c r="AB338" s="12" t="s">
        <v>634</v>
      </c>
      <c r="AC338" s="12">
        <v>47598</v>
      </c>
      <c r="AD338" s="12" t="s">
        <v>124</v>
      </c>
      <c r="AE338" s="42"/>
      <c r="AF338" s="42"/>
    </row>
    <row r="339" spans="1:32" ht="45" x14ac:dyDescent="0.25">
      <c r="A339" s="44"/>
      <c r="B339" s="42"/>
      <c r="C339" s="42"/>
      <c r="D339" s="42"/>
      <c r="E339" s="42"/>
      <c r="F339" s="42"/>
      <c r="G339" s="42"/>
      <c r="H339" s="42"/>
      <c r="I339" s="48"/>
      <c r="J339" s="42"/>
      <c r="K339" s="42"/>
      <c r="L339" s="42"/>
      <c r="M339" s="42"/>
      <c r="N339" s="42"/>
      <c r="O339" s="11" t="s">
        <v>655</v>
      </c>
      <c r="P339" s="11" t="s">
        <v>38</v>
      </c>
      <c r="Q339" s="11">
        <v>1249</v>
      </c>
      <c r="R339" s="11">
        <v>0.2</v>
      </c>
      <c r="S339" s="11"/>
      <c r="T339" s="12">
        <v>44694</v>
      </c>
      <c r="U339" s="12">
        <v>47616</v>
      </c>
      <c r="V339" s="13" t="s">
        <v>800</v>
      </c>
      <c r="W339" s="11" t="s">
        <v>638</v>
      </c>
      <c r="X339" s="11" t="s">
        <v>409</v>
      </c>
      <c r="Y339" s="11" t="s">
        <v>801</v>
      </c>
      <c r="Z339" s="11">
        <v>0.2</v>
      </c>
      <c r="AA339" s="11"/>
      <c r="AB339" s="12" t="s">
        <v>634</v>
      </c>
      <c r="AC339" s="12">
        <v>47598</v>
      </c>
      <c r="AD339" s="12" t="s">
        <v>124</v>
      </c>
      <c r="AE339" s="42"/>
      <c r="AF339" s="42"/>
    </row>
    <row r="340" spans="1:32" ht="23.85" customHeight="1" x14ac:dyDescent="0.25">
      <c r="A340" s="44">
        <v>111</v>
      </c>
      <c r="B340" s="42" t="s">
        <v>28</v>
      </c>
      <c r="C340" s="42" t="s">
        <v>619</v>
      </c>
      <c r="D340" s="42">
        <v>103662</v>
      </c>
      <c r="E340" s="42" t="s">
        <v>802</v>
      </c>
      <c r="F340" s="42" t="s">
        <v>405</v>
      </c>
      <c r="G340" s="42" t="s">
        <v>32</v>
      </c>
      <c r="H340" s="42" t="s">
        <v>69</v>
      </c>
      <c r="I340" s="48" t="s">
        <v>803</v>
      </c>
      <c r="J340" s="42" t="s">
        <v>71</v>
      </c>
      <c r="K340" s="42"/>
      <c r="L340" s="42" t="s">
        <v>622</v>
      </c>
      <c r="M340" s="52">
        <v>47073</v>
      </c>
      <c r="N340" s="42" t="s">
        <v>623</v>
      </c>
      <c r="O340" s="11" t="s">
        <v>624</v>
      </c>
      <c r="P340" s="11" t="s">
        <v>84</v>
      </c>
      <c r="Q340" s="11" t="s">
        <v>804</v>
      </c>
      <c r="R340" s="11">
        <v>0.5</v>
      </c>
      <c r="S340" s="11"/>
      <c r="T340" s="12" t="s">
        <v>805</v>
      </c>
      <c r="U340" s="12">
        <v>46157</v>
      </c>
      <c r="V340" s="4" t="s">
        <v>124</v>
      </c>
      <c r="W340" s="11" t="s">
        <v>628</v>
      </c>
      <c r="X340" s="11" t="s">
        <v>409</v>
      </c>
      <c r="Y340" s="11" t="s">
        <v>795</v>
      </c>
      <c r="Z340" s="11">
        <v>0.2</v>
      </c>
      <c r="AA340" s="11"/>
      <c r="AB340" s="12" t="s">
        <v>796</v>
      </c>
      <c r="AC340" s="12">
        <v>47589</v>
      </c>
      <c r="AD340" s="12" t="s">
        <v>124</v>
      </c>
      <c r="AE340" s="42"/>
      <c r="AF340" s="43" t="s">
        <v>45</v>
      </c>
    </row>
    <row r="341" spans="1:32" ht="25.5" x14ac:dyDescent="0.25">
      <c r="A341" s="44"/>
      <c r="B341" s="42"/>
      <c r="C341" s="42"/>
      <c r="D341" s="42"/>
      <c r="E341" s="42"/>
      <c r="F341" s="42"/>
      <c r="G341" s="42"/>
      <c r="H341" s="42"/>
      <c r="I341" s="48"/>
      <c r="J341" s="42"/>
      <c r="K341" s="42"/>
      <c r="L341" s="42"/>
      <c r="M341" s="42"/>
      <c r="N341" s="42"/>
      <c r="O341" s="11" t="s">
        <v>77</v>
      </c>
      <c r="P341" s="11" t="s">
        <v>77</v>
      </c>
      <c r="Q341" s="11" t="s">
        <v>77</v>
      </c>
      <c r="R341" s="11" t="s">
        <v>77</v>
      </c>
      <c r="S341" s="11"/>
      <c r="T341" s="12" t="s">
        <v>77</v>
      </c>
      <c r="U341" s="12" t="s">
        <v>77</v>
      </c>
      <c r="V341" s="4"/>
      <c r="W341" s="11" t="s">
        <v>628</v>
      </c>
      <c r="X341" s="11" t="s">
        <v>409</v>
      </c>
      <c r="Y341" s="11" t="s">
        <v>799</v>
      </c>
      <c r="Z341" s="11">
        <v>0.2</v>
      </c>
      <c r="AA341" s="11"/>
      <c r="AB341" s="12" t="s">
        <v>634</v>
      </c>
      <c r="AC341" s="12">
        <v>47598</v>
      </c>
      <c r="AD341" s="12" t="s">
        <v>124</v>
      </c>
      <c r="AE341" s="42"/>
      <c r="AF341" s="42"/>
    </row>
    <row r="342" spans="1:32" x14ac:dyDescent="0.25">
      <c r="A342" s="44"/>
      <c r="B342" s="42"/>
      <c r="C342" s="42"/>
      <c r="D342" s="42"/>
      <c r="E342" s="42"/>
      <c r="F342" s="42"/>
      <c r="G342" s="42"/>
      <c r="H342" s="42"/>
      <c r="I342" s="48"/>
      <c r="J342" s="42"/>
      <c r="K342" s="42"/>
      <c r="L342" s="42"/>
      <c r="M342" s="42"/>
      <c r="N342" s="42"/>
      <c r="O342" s="11" t="s">
        <v>635</v>
      </c>
      <c r="P342" s="11" t="s">
        <v>84</v>
      </c>
      <c r="Q342" s="11" t="s">
        <v>806</v>
      </c>
      <c r="R342" s="11">
        <v>0.5</v>
      </c>
      <c r="S342" s="11"/>
      <c r="T342" s="12" t="s">
        <v>805</v>
      </c>
      <c r="U342" s="12">
        <v>46157</v>
      </c>
      <c r="V342" s="4" t="s">
        <v>124</v>
      </c>
      <c r="W342" s="11" t="s">
        <v>638</v>
      </c>
      <c r="X342" s="11" t="s">
        <v>409</v>
      </c>
      <c r="Y342" s="11" t="s">
        <v>801</v>
      </c>
      <c r="Z342" s="11">
        <v>0.2</v>
      </c>
      <c r="AA342" s="11"/>
      <c r="AB342" s="12" t="s">
        <v>634</v>
      </c>
      <c r="AC342" s="12">
        <v>47598</v>
      </c>
      <c r="AD342" s="12" t="s">
        <v>124</v>
      </c>
      <c r="AE342" s="42"/>
      <c r="AF342" s="42"/>
    </row>
    <row r="343" spans="1:32" ht="23.85" customHeight="1" x14ac:dyDescent="0.25">
      <c r="A343" s="44">
        <v>112</v>
      </c>
      <c r="B343" s="42" t="s">
        <v>28</v>
      </c>
      <c r="C343" s="42" t="s">
        <v>619</v>
      </c>
      <c r="D343" s="42">
        <v>103662</v>
      </c>
      <c r="E343" s="42" t="s">
        <v>807</v>
      </c>
      <c r="F343" s="42" t="s">
        <v>405</v>
      </c>
      <c r="G343" s="42" t="s">
        <v>90</v>
      </c>
      <c r="H343" s="42" t="s">
        <v>69</v>
      </c>
      <c r="I343" s="48" t="s">
        <v>808</v>
      </c>
      <c r="J343" s="42" t="s">
        <v>71</v>
      </c>
      <c r="K343" s="42"/>
      <c r="L343" s="42" t="s">
        <v>622</v>
      </c>
      <c r="M343" s="52">
        <v>47073</v>
      </c>
      <c r="N343" s="42" t="s">
        <v>623</v>
      </c>
      <c r="O343" s="11" t="s">
        <v>624</v>
      </c>
      <c r="P343" s="11" t="s">
        <v>163</v>
      </c>
      <c r="Q343" s="11" t="s">
        <v>809</v>
      </c>
      <c r="R343" s="11">
        <v>0.5</v>
      </c>
      <c r="S343" s="11"/>
      <c r="T343" s="12" t="s">
        <v>810</v>
      </c>
      <c r="U343" s="12">
        <v>46285</v>
      </c>
      <c r="V343" s="4" t="s">
        <v>124</v>
      </c>
      <c r="W343" s="11" t="s">
        <v>628</v>
      </c>
      <c r="X343" s="11" t="s">
        <v>409</v>
      </c>
      <c r="Y343" s="11" t="s">
        <v>795</v>
      </c>
      <c r="Z343" s="11">
        <v>0.2</v>
      </c>
      <c r="AA343" s="11"/>
      <c r="AB343" s="12" t="s">
        <v>796</v>
      </c>
      <c r="AC343" s="12">
        <v>47589</v>
      </c>
      <c r="AD343" s="12" t="s">
        <v>124</v>
      </c>
      <c r="AE343" s="42"/>
      <c r="AF343" s="43" t="s">
        <v>45</v>
      </c>
    </row>
    <row r="344" spans="1:32" ht="25.5" x14ac:dyDescent="0.25">
      <c r="A344" s="44"/>
      <c r="B344" s="42"/>
      <c r="C344" s="42"/>
      <c r="D344" s="42"/>
      <c r="E344" s="42"/>
      <c r="F344" s="42"/>
      <c r="G344" s="42"/>
      <c r="H344" s="42"/>
      <c r="I344" s="48"/>
      <c r="J344" s="42"/>
      <c r="K344" s="42"/>
      <c r="L344" s="42"/>
      <c r="M344" s="42"/>
      <c r="N344" s="42"/>
      <c r="O344" s="11" t="s">
        <v>77</v>
      </c>
      <c r="P344" s="11" t="s">
        <v>77</v>
      </c>
      <c r="Q344" s="11" t="s">
        <v>77</v>
      </c>
      <c r="R344" s="11" t="s">
        <v>77</v>
      </c>
      <c r="S344" s="11"/>
      <c r="T344" s="12" t="s">
        <v>77</v>
      </c>
      <c r="U344" s="12" t="s">
        <v>77</v>
      </c>
      <c r="V344" s="4"/>
      <c r="W344" s="11" t="s">
        <v>628</v>
      </c>
      <c r="X344" s="11" t="s">
        <v>409</v>
      </c>
      <c r="Y344" s="11" t="s">
        <v>799</v>
      </c>
      <c r="Z344" s="11">
        <v>0.2</v>
      </c>
      <c r="AA344" s="11"/>
      <c r="AB344" s="12" t="s">
        <v>634</v>
      </c>
      <c r="AC344" s="12">
        <v>47598</v>
      </c>
      <c r="AD344" s="12" t="s">
        <v>124</v>
      </c>
      <c r="AE344" s="42"/>
      <c r="AF344" s="42"/>
    </row>
    <row r="345" spans="1:32" x14ac:dyDescent="0.25">
      <c r="A345" s="44"/>
      <c r="B345" s="42"/>
      <c r="C345" s="42"/>
      <c r="D345" s="42"/>
      <c r="E345" s="42"/>
      <c r="F345" s="42"/>
      <c r="G345" s="42"/>
      <c r="H345" s="42"/>
      <c r="I345" s="48"/>
      <c r="J345" s="42"/>
      <c r="K345" s="42"/>
      <c r="L345" s="42"/>
      <c r="M345" s="42"/>
      <c r="N345" s="42"/>
      <c r="O345" s="11" t="s">
        <v>635</v>
      </c>
      <c r="P345" s="11" t="s">
        <v>163</v>
      </c>
      <c r="Q345" s="11" t="s">
        <v>811</v>
      </c>
      <c r="R345" s="11">
        <v>0.5</v>
      </c>
      <c r="S345" s="11"/>
      <c r="T345" s="12" t="s">
        <v>810</v>
      </c>
      <c r="U345" s="12">
        <v>46285</v>
      </c>
      <c r="V345" s="4" t="s">
        <v>124</v>
      </c>
      <c r="W345" s="11" t="s">
        <v>638</v>
      </c>
      <c r="X345" s="11" t="s">
        <v>409</v>
      </c>
      <c r="Y345" s="11" t="s">
        <v>801</v>
      </c>
      <c r="Z345" s="11">
        <v>0.2</v>
      </c>
      <c r="AA345" s="11"/>
      <c r="AB345" s="12" t="s">
        <v>634</v>
      </c>
      <c r="AC345" s="12">
        <v>47598</v>
      </c>
      <c r="AD345" s="12" t="s">
        <v>124</v>
      </c>
      <c r="AE345" s="42"/>
      <c r="AF345" s="42"/>
    </row>
    <row r="346" spans="1:32" ht="23.85" customHeight="1" x14ac:dyDescent="0.25">
      <c r="A346" s="44">
        <v>113</v>
      </c>
      <c r="B346" s="42" t="s">
        <v>28</v>
      </c>
      <c r="C346" s="42" t="s">
        <v>619</v>
      </c>
      <c r="D346" s="42">
        <v>103662</v>
      </c>
      <c r="E346" s="42" t="s">
        <v>812</v>
      </c>
      <c r="F346" s="42" t="s">
        <v>405</v>
      </c>
      <c r="G346" s="42" t="s">
        <v>90</v>
      </c>
      <c r="H346" s="42" t="s">
        <v>69</v>
      </c>
      <c r="I346" s="48" t="s">
        <v>813</v>
      </c>
      <c r="J346" s="42" t="s">
        <v>71</v>
      </c>
      <c r="K346" s="42"/>
      <c r="L346" s="42" t="s">
        <v>622</v>
      </c>
      <c r="M346" s="52">
        <v>47073</v>
      </c>
      <c r="N346" s="42" t="s">
        <v>623</v>
      </c>
      <c r="O346" s="11" t="s">
        <v>624</v>
      </c>
      <c r="P346" s="11" t="s">
        <v>163</v>
      </c>
      <c r="Q346" s="11" t="s">
        <v>814</v>
      </c>
      <c r="R346" s="11">
        <v>0.5</v>
      </c>
      <c r="S346" s="11"/>
      <c r="T346" s="12" t="s">
        <v>815</v>
      </c>
      <c r="U346" s="12">
        <v>46171</v>
      </c>
      <c r="V346" s="4" t="s">
        <v>124</v>
      </c>
      <c r="W346" s="11" t="s">
        <v>628</v>
      </c>
      <c r="X346" s="11" t="s">
        <v>409</v>
      </c>
      <c r="Y346" s="11" t="s">
        <v>795</v>
      </c>
      <c r="Z346" s="11">
        <v>0.2</v>
      </c>
      <c r="AA346" s="11"/>
      <c r="AB346" s="12" t="s">
        <v>796</v>
      </c>
      <c r="AC346" s="12">
        <v>47589</v>
      </c>
      <c r="AD346" s="12" t="s">
        <v>124</v>
      </c>
      <c r="AE346" s="42"/>
      <c r="AF346" s="43" t="s">
        <v>45</v>
      </c>
    </row>
    <row r="347" spans="1:32" ht="25.5" x14ac:dyDescent="0.25">
      <c r="A347" s="44"/>
      <c r="B347" s="42"/>
      <c r="C347" s="42"/>
      <c r="D347" s="42"/>
      <c r="E347" s="42"/>
      <c r="F347" s="42"/>
      <c r="G347" s="42"/>
      <c r="H347" s="42"/>
      <c r="I347" s="48"/>
      <c r="J347" s="42"/>
      <c r="K347" s="42"/>
      <c r="L347" s="42"/>
      <c r="M347" s="42"/>
      <c r="N347" s="42"/>
      <c r="O347" s="11" t="s">
        <v>77</v>
      </c>
      <c r="P347" s="11" t="s">
        <v>77</v>
      </c>
      <c r="Q347" s="11" t="s">
        <v>77</v>
      </c>
      <c r="R347" s="11" t="s">
        <v>77</v>
      </c>
      <c r="S347" s="11"/>
      <c r="T347" s="12" t="s">
        <v>77</v>
      </c>
      <c r="U347" s="12" t="s">
        <v>77</v>
      </c>
      <c r="V347" s="4"/>
      <c r="W347" s="11" t="s">
        <v>628</v>
      </c>
      <c r="X347" s="11" t="s">
        <v>409</v>
      </c>
      <c r="Y347" s="11" t="s">
        <v>799</v>
      </c>
      <c r="Z347" s="11">
        <v>0.2</v>
      </c>
      <c r="AA347" s="11"/>
      <c r="AB347" s="12" t="s">
        <v>634</v>
      </c>
      <c r="AC347" s="12">
        <v>47598</v>
      </c>
      <c r="AD347" s="12" t="s">
        <v>124</v>
      </c>
      <c r="AE347" s="42"/>
      <c r="AF347" s="42"/>
    </row>
    <row r="348" spans="1:32" x14ac:dyDescent="0.25">
      <c r="A348" s="44"/>
      <c r="B348" s="42"/>
      <c r="C348" s="42"/>
      <c r="D348" s="42"/>
      <c r="E348" s="42"/>
      <c r="F348" s="42"/>
      <c r="G348" s="42"/>
      <c r="H348" s="42"/>
      <c r="I348" s="48"/>
      <c r="J348" s="42"/>
      <c r="K348" s="42"/>
      <c r="L348" s="42"/>
      <c r="M348" s="42"/>
      <c r="N348" s="42"/>
      <c r="O348" s="11" t="s">
        <v>635</v>
      </c>
      <c r="P348" s="11" t="s">
        <v>163</v>
      </c>
      <c r="Q348" s="11" t="s">
        <v>816</v>
      </c>
      <c r="R348" s="11">
        <v>0.5</v>
      </c>
      <c r="S348" s="11"/>
      <c r="T348" s="12" t="s">
        <v>815</v>
      </c>
      <c r="U348" s="12">
        <v>46171</v>
      </c>
      <c r="V348" s="4" t="s">
        <v>124</v>
      </c>
      <c r="W348" s="11" t="s">
        <v>638</v>
      </c>
      <c r="X348" s="11" t="s">
        <v>409</v>
      </c>
      <c r="Y348" s="11" t="s">
        <v>801</v>
      </c>
      <c r="Z348" s="11">
        <v>0.2</v>
      </c>
      <c r="AA348" s="11"/>
      <c r="AB348" s="12" t="s">
        <v>634</v>
      </c>
      <c r="AC348" s="12">
        <v>47598</v>
      </c>
      <c r="AD348" s="12" t="s">
        <v>124</v>
      </c>
      <c r="AE348" s="42"/>
      <c r="AF348" s="42"/>
    </row>
    <row r="349" spans="1:32" ht="23.85" customHeight="1" x14ac:dyDescent="0.25">
      <c r="A349" s="44">
        <v>114</v>
      </c>
      <c r="B349" s="42" t="s">
        <v>28</v>
      </c>
      <c r="C349" s="42" t="s">
        <v>619</v>
      </c>
      <c r="D349" s="42">
        <v>103662</v>
      </c>
      <c r="E349" s="42" t="s">
        <v>817</v>
      </c>
      <c r="F349" s="42" t="s">
        <v>405</v>
      </c>
      <c r="G349" s="42" t="s">
        <v>90</v>
      </c>
      <c r="H349" s="42" t="s">
        <v>69</v>
      </c>
      <c r="I349" s="48" t="s">
        <v>818</v>
      </c>
      <c r="J349" s="42" t="s">
        <v>71</v>
      </c>
      <c r="K349" s="42"/>
      <c r="L349" s="42" t="s">
        <v>622</v>
      </c>
      <c r="M349" s="52">
        <v>47073</v>
      </c>
      <c r="N349" s="42" t="s">
        <v>623</v>
      </c>
      <c r="O349" s="11" t="s">
        <v>624</v>
      </c>
      <c r="P349" s="11" t="s">
        <v>74</v>
      </c>
      <c r="Q349" s="11" t="s">
        <v>819</v>
      </c>
      <c r="R349" s="11">
        <v>0.5</v>
      </c>
      <c r="S349" s="11"/>
      <c r="T349" s="12" t="s">
        <v>820</v>
      </c>
      <c r="U349" s="12">
        <v>46380</v>
      </c>
      <c r="V349" s="4" t="s">
        <v>124</v>
      </c>
      <c r="W349" s="11" t="s">
        <v>628</v>
      </c>
      <c r="X349" s="11" t="s">
        <v>409</v>
      </c>
      <c r="Y349" s="11" t="s">
        <v>795</v>
      </c>
      <c r="Z349" s="11">
        <v>0.2</v>
      </c>
      <c r="AA349" s="11"/>
      <c r="AB349" s="12" t="s">
        <v>796</v>
      </c>
      <c r="AC349" s="12">
        <v>47589</v>
      </c>
      <c r="AD349" s="12" t="s">
        <v>124</v>
      </c>
      <c r="AE349" s="42"/>
      <c r="AF349" s="43" t="s">
        <v>45</v>
      </c>
    </row>
    <row r="350" spans="1:32" ht="25.5" x14ac:dyDescent="0.25">
      <c r="A350" s="44"/>
      <c r="B350" s="42"/>
      <c r="C350" s="42"/>
      <c r="D350" s="42"/>
      <c r="E350" s="42"/>
      <c r="F350" s="42"/>
      <c r="G350" s="42"/>
      <c r="H350" s="42"/>
      <c r="I350" s="48"/>
      <c r="J350" s="42"/>
      <c r="K350" s="42"/>
      <c r="L350" s="42"/>
      <c r="M350" s="42"/>
      <c r="N350" s="42"/>
      <c r="O350" s="11" t="s">
        <v>77</v>
      </c>
      <c r="P350" s="11" t="s">
        <v>77</v>
      </c>
      <c r="Q350" s="11" t="s">
        <v>77</v>
      </c>
      <c r="R350" s="11" t="s">
        <v>77</v>
      </c>
      <c r="S350" s="11"/>
      <c r="T350" s="12" t="s">
        <v>77</v>
      </c>
      <c r="U350" s="12" t="s">
        <v>77</v>
      </c>
      <c r="V350" s="4"/>
      <c r="W350" s="11" t="s">
        <v>628</v>
      </c>
      <c r="X350" s="11" t="s">
        <v>409</v>
      </c>
      <c r="Y350" s="11" t="s">
        <v>799</v>
      </c>
      <c r="Z350" s="11">
        <v>0.2</v>
      </c>
      <c r="AA350" s="11"/>
      <c r="AB350" s="12" t="s">
        <v>634</v>
      </c>
      <c r="AC350" s="12">
        <v>47598</v>
      </c>
      <c r="AD350" s="12" t="s">
        <v>124</v>
      </c>
      <c r="AE350" s="42"/>
      <c r="AF350" s="42"/>
    </row>
    <row r="351" spans="1:32" x14ac:dyDescent="0.25">
      <c r="A351" s="44"/>
      <c r="B351" s="42"/>
      <c r="C351" s="42"/>
      <c r="D351" s="42"/>
      <c r="E351" s="42"/>
      <c r="F351" s="42"/>
      <c r="G351" s="42"/>
      <c r="H351" s="42"/>
      <c r="I351" s="48"/>
      <c r="J351" s="42"/>
      <c r="K351" s="42"/>
      <c r="L351" s="42"/>
      <c r="M351" s="42"/>
      <c r="N351" s="42"/>
      <c r="O351" s="11" t="s">
        <v>635</v>
      </c>
      <c r="P351" s="11" t="s">
        <v>74</v>
      </c>
      <c r="Q351" s="11" t="s">
        <v>821</v>
      </c>
      <c r="R351" s="11">
        <v>0.5</v>
      </c>
      <c r="S351" s="11"/>
      <c r="T351" s="12" t="s">
        <v>820</v>
      </c>
      <c r="U351" s="12">
        <v>46380</v>
      </c>
      <c r="V351" s="4" t="s">
        <v>124</v>
      </c>
      <c r="W351" s="11" t="s">
        <v>638</v>
      </c>
      <c r="X351" s="11" t="s">
        <v>409</v>
      </c>
      <c r="Y351" s="11" t="s">
        <v>801</v>
      </c>
      <c r="Z351" s="11">
        <v>0.2</v>
      </c>
      <c r="AA351" s="11"/>
      <c r="AB351" s="12" t="s">
        <v>634</v>
      </c>
      <c r="AC351" s="12">
        <v>47598</v>
      </c>
      <c r="AD351" s="12" t="s">
        <v>124</v>
      </c>
      <c r="AE351" s="42"/>
      <c r="AF351" s="42"/>
    </row>
    <row r="352" spans="1:32" ht="23.85" customHeight="1" x14ac:dyDescent="0.25">
      <c r="A352" s="44">
        <v>115</v>
      </c>
      <c r="B352" s="42" t="s">
        <v>28</v>
      </c>
      <c r="C352" s="42" t="s">
        <v>619</v>
      </c>
      <c r="D352" s="42">
        <v>103662</v>
      </c>
      <c r="E352" s="42" t="s">
        <v>822</v>
      </c>
      <c r="F352" s="42" t="s">
        <v>405</v>
      </c>
      <c r="G352" s="42" t="s">
        <v>90</v>
      </c>
      <c r="H352" s="42" t="s">
        <v>69</v>
      </c>
      <c r="I352" s="48" t="s">
        <v>823</v>
      </c>
      <c r="J352" s="42" t="s">
        <v>71</v>
      </c>
      <c r="K352" s="42"/>
      <c r="L352" s="42" t="s">
        <v>622</v>
      </c>
      <c r="M352" s="52">
        <v>47073</v>
      </c>
      <c r="N352" s="42" t="s">
        <v>623</v>
      </c>
      <c r="O352" s="11" t="s">
        <v>624</v>
      </c>
      <c r="P352" s="11" t="s">
        <v>433</v>
      </c>
      <c r="Q352" s="11" t="s">
        <v>824</v>
      </c>
      <c r="R352" s="11">
        <v>0.5</v>
      </c>
      <c r="S352" s="11"/>
      <c r="T352" s="12" t="s">
        <v>820</v>
      </c>
      <c r="U352" s="12">
        <v>46380</v>
      </c>
      <c r="V352" s="4" t="s">
        <v>124</v>
      </c>
      <c r="W352" s="11" t="s">
        <v>628</v>
      </c>
      <c r="X352" s="11" t="s">
        <v>409</v>
      </c>
      <c r="Y352" s="11" t="s">
        <v>795</v>
      </c>
      <c r="Z352" s="11">
        <v>0.2</v>
      </c>
      <c r="AA352" s="11"/>
      <c r="AB352" s="12" t="s">
        <v>796</v>
      </c>
      <c r="AC352" s="12">
        <v>47589</v>
      </c>
      <c r="AD352" s="12" t="s">
        <v>124</v>
      </c>
      <c r="AE352" s="42"/>
      <c r="AF352" s="43" t="s">
        <v>45</v>
      </c>
    </row>
    <row r="353" spans="1:32" ht="25.5" x14ac:dyDescent="0.25">
      <c r="A353" s="44"/>
      <c r="B353" s="42"/>
      <c r="C353" s="42"/>
      <c r="D353" s="42"/>
      <c r="E353" s="42"/>
      <c r="F353" s="42"/>
      <c r="G353" s="42"/>
      <c r="H353" s="42"/>
      <c r="I353" s="48"/>
      <c r="J353" s="42"/>
      <c r="K353" s="42"/>
      <c r="L353" s="42"/>
      <c r="M353" s="42"/>
      <c r="N353" s="42"/>
      <c r="O353" s="11" t="s">
        <v>77</v>
      </c>
      <c r="P353" s="11" t="s">
        <v>77</v>
      </c>
      <c r="Q353" s="11" t="s">
        <v>77</v>
      </c>
      <c r="R353" s="11" t="s">
        <v>77</v>
      </c>
      <c r="S353" s="11"/>
      <c r="T353" s="12" t="s">
        <v>77</v>
      </c>
      <c r="U353" s="12" t="s">
        <v>77</v>
      </c>
      <c r="V353" s="4"/>
      <c r="W353" s="11" t="s">
        <v>628</v>
      </c>
      <c r="X353" s="11" t="s">
        <v>409</v>
      </c>
      <c r="Y353" s="11" t="s">
        <v>799</v>
      </c>
      <c r="Z353" s="11">
        <v>0.2</v>
      </c>
      <c r="AA353" s="11"/>
      <c r="AB353" s="12" t="s">
        <v>634</v>
      </c>
      <c r="AC353" s="12">
        <v>47598</v>
      </c>
      <c r="AD353" s="12" t="s">
        <v>124</v>
      </c>
      <c r="AE353" s="42"/>
      <c r="AF353" s="42"/>
    </row>
    <row r="354" spans="1:32" x14ac:dyDescent="0.25">
      <c r="A354" s="44"/>
      <c r="B354" s="42"/>
      <c r="C354" s="42"/>
      <c r="D354" s="42"/>
      <c r="E354" s="42"/>
      <c r="F354" s="42"/>
      <c r="G354" s="42"/>
      <c r="H354" s="42"/>
      <c r="I354" s="48"/>
      <c r="J354" s="42"/>
      <c r="K354" s="42"/>
      <c r="L354" s="42"/>
      <c r="M354" s="42"/>
      <c r="N354" s="42"/>
      <c r="O354" s="11" t="s">
        <v>635</v>
      </c>
      <c r="P354" s="11" t="s">
        <v>433</v>
      </c>
      <c r="Q354" s="11" t="s">
        <v>825</v>
      </c>
      <c r="R354" s="11">
        <v>0.5</v>
      </c>
      <c r="S354" s="11"/>
      <c r="T354" s="12" t="s">
        <v>820</v>
      </c>
      <c r="U354" s="12">
        <v>46380</v>
      </c>
      <c r="V354" s="4" t="s">
        <v>124</v>
      </c>
      <c r="W354" s="11" t="s">
        <v>638</v>
      </c>
      <c r="X354" s="11" t="s">
        <v>409</v>
      </c>
      <c r="Y354" s="11" t="s">
        <v>801</v>
      </c>
      <c r="Z354" s="11">
        <v>0.2</v>
      </c>
      <c r="AA354" s="11"/>
      <c r="AB354" s="12" t="s">
        <v>634</v>
      </c>
      <c r="AC354" s="12">
        <v>47598</v>
      </c>
      <c r="AD354" s="12" t="s">
        <v>124</v>
      </c>
      <c r="AE354" s="42"/>
      <c r="AF354" s="42"/>
    </row>
    <row r="355" spans="1:32" ht="23.85" customHeight="1" x14ac:dyDescent="0.25">
      <c r="A355" s="44">
        <v>116</v>
      </c>
      <c r="B355" s="42" t="s">
        <v>28</v>
      </c>
      <c r="C355" s="42" t="s">
        <v>619</v>
      </c>
      <c r="D355" s="42">
        <v>103662</v>
      </c>
      <c r="E355" s="42" t="s">
        <v>826</v>
      </c>
      <c r="F355" s="42" t="s">
        <v>405</v>
      </c>
      <c r="G355" s="42" t="s">
        <v>32</v>
      </c>
      <c r="H355" s="42" t="s">
        <v>69</v>
      </c>
      <c r="I355" s="48" t="s">
        <v>827</v>
      </c>
      <c r="J355" s="42" t="s">
        <v>71</v>
      </c>
      <c r="K355" s="42"/>
      <c r="L355" s="42" t="s">
        <v>622</v>
      </c>
      <c r="M355" s="52">
        <v>47073</v>
      </c>
      <c r="N355" s="42" t="s">
        <v>623</v>
      </c>
      <c r="O355" s="11" t="s">
        <v>624</v>
      </c>
      <c r="P355" s="11" t="s">
        <v>156</v>
      </c>
      <c r="Q355" s="11" t="s">
        <v>828</v>
      </c>
      <c r="R355" s="11">
        <v>0.5</v>
      </c>
      <c r="S355" s="11"/>
      <c r="T355" s="12" t="s">
        <v>829</v>
      </c>
      <c r="U355" s="12">
        <v>46164</v>
      </c>
      <c r="V355" s="4" t="s">
        <v>124</v>
      </c>
      <c r="W355" s="11" t="s">
        <v>628</v>
      </c>
      <c r="X355" s="11" t="s">
        <v>409</v>
      </c>
      <c r="Y355" s="11" t="s">
        <v>795</v>
      </c>
      <c r="Z355" s="11">
        <v>0.2</v>
      </c>
      <c r="AA355" s="11"/>
      <c r="AB355" s="12" t="s">
        <v>796</v>
      </c>
      <c r="AC355" s="12">
        <v>47589</v>
      </c>
      <c r="AD355" s="12" t="s">
        <v>124</v>
      </c>
      <c r="AE355" s="42"/>
      <c r="AF355" s="43" t="s">
        <v>45</v>
      </c>
    </row>
    <row r="356" spans="1:32" ht="25.5" x14ac:dyDescent="0.25">
      <c r="A356" s="44"/>
      <c r="B356" s="42"/>
      <c r="C356" s="42"/>
      <c r="D356" s="42"/>
      <c r="E356" s="42"/>
      <c r="F356" s="42"/>
      <c r="G356" s="42"/>
      <c r="H356" s="42"/>
      <c r="I356" s="48"/>
      <c r="J356" s="42"/>
      <c r="K356" s="42"/>
      <c r="L356" s="42"/>
      <c r="M356" s="42"/>
      <c r="N356" s="42"/>
      <c r="O356" s="11" t="s">
        <v>77</v>
      </c>
      <c r="P356" s="11" t="s">
        <v>77</v>
      </c>
      <c r="Q356" s="11" t="s">
        <v>77</v>
      </c>
      <c r="R356" s="11" t="s">
        <v>77</v>
      </c>
      <c r="S356" s="11"/>
      <c r="T356" s="12" t="s">
        <v>77</v>
      </c>
      <c r="U356" s="12" t="s">
        <v>77</v>
      </c>
      <c r="V356" s="4"/>
      <c r="W356" s="11" t="s">
        <v>628</v>
      </c>
      <c r="X356" s="11" t="s">
        <v>409</v>
      </c>
      <c r="Y356" s="11" t="s">
        <v>799</v>
      </c>
      <c r="Z356" s="11">
        <v>0.2</v>
      </c>
      <c r="AA356" s="11"/>
      <c r="AB356" s="12" t="s">
        <v>634</v>
      </c>
      <c r="AC356" s="12">
        <v>47598</v>
      </c>
      <c r="AD356" s="12" t="s">
        <v>124</v>
      </c>
      <c r="AE356" s="42"/>
      <c r="AF356" s="42"/>
    </row>
    <row r="357" spans="1:32" x14ac:dyDescent="0.25">
      <c r="A357" s="44"/>
      <c r="B357" s="42"/>
      <c r="C357" s="42"/>
      <c r="D357" s="42"/>
      <c r="E357" s="42"/>
      <c r="F357" s="42"/>
      <c r="G357" s="42"/>
      <c r="H357" s="42"/>
      <c r="I357" s="48"/>
      <c r="J357" s="42"/>
      <c r="K357" s="42"/>
      <c r="L357" s="42"/>
      <c r="M357" s="42"/>
      <c r="N357" s="42"/>
      <c r="O357" s="11" t="s">
        <v>635</v>
      </c>
      <c r="P357" s="11" t="s">
        <v>156</v>
      </c>
      <c r="Q357" s="11" t="s">
        <v>830</v>
      </c>
      <c r="R357" s="11">
        <v>0.5</v>
      </c>
      <c r="S357" s="11"/>
      <c r="T357" s="12" t="s">
        <v>829</v>
      </c>
      <c r="U357" s="12">
        <v>46164</v>
      </c>
      <c r="V357" s="4" t="s">
        <v>124</v>
      </c>
      <c r="W357" s="11" t="s">
        <v>638</v>
      </c>
      <c r="X357" s="11" t="s">
        <v>409</v>
      </c>
      <c r="Y357" s="11" t="s">
        <v>801</v>
      </c>
      <c r="Z357" s="11">
        <v>0.2</v>
      </c>
      <c r="AA357" s="11"/>
      <c r="AB357" s="12" t="s">
        <v>634</v>
      </c>
      <c r="AC357" s="12">
        <v>47598</v>
      </c>
      <c r="AD357" s="12" t="s">
        <v>124</v>
      </c>
      <c r="AE357" s="42"/>
      <c r="AF357" s="42"/>
    </row>
    <row r="358" spans="1:32" ht="23.85" customHeight="1" x14ac:dyDescent="0.25">
      <c r="A358" s="44">
        <v>117</v>
      </c>
      <c r="B358" s="42" t="s">
        <v>28</v>
      </c>
      <c r="C358" s="42" t="s">
        <v>619</v>
      </c>
      <c r="D358" s="42">
        <v>103662</v>
      </c>
      <c r="E358" s="42" t="s">
        <v>831</v>
      </c>
      <c r="F358" s="42" t="s">
        <v>405</v>
      </c>
      <c r="G358" s="42" t="s">
        <v>90</v>
      </c>
      <c r="H358" s="42" t="s">
        <v>69</v>
      </c>
      <c r="I358" s="48" t="s">
        <v>832</v>
      </c>
      <c r="J358" s="42" t="s">
        <v>71</v>
      </c>
      <c r="K358" s="42"/>
      <c r="L358" s="42" t="s">
        <v>622</v>
      </c>
      <c r="M358" s="52">
        <v>47073</v>
      </c>
      <c r="N358" s="42" t="s">
        <v>623</v>
      </c>
      <c r="O358" s="11" t="s">
        <v>624</v>
      </c>
      <c r="P358" s="11" t="s">
        <v>433</v>
      </c>
      <c r="Q358" s="11" t="s">
        <v>833</v>
      </c>
      <c r="R358" s="11">
        <v>0.5</v>
      </c>
      <c r="S358" s="11"/>
      <c r="T358" s="12" t="s">
        <v>820</v>
      </c>
      <c r="U358" s="12">
        <v>46380</v>
      </c>
      <c r="V358" s="4" t="s">
        <v>124</v>
      </c>
      <c r="W358" s="11" t="s">
        <v>628</v>
      </c>
      <c r="X358" s="11" t="s">
        <v>409</v>
      </c>
      <c r="Y358" s="11" t="s">
        <v>795</v>
      </c>
      <c r="Z358" s="11">
        <v>0.2</v>
      </c>
      <c r="AA358" s="11"/>
      <c r="AB358" s="12" t="s">
        <v>796</v>
      </c>
      <c r="AC358" s="12">
        <v>47589</v>
      </c>
      <c r="AD358" s="12" t="s">
        <v>124</v>
      </c>
      <c r="AE358" s="42"/>
      <c r="AF358" s="43" t="s">
        <v>45</v>
      </c>
    </row>
    <row r="359" spans="1:32" ht="25.5" x14ac:dyDescent="0.25">
      <c r="A359" s="44"/>
      <c r="B359" s="42"/>
      <c r="C359" s="42"/>
      <c r="D359" s="42"/>
      <c r="E359" s="42"/>
      <c r="F359" s="42"/>
      <c r="G359" s="42"/>
      <c r="H359" s="42"/>
      <c r="I359" s="48"/>
      <c r="J359" s="42"/>
      <c r="K359" s="42"/>
      <c r="L359" s="42"/>
      <c r="M359" s="42"/>
      <c r="N359" s="42"/>
      <c r="O359" s="11" t="s">
        <v>77</v>
      </c>
      <c r="P359" s="11" t="s">
        <v>77</v>
      </c>
      <c r="Q359" s="11" t="s">
        <v>77</v>
      </c>
      <c r="R359" s="11" t="s">
        <v>77</v>
      </c>
      <c r="S359" s="11"/>
      <c r="T359" s="12" t="s">
        <v>77</v>
      </c>
      <c r="U359" s="12" t="s">
        <v>77</v>
      </c>
      <c r="V359" s="4"/>
      <c r="W359" s="11" t="s">
        <v>628</v>
      </c>
      <c r="X359" s="11" t="s">
        <v>409</v>
      </c>
      <c r="Y359" s="11" t="s">
        <v>799</v>
      </c>
      <c r="Z359" s="11">
        <v>0.2</v>
      </c>
      <c r="AA359" s="11"/>
      <c r="AB359" s="12" t="s">
        <v>634</v>
      </c>
      <c r="AC359" s="12">
        <v>47598</v>
      </c>
      <c r="AD359" s="12" t="s">
        <v>124</v>
      </c>
      <c r="AE359" s="42"/>
      <c r="AF359" s="42"/>
    </row>
    <row r="360" spans="1:32" x14ac:dyDescent="0.25">
      <c r="A360" s="44"/>
      <c r="B360" s="42"/>
      <c r="C360" s="42"/>
      <c r="D360" s="42"/>
      <c r="E360" s="42"/>
      <c r="F360" s="42"/>
      <c r="G360" s="42"/>
      <c r="H360" s="42"/>
      <c r="I360" s="48"/>
      <c r="J360" s="42"/>
      <c r="K360" s="42"/>
      <c r="L360" s="42"/>
      <c r="M360" s="42"/>
      <c r="N360" s="42"/>
      <c r="O360" s="11" t="s">
        <v>635</v>
      </c>
      <c r="P360" s="11" t="s">
        <v>433</v>
      </c>
      <c r="Q360" s="11" t="s">
        <v>834</v>
      </c>
      <c r="R360" s="11">
        <v>0.5</v>
      </c>
      <c r="S360" s="11"/>
      <c r="T360" s="12" t="s">
        <v>820</v>
      </c>
      <c r="U360" s="12">
        <v>46380</v>
      </c>
      <c r="V360" s="4" t="s">
        <v>124</v>
      </c>
      <c r="W360" s="11" t="s">
        <v>638</v>
      </c>
      <c r="X360" s="11" t="s">
        <v>409</v>
      </c>
      <c r="Y360" s="11" t="s">
        <v>801</v>
      </c>
      <c r="Z360" s="11">
        <v>0.2</v>
      </c>
      <c r="AA360" s="11"/>
      <c r="AB360" s="12" t="s">
        <v>634</v>
      </c>
      <c r="AC360" s="12">
        <v>47598</v>
      </c>
      <c r="AD360" s="12" t="s">
        <v>124</v>
      </c>
      <c r="AE360" s="42"/>
      <c r="AF360" s="42"/>
    </row>
    <row r="361" spans="1:32" ht="23.85" customHeight="1" x14ac:dyDescent="0.25">
      <c r="A361" s="44">
        <v>118</v>
      </c>
      <c r="B361" s="42" t="s">
        <v>28</v>
      </c>
      <c r="C361" s="42" t="s">
        <v>619</v>
      </c>
      <c r="D361" s="42">
        <v>103662</v>
      </c>
      <c r="E361" s="42" t="s">
        <v>835</v>
      </c>
      <c r="F361" s="42" t="s">
        <v>405</v>
      </c>
      <c r="G361" s="42" t="s">
        <v>32</v>
      </c>
      <c r="H361" s="42" t="s">
        <v>69</v>
      </c>
      <c r="I361" s="48" t="s">
        <v>836</v>
      </c>
      <c r="J361" s="42" t="s">
        <v>71</v>
      </c>
      <c r="K361" s="42"/>
      <c r="L361" s="42" t="s">
        <v>622</v>
      </c>
      <c r="M361" s="52">
        <v>47073</v>
      </c>
      <c r="N361" s="42" t="s">
        <v>623</v>
      </c>
      <c r="O361" s="11" t="s">
        <v>624</v>
      </c>
      <c r="P361" s="11" t="s">
        <v>433</v>
      </c>
      <c r="Q361" s="11" t="s">
        <v>837</v>
      </c>
      <c r="R361" s="11">
        <v>0.5</v>
      </c>
      <c r="S361" s="11"/>
      <c r="T361" s="12" t="s">
        <v>805</v>
      </c>
      <c r="U361" s="12">
        <v>46157</v>
      </c>
      <c r="V361" s="4" t="s">
        <v>124</v>
      </c>
      <c r="W361" s="11" t="s">
        <v>628</v>
      </c>
      <c r="X361" s="11" t="s">
        <v>409</v>
      </c>
      <c r="Y361" s="11" t="s">
        <v>795</v>
      </c>
      <c r="Z361" s="11">
        <v>0.2</v>
      </c>
      <c r="AA361" s="11"/>
      <c r="AB361" s="12" t="s">
        <v>796</v>
      </c>
      <c r="AC361" s="12">
        <v>47589</v>
      </c>
      <c r="AD361" s="12" t="s">
        <v>124</v>
      </c>
      <c r="AE361" s="42"/>
      <c r="AF361" s="43" t="s">
        <v>45</v>
      </c>
    </row>
    <row r="362" spans="1:32" ht="25.5" x14ac:dyDescent="0.25">
      <c r="A362" s="44"/>
      <c r="B362" s="42"/>
      <c r="C362" s="42"/>
      <c r="D362" s="42"/>
      <c r="E362" s="42"/>
      <c r="F362" s="42"/>
      <c r="G362" s="42"/>
      <c r="H362" s="42"/>
      <c r="I362" s="48"/>
      <c r="J362" s="42"/>
      <c r="K362" s="42"/>
      <c r="L362" s="42"/>
      <c r="M362" s="42"/>
      <c r="N362" s="42"/>
      <c r="O362" s="11" t="s">
        <v>77</v>
      </c>
      <c r="P362" s="11" t="s">
        <v>77</v>
      </c>
      <c r="Q362" s="11" t="s">
        <v>77</v>
      </c>
      <c r="R362" s="11" t="s">
        <v>77</v>
      </c>
      <c r="S362" s="11"/>
      <c r="T362" s="12" t="s">
        <v>77</v>
      </c>
      <c r="U362" s="12" t="s">
        <v>77</v>
      </c>
      <c r="V362" s="4"/>
      <c r="W362" s="11" t="s">
        <v>628</v>
      </c>
      <c r="X362" s="11" t="s">
        <v>409</v>
      </c>
      <c r="Y362" s="11" t="s">
        <v>799</v>
      </c>
      <c r="Z362" s="11">
        <v>0.2</v>
      </c>
      <c r="AA362" s="11"/>
      <c r="AB362" s="12" t="s">
        <v>634</v>
      </c>
      <c r="AC362" s="12">
        <v>47598</v>
      </c>
      <c r="AD362" s="12" t="s">
        <v>124</v>
      </c>
      <c r="AE362" s="42"/>
      <c r="AF362" s="42"/>
    </row>
    <row r="363" spans="1:32" x14ac:dyDescent="0.25">
      <c r="A363" s="44"/>
      <c r="B363" s="42"/>
      <c r="C363" s="42"/>
      <c r="D363" s="42"/>
      <c r="E363" s="42"/>
      <c r="F363" s="42"/>
      <c r="G363" s="42"/>
      <c r="H363" s="42"/>
      <c r="I363" s="48"/>
      <c r="J363" s="42"/>
      <c r="K363" s="42"/>
      <c r="L363" s="42"/>
      <c r="M363" s="42"/>
      <c r="N363" s="42"/>
      <c r="O363" s="11" t="s">
        <v>635</v>
      </c>
      <c r="P363" s="11" t="s">
        <v>433</v>
      </c>
      <c r="Q363" s="11" t="s">
        <v>838</v>
      </c>
      <c r="R363" s="11">
        <v>0.5</v>
      </c>
      <c r="S363" s="11"/>
      <c r="T363" s="12" t="s">
        <v>805</v>
      </c>
      <c r="U363" s="12">
        <v>46157</v>
      </c>
      <c r="V363" s="4" t="s">
        <v>124</v>
      </c>
      <c r="W363" s="11" t="s">
        <v>638</v>
      </c>
      <c r="X363" s="11" t="s">
        <v>409</v>
      </c>
      <c r="Y363" s="11" t="s">
        <v>801</v>
      </c>
      <c r="Z363" s="11">
        <v>0.2</v>
      </c>
      <c r="AA363" s="11"/>
      <c r="AB363" s="12" t="s">
        <v>634</v>
      </c>
      <c r="AC363" s="12">
        <v>47598</v>
      </c>
      <c r="AD363" s="12" t="s">
        <v>124</v>
      </c>
      <c r="AE363" s="42"/>
      <c r="AF363" s="42"/>
    </row>
    <row r="364" spans="1:32" ht="23.85" customHeight="1" x14ac:dyDescent="0.25">
      <c r="A364" s="44">
        <v>119</v>
      </c>
      <c r="B364" s="42" t="s">
        <v>28</v>
      </c>
      <c r="C364" s="42" t="s">
        <v>619</v>
      </c>
      <c r="D364" s="42">
        <v>103662</v>
      </c>
      <c r="E364" s="42" t="s">
        <v>839</v>
      </c>
      <c r="F364" s="42" t="s">
        <v>405</v>
      </c>
      <c r="G364" s="42" t="s">
        <v>32</v>
      </c>
      <c r="H364" s="42" t="s">
        <v>69</v>
      </c>
      <c r="I364" s="48" t="s">
        <v>840</v>
      </c>
      <c r="J364" s="42" t="s">
        <v>71</v>
      </c>
      <c r="K364" s="42"/>
      <c r="L364" s="42" t="s">
        <v>622</v>
      </c>
      <c r="M364" s="52">
        <v>47073</v>
      </c>
      <c r="N364" s="42" t="s">
        <v>623</v>
      </c>
      <c r="O364" s="11"/>
      <c r="P364" s="11" t="s">
        <v>841</v>
      </c>
      <c r="Q364" s="11"/>
      <c r="R364" s="11">
        <v>0</v>
      </c>
      <c r="S364" s="11"/>
      <c r="T364" s="12">
        <v>0</v>
      </c>
      <c r="U364" s="12">
        <v>0</v>
      </c>
      <c r="V364" s="4" t="s">
        <v>77</v>
      </c>
      <c r="W364" s="11" t="s">
        <v>628</v>
      </c>
      <c r="X364" s="11" t="s">
        <v>409</v>
      </c>
      <c r="Y364" s="11" t="s">
        <v>795</v>
      </c>
      <c r="Z364" s="11">
        <v>0.2</v>
      </c>
      <c r="AA364" s="11"/>
      <c r="AB364" s="12" t="s">
        <v>796</v>
      </c>
      <c r="AC364" s="12">
        <v>47589</v>
      </c>
      <c r="AD364" s="12" t="s">
        <v>124</v>
      </c>
      <c r="AE364" s="42"/>
      <c r="AF364" s="43" t="s">
        <v>45</v>
      </c>
    </row>
    <row r="365" spans="1:32" ht="25.5" x14ac:dyDescent="0.25">
      <c r="A365" s="44"/>
      <c r="B365" s="42"/>
      <c r="C365" s="42"/>
      <c r="D365" s="42"/>
      <c r="E365" s="42"/>
      <c r="F365" s="42"/>
      <c r="G365" s="42"/>
      <c r="H365" s="42"/>
      <c r="I365" s="48"/>
      <c r="J365" s="42"/>
      <c r="K365" s="42"/>
      <c r="L365" s="42"/>
      <c r="M365" s="42"/>
      <c r="N365" s="42"/>
      <c r="O365" s="11"/>
      <c r="P365" s="11" t="s">
        <v>841</v>
      </c>
      <c r="Q365" s="11"/>
      <c r="R365" s="11">
        <v>0</v>
      </c>
      <c r="S365" s="11"/>
      <c r="T365" s="12">
        <v>0</v>
      </c>
      <c r="U365" s="12">
        <v>0</v>
      </c>
      <c r="V365" s="4" t="s">
        <v>77</v>
      </c>
      <c r="W365" s="11" t="s">
        <v>628</v>
      </c>
      <c r="X365" s="11" t="s">
        <v>409</v>
      </c>
      <c r="Y365" s="11" t="s">
        <v>799</v>
      </c>
      <c r="Z365" s="11">
        <v>0.2</v>
      </c>
      <c r="AA365" s="11"/>
      <c r="AB365" s="12" t="s">
        <v>634</v>
      </c>
      <c r="AC365" s="12">
        <v>47598</v>
      </c>
      <c r="AD365" s="12" t="s">
        <v>124</v>
      </c>
      <c r="AE365" s="42"/>
      <c r="AF365" s="42"/>
    </row>
    <row r="366" spans="1:32" x14ac:dyDescent="0.25">
      <c r="A366" s="44"/>
      <c r="B366" s="42"/>
      <c r="C366" s="42"/>
      <c r="D366" s="42"/>
      <c r="E366" s="42"/>
      <c r="F366" s="42"/>
      <c r="G366" s="42"/>
      <c r="H366" s="42"/>
      <c r="I366" s="48"/>
      <c r="J366" s="42"/>
      <c r="K366" s="42"/>
      <c r="L366" s="42"/>
      <c r="M366" s="42"/>
      <c r="N366" s="42"/>
      <c r="O366" s="11"/>
      <c r="P366" s="11" t="s">
        <v>841</v>
      </c>
      <c r="Q366" s="11"/>
      <c r="R366" s="11">
        <v>0</v>
      </c>
      <c r="S366" s="11"/>
      <c r="T366" s="12">
        <v>0</v>
      </c>
      <c r="U366" s="12">
        <v>0</v>
      </c>
      <c r="V366" s="4" t="s">
        <v>77</v>
      </c>
      <c r="W366" s="11" t="s">
        <v>638</v>
      </c>
      <c r="X366" s="11" t="s">
        <v>409</v>
      </c>
      <c r="Y366" s="11" t="s">
        <v>801</v>
      </c>
      <c r="Z366" s="11">
        <v>0.2</v>
      </c>
      <c r="AA366" s="11"/>
      <c r="AB366" s="12" t="s">
        <v>634</v>
      </c>
      <c r="AC366" s="12">
        <v>47598</v>
      </c>
      <c r="AD366" s="12" t="s">
        <v>124</v>
      </c>
      <c r="AE366" s="42"/>
      <c r="AF366" s="42"/>
    </row>
    <row r="367" spans="1:32" ht="23.85" customHeight="1" x14ac:dyDescent="0.25">
      <c r="A367" s="44">
        <v>120</v>
      </c>
      <c r="B367" s="42" t="s">
        <v>28</v>
      </c>
      <c r="C367" s="42" t="s">
        <v>619</v>
      </c>
      <c r="D367" s="42">
        <v>103662</v>
      </c>
      <c r="E367" s="42" t="s">
        <v>842</v>
      </c>
      <c r="F367" s="42" t="s">
        <v>405</v>
      </c>
      <c r="G367" s="42" t="s">
        <v>32</v>
      </c>
      <c r="H367" s="42" t="s">
        <v>69</v>
      </c>
      <c r="I367" s="48" t="s">
        <v>843</v>
      </c>
      <c r="J367" s="42" t="s">
        <v>71</v>
      </c>
      <c r="K367" s="42"/>
      <c r="L367" s="42" t="s">
        <v>844</v>
      </c>
      <c r="M367" s="52">
        <v>47074</v>
      </c>
      <c r="N367" s="42" t="s">
        <v>623</v>
      </c>
      <c r="O367" s="11" t="s">
        <v>624</v>
      </c>
      <c r="P367" s="11" t="s">
        <v>625</v>
      </c>
      <c r="Q367" s="11" t="s">
        <v>845</v>
      </c>
      <c r="R367" s="11">
        <v>0.5</v>
      </c>
      <c r="S367" s="11"/>
      <c r="T367" s="12" t="s">
        <v>701</v>
      </c>
      <c r="U367" s="12">
        <v>46869</v>
      </c>
      <c r="V367" s="4" t="s">
        <v>124</v>
      </c>
      <c r="W367" s="11" t="s">
        <v>628</v>
      </c>
      <c r="X367" s="11" t="s">
        <v>409</v>
      </c>
      <c r="Y367" s="11" t="s">
        <v>795</v>
      </c>
      <c r="Z367" s="11">
        <v>0.2</v>
      </c>
      <c r="AA367" s="11"/>
      <c r="AB367" s="12" t="s">
        <v>796</v>
      </c>
      <c r="AC367" s="12">
        <v>47589</v>
      </c>
      <c r="AD367" s="12" t="s">
        <v>124</v>
      </c>
      <c r="AE367" s="42"/>
      <c r="AF367" s="43" t="s">
        <v>45</v>
      </c>
    </row>
    <row r="368" spans="1:32" ht="25.5" x14ac:dyDescent="0.25">
      <c r="A368" s="44"/>
      <c r="B368" s="42"/>
      <c r="C368" s="42"/>
      <c r="D368" s="42"/>
      <c r="E368" s="42"/>
      <c r="F368" s="42"/>
      <c r="G368" s="42"/>
      <c r="H368" s="42"/>
      <c r="I368" s="48"/>
      <c r="J368" s="42"/>
      <c r="K368" s="42"/>
      <c r="L368" s="42"/>
      <c r="M368" s="52"/>
      <c r="N368" s="42"/>
      <c r="O368" s="11" t="s">
        <v>77</v>
      </c>
      <c r="P368" s="11" t="s">
        <v>77</v>
      </c>
      <c r="Q368" s="11" t="s">
        <v>77</v>
      </c>
      <c r="R368" s="11" t="s">
        <v>77</v>
      </c>
      <c r="S368" s="11"/>
      <c r="T368" s="12" t="s">
        <v>77</v>
      </c>
      <c r="U368" s="12" t="s">
        <v>77</v>
      </c>
      <c r="V368" s="4"/>
      <c r="W368" s="11" t="s">
        <v>628</v>
      </c>
      <c r="X368" s="11" t="s">
        <v>409</v>
      </c>
      <c r="Y368" s="11" t="s">
        <v>799</v>
      </c>
      <c r="Z368" s="11">
        <v>0.2</v>
      </c>
      <c r="AA368" s="11"/>
      <c r="AB368" s="12" t="s">
        <v>634</v>
      </c>
      <c r="AC368" s="12">
        <v>47598</v>
      </c>
      <c r="AD368" s="12" t="s">
        <v>124</v>
      </c>
      <c r="AE368" s="42"/>
      <c r="AF368" s="42"/>
    </row>
    <row r="369" spans="1:32" x14ac:dyDescent="0.25">
      <c r="A369" s="44"/>
      <c r="B369" s="42"/>
      <c r="C369" s="42"/>
      <c r="D369" s="42"/>
      <c r="E369" s="42"/>
      <c r="F369" s="42"/>
      <c r="G369" s="42"/>
      <c r="H369" s="42"/>
      <c r="I369" s="48"/>
      <c r="J369" s="42"/>
      <c r="K369" s="42"/>
      <c r="L369" s="42"/>
      <c r="M369" s="52"/>
      <c r="N369" s="42"/>
      <c r="O369" s="11" t="s">
        <v>635</v>
      </c>
      <c r="P369" s="11" t="s">
        <v>625</v>
      </c>
      <c r="Q369" s="11" t="s">
        <v>846</v>
      </c>
      <c r="R369" s="11">
        <v>0.5</v>
      </c>
      <c r="S369" s="11"/>
      <c r="T369" s="12" t="s">
        <v>634</v>
      </c>
      <c r="U369" s="12">
        <v>46868</v>
      </c>
      <c r="V369" s="4" t="s">
        <v>124</v>
      </c>
      <c r="W369" s="11" t="s">
        <v>638</v>
      </c>
      <c r="X369" s="11" t="s">
        <v>409</v>
      </c>
      <c r="Y369" s="11" t="s">
        <v>801</v>
      </c>
      <c r="Z369" s="11">
        <v>0.2</v>
      </c>
      <c r="AA369" s="11"/>
      <c r="AB369" s="12" t="s">
        <v>634</v>
      </c>
      <c r="AC369" s="12">
        <v>47598</v>
      </c>
      <c r="AD369" s="12" t="s">
        <v>124</v>
      </c>
      <c r="AE369" s="42"/>
      <c r="AF369" s="42"/>
    </row>
    <row r="370" spans="1:32" ht="35.1" customHeight="1" x14ac:dyDescent="0.25">
      <c r="A370" s="44">
        <v>121</v>
      </c>
      <c r="B370" s="42" t="s">
        <v>28</v>
      </c>
      <c r="C370" s="42" t="s">
        <v>619</v>
      </c>
      <c r="D370" s="42">
        <v>103662</v>
      </c>
      <c r="E370" s="42" t="s">
        <v>847</v>
      </c>
      <c r="F370" s="42" t="s">
        <v>405</v>
      </c>
      <c r="G370" s="42" t="s">
        <v>597</v>
      </c>
      <c r="H370" s="42" t="s">
        <v>33</v>
      </c>
      <c r="I370" s="48">
        <v>40791660</v>
      </c>
      <c r="J370" s="42" t="s">
        <v>35</v>
      </c>
      <c r="K370" s="42"/>
      <c r="L370" s="52">
        <v>43824</v>
      </c>
      <c r="M370" s="52">
        <v>49668</v>
      </c>
      <c r="N370" s="42" t="s">
        <v>92</v>
      </c>
      <c r="O370" s="11" t="s">
        <v>648</v>
      </c>
      <c r="P370" s="11" t="s">
        <v>38</v>
      </c>
      <c r="Q370" s="11" t="s">
        <v>848</v>
      </c>
      <c r="R370" s="11">
        <v>0.2</v>
      </c>
      <c r="S370" s="11"/>
      <c r="T370" s="12" t="s">
        <v>694</v>
      </c>
      <c r="U370" s="12">
        <v>46854</v>
      </c>
      <c r="V370" s="4" t="s">
        <v>124</v>
      </c>
      <c r="W370" s="11" t="s">
        <v>628</v>
      </c>
      <c r="X370" s="11" t="s">
        <v>409</v>
      </c>
      <c r="Y370" s="11" t="s">
        <v>849</v>
      </c>
      <c r="Z370" s="11">
        <v>0.2</v>
      </c>
      <c r="AA370" s="11"/>
      <c r="AB370" s="12" t="s">
        <v>634</v>
      </c>
      <c r="AC370" s="12">
        <v>47598</v>
      </c>
      <c r="AD370" s="12" t="s">
        <v>124</v>
      </c>
      <c r="AE370" s="42"/>
      <c r="AF370" s="43" t="s">
        <v>45</v>
      </c>
    </row>
    <row r="371" spans="1:32" ht="38.25" x14ac:dyDescent="0.25">
      <c r="A371" s="44"/>
      <c r="B371" s="42"/>
      <c r="C371" s="42"/>
      <c r="D371" s="42"/>
      <c r="E371" s="42"/>
      <c r="F371" s="42"/>
      <c r="G371" s="42"/>
      <c r="H371" s="42"/>
      <c r="I371" s="48"/>
      <c r="J371" s="42"/>
      <c r="K371" s="42"/>
      <c r="L371" s="42"/>
      <c r="M371" s="42"/>
      <c r="N371" s="42"/>
      <c r="O371" s="11" t="s">
        <v>648</v>
      </c>
      <c r="P371" s="11" t="s">
        <v>38</v>
      </c>
      <c r="Q371" s="11" t="s">
        <v>850</v>
      </c>
      <c r="R371" s="11">
        <v>0.2</v>
      </c>
      <c r="S371" s="11"/>
      <c r="T371" s="12" t="s">
        <v>694</v>
      </c>
      <c r="U371" s="12">
        <v>46854</v>
      </c>
      <c r="V371" s="4" t="s">
        <v>124</v>
      </c>
      <c r="W371" s="11" t="s">
        <v>628</v>
      </c>
      <c r="X371" s="11" t="s">
        <v>409</v>
      </c>
      <c r="Y371" s="11" t="s">
        <v>851</v>
      </c>
      <c r="Z371" s="11">
        <v>0.2</v>
      </c>
      <c r="AA371" s="11"/>
      <c r="AB371" s="12" t="s">
        <v>634</v>
      </c>
      <c r="AC371" s="12">
        <v>47598</v>
      </c>
      <c r="AD371" s="12" t="s">
        <v>124</v>
      </c>
      <c r="AE371" s="42"/>
      <c r="AF371" s="42"/>
    </row>
    <row r="372" spans="1:32" ht="25.5" x14ac:dyDescent="0.25">
      <c r="A372" s="44"/>
      <c r="B372" s="42"/>
      <c r="C372" s="42"/>
      <c r="D372" s="42"/>
      <c r="E372" s="42"/>
      <c r="F372" s="42"/>
      <c r="G372" s="42"/>
      <c r="H372" s="42"/>
      <c r="I372" s="48"/>
      <c r="J372" s="42"/>
      <c r="K372" s="42"/>
      <c r="L372" s="42"/>
      <c r="M372" s="42"/>
      <c r="N372" s="42"/>
      <c r="O372" s="11" t="s">
        <v>655</v>
      </c>
      <c r="P372" s="11" t="s">
        <v>38</v>
      </c>
      <c r="Q372" s="11" t="s">
        <v>852</v>
      </c>
      <c r="R372" s="11">
        <v>0.2</v>
      </c>
      <c r="S372" s="11"/>
      <c r="T372" s="12" t="s">
        <v>694</v>
      </c>
      <c r="U372" s="12">
        <v>46854</v>
      </c>
      <c r="V372" s="4" t="s">
        <v>124</v>
      </c>
      <c r="W372" s="11" t="s">
        <v>638</v>
      </c>
      <c r="X372" s="11" t="s">
        <v>409</v>
      </c>
      <c r="Y372" s="11" t="s">
        <v>853</v>
      </c>
      <c r="Z372" s="11">
        <v>0.2</v>
      </c>
      <c r="AA372" s="11"/>
      <c r="AB372" s="12" t="s">
        <v>634</v>
      </c>
      <c r="AC372" s="12">
        <v>47598</v>
      </c>
      <c r="AD372" s="12" t="s">
        <v>124</v>
      </c>
      <c r="AE372" s="42"/>
      <c r="AF372" s="42"/>
    </row>
    <row r="373" spans="1:32" ht="23.85" customHeight="1" x14ac:dyDescent="0.25">
      <c r="A373" s="44">
        <v>122</v>
      </c>
      <c r="B373" s="42" t="s">
        <v>28</v>
      </c>
      <c r="C373" s="42" t="s">
        <v>619</v>
      </c>
      <c r="D373" s="42">
        <v>103662</v>
      </c>
      <c r="E373" s="42" t="s">
        <v>854</v>
      </c>
      <c r="F373" s="42" t="s">
        <v>405</v>
      </c>
      <c r="G373" s="42" t="s">
        <v>32</v>
      </c>
      <c r="H373" s="42" t="s">
        <v>69</v>
      </c>
      <c r="I373" s="48" t="s">
        <v>855</v>
      </c>
      <c r="J373" s="42" t="s">
        <v>71</v>
      </c>
      <c r="K373" s="42"/>
      <c r="L373" s="42" t="s">
        <v>844</v>
      </c>
      <c r="M373" s="52">
        <v>47074</v>
      </c>
      <c r="N373" s="42" t="s">
        <v>623</v>
      </c>
      <c r="O373" s="11" t="s">
        <v>624</v>
      </c>
      <c r="P373" s="11" t="s">
        <v>156</v>
      </c>
      <c r="Q373" s="11" t="s">
        <v>856</v>
      </c>
      <c r="R373" s="11">
        <v>0.5</v>
      </c>
      <c r="S373" s="11"/>
      <c r="T373" s="12">
        <v>44677</v>
      </c>
      <c r="U373" s="12">
        <v>46869</v>
      </c>
      <c r="V373" s="13" t="s">
        <v>857</v>
      </c>
      <c r="W373" s="11" t="s">
        <v>628</v>
      </c>
      <c r="X373" s="11" t="s">
        <v>409</v>
      </c>
      <c r="Y373" s="11" t="s">
        <v>849</v>
      </c>
      <c r="Z373" s="11">
        <v>0.2</v>
      </c>
      <c r="AA373" s="11"/>
      <c r="AB373" s="12" t="s">
        <v>634</v>
      </c>
      <c r="AC373" s="12">
        <v>47598</v>
      </c>
      <c r="AD373" s="12" t="s">
        <v>124</v>
      </c>
      <c r="AE373" s="42"/>
      <c r="AF373" s="43" t="s">
        <v>45</v>
      </c>
    </row>
    <row r="374" spans="1:32" ht="25.5" x14ac:dyDescent="0.25">
      <c r="A374" s="44"/>
      <c r="B374" s="42"/>
      <c r="C374" s="42"/>
      <c r="D374" s="42"/>
      <c r="E374" s="42"/>
      <c r="F374" s="42"/>
      <c r="G374" s="42"/>
      <c r="H374" s="42"/>
      <c r="I374" s="48"/>
      <c r="J374" s="42"/>
      <c r="K374" s="42"/>
      <c r="L374" s="42"/>
      <c r="M374" s="42"/>
      <c r="N374" s="42"/>
      <c r="O374" s="11" t="s">
        <v>77</v>
      </c>
      <c r="P374" s="11" t="s">
        <v>77</v>
      </c>
      <c r="Q374" s="11" t="s">
        <v>77</v>
      </c>
      <c r="R374" s="11" t="s">
        <v>77</v>
      </c>
      <c r="S374" s="11"/>
      <c r="T374" s="12" t="s">
        <v>77</v>
      </c>
      <c r="U374" s="12" t="s">
        <v>77</v>
      </c>
      <c r="V374" s="4"/>
      <c r="W374" s="11" t="s">
        <v>628</v>
      </c>
      <c r="X374" s="11" t="s">
        <v>409</v>
      </c>
      <c r="Y374" s="11" t="s">
        <v>851</v>
      </c>
      <c r="Z374" s="11">
        <v>0.2</v>
      </c>
      <c r="AA374" s="11"/>
      <c r="AB374" s="12" t="s">
        <v>634</v>
      </c>
      <c r="AC374" s="12">
        <v>47598</v>
      </c>
      <c r="AD374" s="12" t="s">
        <v>124</v>
      </c>
      <c r="AE374" s="42"/>
      <c r="AF374" s="42"/>
    </row>
    <row r="375" spans="1:32" x14ac:dyDescent="0.25">
      <c r="A375" s="44"/>
      <c r="B375" s="42"/>
      <c r="C375" s="42"/>
      <c r="D375" s="42"/>
      <c r="E375" s="42"/>
      <c r="F375" s="42"/>
      <c r="G375" s="42"/>
      <c r="H375" s="42"/>
      <c r="I375" s="48"/>
      <c r="J375" s="42"/>
      <c r="K375" s="42"/>
      <c r="L375" s="42"/>
      <c r="M375" s="42"/>
      <c r="N375" s="42"/>
      <c r="O375" s="11" t="s">
        <v>635</v>
      </c>
      <c r="P375" s="11" t="s">
        <v>156</v>
      </c>
      <c r="Q375" s="11" t="s">
        <v>858</v>
      </c>
      <c r="R375" s="11">
        <v>0.5</v>
      </c>
      <c r="S375" s="11"/>
      <c r="T375" s="12" t="s">
        <v>703</v>
      </c>
      <c r="U375" s="12">
        <v>46870</v>
      </c>
      <c r="V375" s="4" t="s">
        <v>124</v>
      </c>
      <c r="W375" s="11" t="s">
        <v>638</v>
      </c>
      <c r="X375" s="11" t="s">
        <v>409</v>
      </c>
      <c r="Y375" s="11" t="s">
        <v>853</v>
      </c>
      <c r="Z375" s="11">
        <v>0.2</v>
      </c>
      <c r="AA375" s="11"/>
      <c r="AB375" s="12" t="s">
        <v>634</v>
      </c>
      <c r="AC375" s="12">
        <v>47598</v>
      </c>
      <c r="AD375" s="12" t="s">
        <v>124</v>
      </c>
      <c r="AE375" s="42"/>
      <c r="AF375" s="42"/>
    </row>
    <row r="376" spans="1:32" ht="23.85" customHeight="1" x14ac:dyDescent="0.25">
      <c r="A376" s="44">
        <v>123</v>
      </c>
      <c r="B376" s="42" t="s">
        <v>28</v>
      </c>
      <c r="C376" s="42" t="s">
        <v>619</v>
      </c>
      <c r="D376" s="42">
        <v>103662</v>
      </c>
      <c r="E376" s="42" t="s">
        <v>859</v>
      </c>
      <c r="F376" s="42" t="s">
        <v>405</v>
      </c>
      <c r="G376" s="42" t="s">
        <v>32</v>
      </c>
      <c r="H376" s="42" t="s">
        <v>69</v>
      </c>
      <c r="I376" s="48" t="s">
        <v>860</v>
      </c>
      <c r="J376" s="42" t="s">
        <v>71</v>
      </c>
      <c r="K376" s="42"/>
      <c r="L376" s="42" t="s">
        <v>844</v>
      </c>
      <c r="M376" s="52">
        <v>47074</v>
      </c>
      <c r="N376" s="42" t="s">
        <v>623</v>
      </c>
      <c r="O376" s="11" t="s">
        <v>624</v>
      </c>
      <c r="P376" s="11" t="s">
        <v>84</v>
      </c>
      <c r="Q376" s="11" t="s">
        <v>861</v>
      </c>
      <c r="R376" s="11">
        <v>0.5</v>
      </c>
      <c r="S376" s="11"/>
      <c r="T376" s="12" t="s">
        <v>701</v>
      </c>
      <c r="U376" s="12">
        <v>46869</v>
      </c>
      <c r="V376" s="4" t="s">
        <v>124</v>
      </c>
      <c r="W376" s="11" t="s">
        <v>628</v>
      </c>
      <c r="X376" s="11" t="s">
        <v>409</v>
      </c>
      <c r="Y376" s="11" t="s">
        <v>849</v>
      </c>
      <c r="Z376" s="11">
        <v>0.2</v>
      </c>
      <c r="AA376" s="11"/>
      <c r="AB376" s="12" t="s">
        <v>634</v>
      </c>
      <c r="AC376" s="12">
        <v>47598</v>
      </c>
      <c r="AD376" s="12" t="s">
        <v>124</v>
      </c>
      <c r="AE376" s="42"/>
      <c r="AF376" s="43" t="s">
        <v>45</v>
      </c>
    </row>
    <row r="377" spans="1:32" ht="25.5" x14ac:dyDescent="0.25">
      <c r="A377" s="44"/>
      <c r="B377" s="42"/>
      <c r="C377" s="42"/>
      <c r="D377" s="42"/>
      <c r="E377" s="42"/>
      <c r="F377" s="42"/>
      <c r="G377" s="42"/>
      <c r="H377" s="42"/>
      <c r="I377" s="48"/>
      <c r="J377" s="42"/>
      <c r="K377" s="42"/>
      <c r="L377" s="42"/>
      <c r="M377" s="42"/>
      <c r="N377" s="42"/>
      <c r="O377" s="11" t="s">
        <v>77</v>
      </c>
      <c r="P377" s="11" t="s">
        <v>77</v>
      </c>
      <c r="Q377" s="11" t="s">
        <v>77</v>
      </c>
      <c r="R377" s="11" t="s">
        <v>77</v>
      </c>
      <c r="S377" s="11"/>
      <c r="T377" s="12" t="s">
        <v>77</v>
      </c>
      <c r="U377" s="12" t="s">
        <v>77</v>
      </c>
      <c r="V377" s="4"/>
      <c r="W377" s="11" t="s">
        <v>628</v>
      </c>
      <c r="X377" s="11" t="s">
        <v>409</v>
      </c>
      <c r="Y377" s="11" t="s">
        <v>851</v>
      </c>
      <c r="Z377" s="11">
        <v>0.2</v>
      </c>
      <c r="AA377" s="11"/>
      <c r="AB377" s="12" t="s">
        <v>634</v>
      </c>
      <c r="AC377" s="12">
        <v>47598</v>
      </c>
      <c r="AD377" s="12" t="s">
        <v>124</v>
      </c>
      <c r="AE377" s="42"/>
      <c r="AF377" s="42"/>
    </row>
    <row r="378" spans="1:32" x14ac:dyDescent="0.25">
      <c r="A378" s="44"/>
      <c r="B378" s="42"/>
      <c r="C378" s="42"/>
      <c r="D378" s="42"/>
      <c r="E378" s="42"/>
      <c r="F378" s="42"/>
      <c r="G378" s="42"/>
      <c r="H378" s="42"/>
      <c r="I378" s="48"/>
      <c r="J378" s="42"/>
      <c r="K378" s="42"/>
      <c r="L378" s="42"/>
      <c r="M378" s="42"/>
      <c r="N378" s="42"/>
      <c r="O378" s="11" t="s">
        <v>635</v>
      </c>
      <c r="P378" s="11" t="s">
        <v>84</v>
      </c>
      <c r="Q378" s="11" t="s">
        <v>862</v>
      </c>
      <c r="R378" s="11">
        <v>0.5</v>
      </c>
      <c r="S378" s="11"/>
      <c r="T378" s="12" t="s">
        <v>634</v>
      </c>
      <c r="U378" s="12">
        <v>46868</v>
      </c>
      <c r="V378" s="4" t="s">
        <v>124</v>
      </c>
      <c r="W378" s="11" t="s">
        <v>638</v>
      </c>
      <c r="X378" s="11" t="s">
        <v>409</v>
      </c>
      <c r="Y378" s="11" t="s">
        <v>853</v>
      </c>
      <c r="Z378" s="11">
        <v>0.2</v>
      </c>
      <c r="AA378" s="11"/>
      <c r="AB378" s="12" t="s">
        <v>634</v>
      </c>
      <c r="AC378" s="12">
        <v>47598</v>
      </c>
      <c r="AD378" s="12" t="s">
        <v>124</v>
      </c>
      <c r="AE378" s="42"/>
      <c r="AF378" s="42"/>
    </row>
    <row r="379" spans="1:32" ht="23.85" customHeight="1" x14ac:dyDescent="0.25">
      <c r="A379" s="44">
        <v>124</v>
      </c>
      <c r="B379" s="42" t="s">
        <v>28</v>
      </c>
      <c r="C379" s="42" t="s">
        <v>619</v>
      </c>
      <c r="D379" s="42">
        <v>103662</v>
      </c>
      <c r="E379" s="42" t="s">
        <v>863</v>
      </c>
      <c r="F379" s="42" t="s">
        <v>405</v>
      </c>
      <c r="G379" s="42" t="s">
        <v>32</v>
      </c>
      <c r="H379" s="42" t="s">
        <v>69</v>
      </c>
      <c r="I379" s="48" t="s">
        <v>864</v>
      </c>
      <c r="J379" s="42" t="s">
        <v>71</v>
      </c>
      <c r="K379" s="42"/>
      <c r="L379" s="42" t="s">
        <v>844</v>
      </c>
      <c r="M379" s="52">
        <v>47074</v>
      </c>
      <c r="N379" s="42" t="s">
        <v>623</v>
      </c>
      <c r="O379" s="11" t="s">
        <v>624</v>
      </c>
      <c r="P379" s="11" t="s">
        <v>163</v>
      </c>
      <c r="Q379" s="11" t="s">
        <v>865</v>
      </c>
      <c r="R379" s="11">
        <v>0.5</v>
      </c>
      <c r="S379" s="11"/>
      <c r="T379" s="12" t="s">
        <v>703</v>
      </c>
      <c r="U379" s="12">
        <v>46870</v>
      </c>
      <c r="V379" s="4" t="s">
        <v>124</v>
      </c>
      <c r="W379" s="11" t="s">
        <v>628</v>
      </c>
      <c r="X379" s="11" t="s">
        <v>409</v>
      </c>
      <c r="Y379" s="11" t="s">
        <v>849</v>
      </c>
      <c r="Z379" s="11">
        <v>0.2</v>
      </c>
      <c r="AA379" s="11"/>
      <c r="AB379" s="12" t="s">
        <v>634</v>
      </c>
      <c r="AC379" s="12">
        <v>47598</v>
      </c>
      <c r="AD379" s="12" t="s">
        <v>124</v>
      </c>
      <c r="AE379" s="42"/>
      <c r="AF379" s="43" t="s">
        <v>45</v>
      </c>
    </row>
    <row r="380" spans="1:32" ht="25.5" x14ac:dyDescent="0.25">
      <c r="A380" s="44"/>
      <c r="B380" s="42"/>
      <c r="C380" s="42"/>
      <c r="D380" s="42"/>
      <c r="E380" s="42"/>
      <c r="F380" s="42"/>
      <c r="G380" s="42"/>
      <c r="H380" s="42"/>
      <c r="I380" s="48"/>
      <c r="J380" s="42"/>
      <c r="K380" s="42"/>
      <c r="L380" s="42"/>
      <c r="M380" s="42"/>
      <c r="N380" s="42"/>
      <c r="O380" s="11" t="s">
        <v>77</v>
      </c>
      <c r="P380" s="11" t="s">
        <v>77</v>
      </c>
      <c r="Q380" s="11" t="s">
        <v>77</v>
      </c>
      <c r="R380" s="11" t="s">
        <v>77</v>
      </c>
      <c r="S380" s="11"/>
      <c r="T380" s="12" t="s">
        <v>77</v>
      </c>
      <c r="U380" s="12" t="s">
        <v>77</v>
      </c>
      <c r="V380" s="4"/>
      <c r="W380" s="11" t="s">
        <v>628</v>
      </c>
      <c r="X380" s="11" t="s">
        <v>409</v>
      </c>
      <c r="Y380" s="11" t="s">
        <v>851</v>
      </c>
      <c r="Z380" s="11">
        <v>0.2</v>
      </c>
      <c r="AA380" s="11"/>
      <c r="AB380" s="12" t="s">
        <v>634</v>
      </c>
      <c r="AC380" s="12">
        <v>47598</v>
      </c>
      <c r="AD380" s="12" t="s">
        <v>124</v>
      </c>
      <c r="AE380" s="42"/>
      <c r="AF380" s="42"/>
    </row>
    <row r="381" spans="1:32" x14ac:dyDescent="0.25">
      <c r="A381" s="44"/>
      <c r="B381" s="42"/>
      <c r="C381" s="42"/>
      <c r="D381" s="42"/>
      <c r="E381" s="42"/>
      <c r="F381" s="42"/>
      <c r="G381" s="42"/>
      <c r="H381" s="42"/>
      <c r="I381" s="48"/>
      <c r="J381" s="42"/>
      <c r="K381" s="42"/>
      <c r="L381" s="42"/>
      <c r="M381" s="42"/>
      <c r="N381" s="42"/>
      <c r="O381" s="11" t="s">
        <v>635</v>
      </c>
      <c r="P381" s="11" t="s">
        <v>163</v>
      </c>
      <c r="Q381" s="11" t="s">
        <v>866</v>
      </c>
      <c r="R381" s="11">
        <v>0.5</v>
      </c>
      <c r="S381" s="11"/>
      <c r="T381" s="12" t="s">
        <v>701</v>
      </c>
      <c r="U381" s="12">
        <v>46869</v>
      </c>
      <c r="V381" s="4" t="s">
        <v>124</v>
      </c>
      <c r="W381" s="11" t="s">
        <v>638</v>
      </c>
      <c r="X381" s="11" t="s">
        <v>409</v>
      </c>
      <c r="Y381" s="11" t="s">
        <v>853</v>
      </c>
      <c r="Z381" s="11">
        <v>0.2</v>
      </c>
      <c r="AA381" s="11"/>
      <c r="AB381" s="12" t="s">
        <v>634</v>
      </c>
      <c r="AC381" s="12">
        <v>47598</v>
      </c>
      <c r="AD381" s="12" t="s">
        <v>124</v>
      </c>
      <c r="AE381" s="42"/>
      <c r="AF381" s="42"/>
    </row>
    <row r="382" spans="1:32" ht="23.85" customHeight="1" x14ac:dyDescent="0.25">
      <c r="A382" s="44">
        <v>125</v>
      </c>
      <c r="B382" s="42" t="s">
        <v>28</v>
      </c>
      <c r="C382" s="42" t="s">
        <v>619</v>
      </c>
      <c r="D382" s="42">
        <v>103662</v>
      </c>
      <c r="E382" s="42" t="s">
        <v>867</v>
      </c>
      <c r="F382" s="42" t="s">
        <v>405</v>
      </c>
      <c r="G382" s="42" t="s">
        <v>32</v>
      </c>
      <c r="H382" s="42" t="s">
        <v>33</v>
      </c>
      <c r="I382" s="48" t="s">
        <v>868</v>
      </c>
      <c r="J382" s="42" t="s">
        <v>71</v>
      </c>
      <c r="K382" s="42"/>
      <c r="L382" s="52">
        <v>43824</v>
      </c>
      <c r="M382" s="52">
        <v>49668</v>
      </c>
      <c r="N382" s="42" t="s">
        <v>92</v>
      </c>
      <c r="O382" s="11" t="s">
        <v>722</v>
      </c>
      <c r="P382" s="11" t="s">
        <v>74</v>
      </c>
      <c r="Q382" s="11"/>
      <c r="R382" s="11">
        <v>0</v>
      </c>
      <c r="S382" s="11"/>
      <c r="T382" s="12">
        <v>0</v>
      </c>
      <c r="U382" s="12">
        <v>0</v>
      </c>
      <c r="V382" s="4" t="s">
        <v>77</v>
      </c>
      <c r="W382" s="11" t="s">
        <v>628</v>
      </c>
      <c r="X382" s="11" t="s">
        <v>409</v>
      </c>
      <c r="Y382" s="11" t="s">
        <v>849</v>
      </c>
      <c r="Z382" s="11">
        <v>0.2</v>
      </c>
      <c r="AA382" s="11"/>
      <c r="AB382" s="12" t="s">
        <v>634</v>
      </c>
      <c r="AC382" s="12">
        <v>47598</v>
      </c>
      <c r="AD382" s="12" t="s">
        <v>124</v>
      </c>
      <c r="AE382" s="42"/>
      <c r="AF382" s="43" t="s">
        <v>45</v>
      </c>
    </row>
    <row r="383" spans="1:32" ht="25.5" x14ac:dyDescent="0.25">
      <c r="A383" s="44"/>
      <c r="B383" s="42"/>
      <c r="C383" s="42"/>
      <c r="D383" s="42"/>
      <c r="E383" s="42"/>
      <c r="F383" s="42"/>
      <c r="G383" s="42"/>
      <c r="H383" s="42"/>
      <c r="I383" s="48"/>
      <c r="J383" s="42"/>
      <c r="K383" s="42"/>
      <c r="L383" s="42"/>
      <c r="M383" s="42"/>
      <c r="N383" s="42"/>
      <c r="O383" s="11" t="s">
        <v>722</v>
      </c>
      <c r="P383" s="11" t="s">
        <v>74</v>
      </c>
      <c r="Q383" s="11"/>
      <c r="R383" s="11">
        <v>0</v>
      </c>
      <c r="S383" s="11"/>
      <c r="T383" s="12">
        <v>0</v>
      </c>
      <c r="U383" s="12">
        <v>0</v>
      </c>
      <c r="V383" s="4" t="s">
        <v>77</v>
      </c>
      <c r="W383" s="11" t="s">
        <v>628</v>
      </c>
      <c r="X383" s="11" t="s">
        <v>409</v>
      </c>
      <c r="Y383" s="11" t="s">
        <v>851</v>
      </c>
      <c r="Z383" s="11">
        <v>0.2</v>
      </c>
      <c r="AA383" s="11"/>
      <c r="AB383" s="12" t="s">
        <v>634</v>
      </c>
      <c r="AC383" s="12">
        <v>47598</v>
      </c>
      <c r="AD383" s="12" t="s">
        <v>124</v>
      </c>
      <c r="AE383" s="42"/>
      <c r="AF383" s="42"/>
    </row>
    <row r="384" spans="1:32" ht="25.5" x14ac:dyDescent="0.25">
      <c r="A384" s="44"/>
      <c r="B384" s="42"/>
      <c r="C384" s="42"/>
      <c r="D384" s="42"/>
      <c r="E384" s="42"/>
      <c r="F384" s="42"/>
      <c r="G384" s="42"/>
      <c r="H384" s="42"/>
      <c r="I384" s="48"/>
      <c r="J384" s="42"/>
      <c r="K384" s="42"/>
      <c r="L384" s="42"/>
      <c r="M384" s="42"/>
      <c r="N384" s="42"/>
      <c r="O384" s="11" t="s">
        <v>722</v>
      </c>
      <c r="P384" s="11" t="s">
        <v>74</v>
      </c>
      <c r="Q384" s="11"/>
      <c r="R384" s="11">
        <v>0</v>
      </c>
      <c r="S384" s="11"/>
      <c r="T384" s="12">
        <v>0</v>
      </c>
      <c r="U384" s="12">
        <v>0</v>
      </c>
      <c r="V384" s="4" t="s">
        <v>77</v>
      </c>
      <c r="W384" s="11" t="s">
        <v>638</v>
      </c>
      <c r="X384" s="11" t="s">
        <v>409</v>
      </c>
      <c r="Y384" s="11" t="s">
        <v>853</v>
      </c>
      <c r="Z384" s="11">
        <v>0.2</v>
      </c>
      <c r="AA384" s="11"/>
      <c r="AB384" s="12" t="s">
        <v>634</v>
      </c>
      <c r="AC384" s="12">
        <v>47598</v>
      </c>
      <c r="AD384" s="12" t="s">
        <v>124</v>
      </c>
      <c r="AE384" s="42"/>
      <c r="AF384" s="42"/>
    </row>
    <row r="385" spans="1:32" ht="23.85" customHeight="1" x14ac:dyDescent="0.25">
      <c r="A385" s="44">
        <v>126</v>
      </c>
      <c r="B385" s="42" t="s">
        <v>28</v>
      </c>
      <c r="C385" s="42" t="s">
        <v>619</v>
      </c>
      <c r="D385" s="42">
        <v>103662</v>
      </c>
      <c r="E385" s="42" t="s">
        <v>869</v>
      </c>
      <c r="F385" s="42" t="s">
        <v>405</v>
      </c>
      <c r="G385" s="42" t="s">
        <v>32</v>
      </c>
      <c r="H385" s="42" t="s">
        <v>69</v>
      </c>
      <c r="I385" s="48" t="s">
        <v>870</v>
      </c>
      <c r="J385" s="42" t="s">
        <v>71</v>
      </c>
      <c r="K385" s="42"/>
      <c r="L385" s="42" t="s">
        <v>844</v>
      </c>
      <c r="M385" s="52">
        <v>47074</v>
      </c>
      <c r="N385" s="42" t="s">
        <v>623</v>
      </c>
      <c r="O385" s="11" t="s">
        <v>624</v>
      </c>
      <c r="P385" s="11" t="s">
        <v>433</v>
      </c>
      <c r="Q385" s="11" t="s">
        <v>871</v>
      </c>
      <c r="R385" s="11">
        <v>0.5</v>
      </c>
      <c r="S385" s="11"/>
      <c r="T385" s="12" t="s">
        <v>634</v>
      </c>
      <c r="U385" s="12">
        <v>46868</v>
      </c>
      <c r="V385" s="4" t="s">
        <v>124</v>
      </c>
      <c r="W385" s="11" t="s">
        <v>628</v>
      </c>
      <c r="X385" s="11" t="s">
        <v>409</v>
      </c>
      <c r="Y385" s="11" t="s">
        <v>849</v>
      </c>
      <c r="Z385" s="11">
        <v>0.2</v>
      </c>
      <c r="AA385" s="11"/>
      <c r="AB385" s="12" t="s">
        <v>634</v>
      </c>
      <c r="AC385" s="12">
        <v>47598</v>
      </c>
      <c r="AD385" s="12" t="s">
        <v>124</v>
      </c>
      <c r="AE385" s="42"/>
      <c r="AF385" s="43" t="s">
        <v>45</v>
      </c>
    </row>
    <row r="386" spans="1:32" ht="25.5" x14ac:dyDescent="0.25">
      <c r="A386" s="44"/>
      <c r="B386" s="42"/>
      <c r="C386" s="42"/>
      <c r="D386" s="42"/>
      <c r="E386" s="42"/>
      <c r="F386" s="42"/>
      <c r="G386" s="42"/>
      <c r="H386" s="42"/>
      <c r="I386" s="48"/>
      <c r="J386" s="42"/>
      <c r="K386" s="42"/>
      <c r="L386" s="42"/>
      <c r="M386" s="42"/>
      <c r="N386" s="42"/>
      <c r="O386" s="11" t="s">
        <v>77</v>
      </c>
      <c r="P386" s="11" t="s">
        <v>77</v>
      </c>
      <c r="Q386" s="11" t="s">
        <v>77</v>
      </c>
      <c r="R386" s="11" t="s">
        <v>77</v>
      </c>
      <c r="S386" s="11"/>
      <c r="T386" s="12" t="s">
        <v>77</v>
      </c>
      <c r="U386" s="12" t="s">
        <v>77</v>
      </c>
      <c r="V386" s="4"/>
      <c r="W386" s="11" t="s">
        <v>628</v>
      </c>
      <c r="X386" s="11" t="s">
        <v>409</v>
      </c>
      <c r="Y386" s="11" t="s">
        <v>851</v>
      </c>
      <c r="Z386" s="11">
        <v>0.2</v>
      </c>
      <c r="AA386" s="11"/>
      <c r="AB386" s="12" t="s">
        <v>634</v>
      </c>
      <c r="AC386" s="12">
        <v>47598</v>
      </c>
      <c r="AD386" s="12" t="s">
        <v>124</v>
      </c>
      <c r="AE386" s="42"/>
      <c r="AF386" s="42"/>
    </row>
    <row r="387" spans="1:32" x14ac:dyDescent="0.25">
      <c r="A387" s="44"/>
      <c r="B387" s="42"/>
      <c r="C387" s="42"/>
      <c r="D387" s="42"/>
      <c r="E387" s="42"/>
      <c r="F387" s="42"/>
      <c r="G387" s="42"/>
      <c r="H387" s="42"/>
      <c r="I387" s="48"/>
      <c r="J387" s="42"/>
      <c r="K387" s="42"/>
      <c r="L387" s="42"/>
      <c r="M387" s="42"/>
      <c r="N387" s="42"/>
      <c r="O387" s="11" t="s">
        <v>635</v>
      </c>
      <c r="P387" s="11" t="s">
        <v>433</v>
      </c>
      <c r="Q387" s="11" t="s">
        <v>872</v>
      </c>
      <c r="R387" s="11">
        <v>0.5</v>
      </c>
      <c r="S387" s="11"/>
      <c r="T387" s="12" t="s">
        <v>701</v>
      </c>
      <c r="U387" s="12">
        <v>46869</v>
      </c>
      <c r="V387" s="4" t="s">
        <v>124</v>
      </c>
      <c r="W387" s="11" t="s">
        <v>638</v>
      </c>
      <c r="X387" s="11" t="s">
        <v>409</v>
      </c>
      <c r="Y387" s="11" t="s">
        <v>853</v>
      </c>
      <c r="Z387" s="11">
        <v>0.2</v>
      </c>
      <c r="AA387" s="11"/>
      <c r="AB387" s="12" t="s">
        <v>634</v>
      </c>
      <c r="AC387" s="12">
        <v>47598</v>
      </c>
      <c r="AD387" s="12" t="s">
        <v>124</v>
      </c>
      <c r="AE387" s="42"/>
      <c r="AF387" s="42"/>
    </row>
    <row r="388" spans="1:32" ht="23.85" customHeight="1" x14ac:dyDescent="0.25">
      <c r="A388" s="44">
        <v>127</v>
      </c>
      <c r="B388" s="42" t="s">
        <v>28</v>
      </c>
      <c r="C388" s="42" t="s">
        <v>619</v>
      </c>
      <c r="D388" s="42">
        <v>103662</v>
      </c>
      <c r="E388" s="42" t="s">
        <v>873</v>
      </c>
      <c r="F388" s="42" t="s">
        <v>405</v>
      </c>
      <c r="G388" s="42" t="s">
        <v>32</v>
      </c>
      <c r="H388" s="42" t="s">
        <v>69</v>
      </c>
      <c r="I388" s="48" t="s">
        <v>874</v>
      </c>
      <c r="J388" s="42" t="s">
        <v>71</v>
      </c>
      <c r="K388" s="42"/>
      <c r="L388" s="42" t="s">
        <v>844</v>
      </c>
      <c r="M388" s="52">
        <v>47074</v>
      </c>
      <c r="N388" s="42" t="s">
        <v>623</v>
      </c>
      <c r="O388" s="11" t="s">
        <v>624</v>
      </c>
      <c r="P388" s="11" t="s">
        <v>625</v>
      </c>
      <c r="Q388" s="11" t="s">
        <v>875</v>
      </c>
      <c r="R388" s="11">
        <v>0.5</v>
      </c>
      <c r="S388" s="11"/>
      <c r="T388" s="12" t="s">
        <v>820</v>
      </c>
      <c r="U388" s="12">
        <v>46380</v>
      </c>
      <c r="V388" s="4" t="s">
        <v>124</v>
      </c>
      <c r="W388" s="11" t="s">
        <v>628</v>
      </c>
      <c r="X388" s="11" t="s">
        <v>409</v>
      </c>
      <c r="Y388" s="11" t="s">
        <v>849</v>
      </c>
      <c r="Z388" s="11">
        <v>0.2</v>
      </c>
      <c r="AA388" s="11"/>
      <c r="AB388" s="12" t="s">
        <v>634</v>
      </c>
      <c r="AC388" s="12">
        <v>47598</v>
      </c>
      <c r="AD388" s="12" t="s">
        <v>124</v>
      </c>
      <c r="AE388" s="42"/>
      <c r="AF388" s="43" t="s">
        <v>45</v>
      </c>
    </row>
    <row r="389" spans="1:32" ht="25.5" x14ac:dyDescent="0.25">
      <c r="A389" s="44"/>
      <c r="B389" s="42"/>
      <c r="C389" s="42"/>
      <c r="D389" s="42"/>
      <c r="E389" s="42"/>
      <c r="F389" s="42"/>
      <c r="G389" s="42"/>
      <c r="H389" s="42"/>
      <c r="I389" s="48"/>
      <c r="J389" s="42"/>
      <c r="K389" s="42"/>
      <c r="L389" s="42"/>
      <c r="M389" s="42"/>
      <c r="N389" s="42"/>
      <c r="O389" s="11" t="s">
        <v>77</v>
      </c>
      <c r="P389" s="11" t="s">
        <v>77</v>
      </c>
      <c r="Q389" s="11" t="s">
        <v>77</v>
      </c>
      <c r="R389" s="11" t="s">
        <v>77</v>
      </c>
      <c r="S389" s="11"/>
      <c r="T389" s="12" t="s">
        <v>77</v>
      </c>
      <c r="U389" s="12" t="s">
        <v>77</v>
      </c>
      <c r="V389" s="4"/>
      <c r="W389" s="11" t="s">
        <v>628</v>
      </c>
      <c r="X389" s="11" t="s">
        <v>409</v>
      </c>
      <c r="Y389" s="11" t="s">
        <v>851</v>
      </c>
      <c r="Z389" s="11">
        <v>0.2</v>
      </c>
      <c r="AA389" s="11"/>
      <c r="AB389" s="12" t="s">
        <v>634</v>
      </c>
      <c r="AC389" s="12">
        <v>47598</v>
      </c>
      <c r="AD389" s="12" t="s">
        <v>124</v>
      </c>
      <c r="AE389" s="42"/>
      <c r="AF389" s="42"/>
    </row>
    <row r="390" spans="1:32" x14ac:dyDescent="0.25">
      <c r="A390" s="44"/>
      <c r="B390" s="42"/>
      <c r="C390" s="42"/>
      <c r="D390" s="42"/>
      <c r="E390" s="42"/>
      <c r="F390" s="42"/>
      <c r="G390" s="42"/>
      <c r="H390" s="42"/>
      <c r="I390" s="48"/>
      <c r="J390" s="42"/>
      <c r="K390" s="42"/>
      <c r="L390" s="42"/>
      <c r="M390" s="42"/>
      <c r="N390" s="42"/>
      <c r="O390" s="11" t="s">
        <v>635</v>
      </c>
      <c r="P390" s="11" t="s">
        <v>625</v>
      </c>
      <c r="Q390" s="11" t="s">
        <v>876</v>
      </c>
      <c r="R390" s="11">
        <v>0.5</v>
      </c>
      <c r="S390" s="11"/>
      <c r="T390" s="12" t="s">
        <v>820</v>
      </c>
      <c r="U390" s="12">
        <v>46380</v>
      </c>
      <c r="V390" s="4" t="s">
        <v>124</v>
      </c>
      <c r="W390" s="11" t="s">
        <v>638</v>
      </c>
      <c r="X390" s="11" t="s">
        <v>409</v>
      </c>
      <c r="Y390" s="11" t="s">
        <v>853</v>
      </c>
      <c r="Z390" s="11">
        <v>0.2</v>
      </c>
      <c r="AA390" s="11"/>
      <c r="AB390" s="12" t="s">
        <v>634</v>
      </c>
      <c r="AC390" s="12">
        <v>47598</v>
      </c>
      <c r="AD390" s="12" t="s">
        <v>124</v>
      </c>
      <c r="AE390" s="42"/>
      <c r="AF390" s="42"/>
    </row>
    <row r="391" spans="1:32" ht="23.85" customHeight="1" x14ac:dyDescent="0.25">
      <c r="A391" s="44">
        <v>128</v>
      </c>
      <c r="B391" s="42" t="s">
        <v>28</v>
      </c>
      <c r="C391" s="42" t="s">
        <v>619</v>
      </c>
      <c r="D391" s="42">
        <v>103662</v>
      </c>
      <c r="E391" s="42" t="s">
        <v>877</v>
      </c>
      <c r="F391" s="42" t="s">
        <v>405</v>
      </c>
      <c r="G391" s="42" t="s">
        <v>90</v>
      </c>
      <c r="H391" s="42" t="s">
        <v>33</v>
      </c>
      <c r="I391" s="48" t="s">
        <v>878</v>
      </c>
      <c r="J391" s="42" t="s">
        <v>35</v>
      </c>
      <c r="K391" s="42"/>
      <c r="L391" s="42" t="s">
        <v>265</v>
      </c>
      <c r="M391" s="52">
        <v>49668</v>
      </c>
      <c r="N391" s="42" t="s">
        <v>92</v>
      </c>
      <c r="O391" s="11" t="s">
        <v>624</v>
      </c>
      <c r="P391" s="11" t="s">
        <v>156</v>
      </c>
      <c r="Q391" s="11" t="s">
        <v>879</v>
      </c>
      <c r="R391" s="11">
        <v>0.5</v>
      </c>
      <c r="S391" s="11"/>
      <c r="T391" s="12" t="s">
        <v>703</v>
      </c>
      <c r="U391" s="12">
        <v>46870</v>
      </c>
      <c r="V391" s="4" t="s">
        <v>124</v>
      </c>
      <c r="W391" s="11" t="s">
        <v>628</v>
      </c>
      <c r="X391" s="11" t="s">
        <v>409</v>
      </c>
      <c r="Y391" s="11" t="s">
        <v>849</v>
      </c>
      <c r="Z391" s="11">
        <v>0.2</v>
      </c>
      <c r="AA391" s="11"/>
      <c r="AB391" s="12" t="s">
        <v>634</v>
      </c>
      <c r="AC391" s="12">
        <v>47598</v>
      </c>
      <c r="AD391" s="12" t="s">
        <v>124</v>
      </c>
      <c r="AE391" s="42"/>
      <c r="AF391" s="43" t="s">
        <v>45</v>
      </c>
    </row>
    <row r="392" spans="1:32" ht="25.5" x14ac:dyDescent="0.25">
      <c r="A392" s="44"/>
      <c r="B392" s="42"/>
      <c r="C392" s="42"/>
      <c r="D392" s="42"/>
      <c r="E392" s="42"/>
      <c r="F392" s="42"/>
      <c r="G392" s="42"/>
      <c r="H392" s="42"/>
      <c r="I392" s="48"/>
      <c r="J392" s="42"/>
      <c r="K392" s="42"/>
      <c r="L392" s="42"/>
      <c r="M392" s="42"/>
      <c r="N392" s="42"/>
      <c r="O392" s="11" t="s">
        <v>77</v>
      </c>
      <c r="P392" s="11" t="s">
        <v>77</v>
      </c>
      <c r="Q392" s="11" t="s">
        <v>77</v>
      </c>
      <c r="R392" s="11" t="s">
        <v>77</v>
      </c>
      <c r="S392" s="11"/>
      <c r="T392" s="12" t="s">
        <v>77</v>
      </c>
      <c r="U392" s="12" t="s">
        <v>77</v>
      </c>
      <c r="V392" s="4"/>
      <c r="W392" s="11" t="s">
        <v>628</v>
      </c>
      <c r="X392" s="11" t="s">
        <v>409</v>
      </c>
      <c r="Y392" s="11" t="s">
        <v>851</v>
      </c>
      <c r="Z392" s="11">
        <v>0.2</v>
      </c>
      <c r="AA392" s="11"/>
      <c r="AB392" s="12" t="s">
        <v>634</v>
      </c>
      <c r="AC392" s="12">
        <v>47598</v>
      </c>
      <c r="AD392" s="12" t="s">
        <v>124</v>
      </c>
      <c r="AE392" s="42"/>
      <c r="AF392" s="42"/>
    </row>
    <row r="393" spans="1:32" x14ac:dyDescent="0.25">
      <c r="A393" s="44"/>
      <c r="B393" s="42"/>
      <c r="C393" s="42"/>
      <c r="D393" s="42"/>
      <c r="E393" s="42"/>
      <c r="F393" s="42"/>
      <c r="G393" s="42"/>
      <c r="H393" s="42"/>
      <c r="I393" s="48"/>
      <c r="J393" s="42"/>
      <c r="K393" s="42"/>
      <c r="L393" s="42"/>
      <c r="M393" s="42"/>
      <c r="N393" s="42"/>
      <c r="O393" s="11" t="s">
        <v>635</v>
      </c>
      <c r="P393" s="11" t="s">
        <v>156</v>
      </c>
      <c r="Q393" s="11" t="s">
        <v>880</v>
      </c>
      <c r="R393" s="11">
        <v>0.5</v>
      </c>
      <c r="S393" s="11"/>
      <c r="T393" s="12" t="s">
        <v>701</v>
      </c>
      <c r="U393" s="12">
        <v>46869</v>
      </c>
      <c r="V393" s="4" t="s">
        <v>124</v>
      </c>
      <c r="W393" s="11" t="s">
        <v>638</v>
      </c>
      <c r="X393" s="11" t="s">
        <v>409</v>
      </c>
      <c r="Y393" s="11" t="s">
        <v>853</v>
      </c>
      <c r="Z393" s="11">
        <v>0.2</v>
      </c>
      <c r="AA393" s="11"/>
      <c r="AB393" s="12" t="s">
        <v>634</v>
      </c>
      <c r="AC393" s="12">
        <v>47598</v>
      </c>
      <c r="AD393" s="12" t="s">
        <v>124</v>
      </c>
      <c r="AE393" s="42"/>
      <c r="AF393" s="42"/>
    </row>
    <row r="394" spans="1:32" ht="23.85" customHeight="1" x14ac:dyDescent="0.25">
      <c r="A394" s="44">
        <v>129</v>
      </c>
      <c r="B394" s="42" t="s">
        <v>28</v>
      </c>
      <c r="C394" s="42" t="s">
        <v>619</v>
      </c>
      <c r="D394" s="42">
        <v>103662</v>
      </c>
      <c r="E394" s="42" t="s">
        <v>881</v>
      </c>
      <c r="F394" s="42" t="s">
        <v>405</v>
      </c>
      <c r="G394" s="42" t="s">
        <v>90</v>
      </c>
      <c r="H394" s="42" t="s">
        <v>33</v>
      </c>
      <c r="I394" s="48" t="s">
        <v>882</v>
      </c>
      <c r="J394" s="42" t="s">
        <v>35</v>
      </c>
      <c r="K394" s="42"/>
      <c r="L394" s="42" t="s">
        <v>265</v>
      </c>
      <c r="M394" s="52">
        <v>49668</v>
      </c>
      <c r="N394" s="42" t="s">
        <v>92</v>
      </c>
      <c r="O394" s="11" t="s">
        <v>624</v>
      </c>
      <c r="P394" s="11" t="s">
        <v>163</v>
      </c>
      <c r="Q394" s="11" t="s">
        <v>883</v>
      </c>
      <c r="R394" s="11">
        <v>0.5</v>
      </c>
      <c r="S394" s="11"/>
      <c r="T394" s="12" t="s">
        <v>703</v>
      </c>
      <c r="U394" s="12">
        <v>46870</v>
      </c>
      <c r="V394" s="4" t="s">
        <v>124</v>
      </c>
      <c r="W394" s="11" t="s">
        <v>628</v>
      </c>
      <c r="X394" s="11" t="s">
        <v>409</v>
      </c>
      <c r="Y394" s="11" t="s">
        <v>849</v>
      </c>
      <c r="Z394" s="11">
        <v>0.2</v>
      </c>
      <c r="AA394" s="11"/>
      <c r="AB394" s="12" t="s">
        <v>634</v>
      </c>
      <c r="AC394" s="12">
        <v>47598</v>
      </c>
      <c r="AD394" s="12" t="s">
        <v>124</v>
      </c>
      <c r="AE394" s="42"/>
      <c r="AF394" s="43" t="s">
        <v>45</v>
      </c>
    </row>
    <row r="395" spans="1:32" ht="25.5" x14ac:dyDescent="0.25">
      <c r="A395" s="44"/>
      <c r="B395" s="42"/>
      <c r="C395" s="42"/>
      <c r="D395" s="42"/>
      <c r="E395" s="42"/>
      <c r="F395" s="42"/>
      <c r="G395" s="42"/>
      <c r="H395" s="42"/>
      <c r="I395" s="48"/>
      <c r="J395" s="42"/>
      <c r="K395" s="42"/>
      <c r="L395" s="42"/>
      <c r="M395" s="42"/>
      <c r="N395" s="42"/>
      <c r="O395" s="11" t="s">
        <v>77</v>
      </c>
      <c r="P395" s="11" t="s">
        <v>77</v>
      </c>
      <c r="Q395" s="11" t="s">
        <v>77</v>
      </c>
      <c r="R395" s="11" t="s">
        <v>77</v>
      </c>
      <c r="S395" s="11"/>
      <c r="T395" s="12" t="s">
        <v>77</v>
      </c>
      <c r="U395" s="12" t="s">
        <v>77</v>
      </c>
      <c r="V395" s="4"/>
      <c r="W395" s="11" t="s">
        <v>628</v>
      </c>
      <c r="X395" s="11" t="s">
        <v>409</v>
      </c>
      <c r="Y395" s="11" t="s">
        <v>851</v>
      </c>
      <c r="Z395" s="11">
        <v>0.2</v>
      </c>
      <c r="AA395" s="11"/>
      <c r="AB395" s="12" t="s">
        <v>634</v>
      </c>
      <c r="AC395" s="12">
        <v>47598</v>
      </c>
      <c r="AD395" s="12" t="s">
        <v>124</v>
      </c>
      <c r="AE395" s="42"/>
      <c r="AF395" s="42"/>
    </row>
    <row r="396" spans="1:32" x14ac:dyDescent="0.25">
      <c r="A396" s="44"/>
      <c r="B396" s="42"/>
      <c r="C396" s="42"/>
      <c r="D396" s="42"/>
      <c r="E396" s="42"/>
      <c r="F396" s="42"/>
      <c r="G396" s="42"/>
      <c r="H396" s="42"/>
      <c r="I396" s="48"/>
      <c r="J396" s="42"/>
      <c r="K396" s="42"/>
      <c r="L396" s="42"/>
      <c r="M396" s="42"/>
      <c r="N396" s="42"/>
      <c r="O396" s="11" t="s">
        <v>635</v>
      </c>
      <c r="P396" s="11" t="s">
        <v>163</v>
      </c>
      <c r="Q396" s="11" t="s">
        <v>884</v>
      </c>
      <c r="R396" s="11">
        <v>0.5</v>
      </c>
      <c r="S396" s="11"/>
      <c r="T396" s="12" t="s">
        <v>703</v>
      </c>
      <c r="U396" s="12">
        <v>46870</v>
      </c>
      <c r="V396" s="4" t="s">
        <v>124</v>
      </c>
      <c r="W396" s="11" t="s">
        <v>638</v>
      </c>
      <c r="X396" s="11" t="s">
        <v>409</v>
      </c>
      <c r="Y396" s="11" t="s">
        <v>853</v>
      </c>
      <c r="Z396" s="11">
        <v>0.2</v>
      </c>
      <c r="AA396" s="11"/>
      <c r="AB396" s="12" t="s">
        <v>634</v>
      </c>
      <c r="AC396" s="12">
        <v>47598</v>
      </c>
      <c r="AD396" s="12" t="s">
        <v>124</v>
      </c>
      <c r="AE396" s="42"/>
      <c r="AF396" s="42"/>
    </row>
    <row r="397" spans="1:32" ht="23.85" customHeight="1" x14ac:dyDescent="0.25">
      <c r="A397" s="44">
        <v>130</v>
      </c>
      <c r="B397" s="42" t="s">
        <v>28</v>
      </c>
      <c r="C397" s="42" t="s">
        <v>619</v>
      </c>
      <c r="D397" s="42">
        <v>103662</v>
      </c>
      <c r="E397" s="42" t="s">
        <v>885</v>
      </c>
      <c r="F397" s="42" t="s">
        <v>405</v>
      </c>
      <c r="G397" s="42" t="s">
        <v>90</v>
      </c>
      <c r="H397" s="42" t="s">
        <v>33</v>
      </c>
      <c r="I397" s="48" t="s">
        <v>886</v>
      </c>
      <c r="J397" s="42" t="s">
        <v>35</v>
      </c>
      <c r="K397" s="42"/>
      <c r="L397" s="42" t="s">
        <v>265</v>
      </c>
      <c r="M397" s="52">
        <v>49668</v>
      </c>
      <c r="N397" s="42" t="s">
        <v>92</v>
      </c>
      <c r="O397" s="11" t="s">
        <v>624</v>
      </c>
      <c r="P397" s="11" t="s">
        <v>163</v>
      </c>
      <c r="Q397" s="11" t="s">
        <v>887</v>
      </c>
      <c r="R397" s="11">
        <v>0.5</v>
      </c>
      <c r="S397" s="11"/>
      <c r="T397" s="12" t="s">
        <v>703</v>
      </c>
      <c r="U397" s="12">
        <v>46870</v>
      </c>
      <c r="V397" s="4" t="s">
        <v>124</v>
      </c>
      <c r="W397" s="11" t="s">
        <v>628</v>
      </c>
      <c r="X397" s="11" t="s">
        <v>409</v>
      </c>
      <c r="Y397" s="11" t="s">
        <v>849</v>
      </c>
      <c r="Z397" s="11">
        <v>0.2</v>
      </c>
      <c r="AA397" s="11"/>
      <c r="AB397" s="12" t="s">
        <v>634</v>
      </c>
      <c r="AC397" s="12">
        <v>47598</v>
      </c>
      <c r="AD397" s="12" t="s">
        <v>124</v>
      </c>
      <c r="AE397" s="42"/>
      <c r="AF397" s="43" t="s">
        <v>45</v>
      </c>
    </row>
    <row r="398" spans="1:32" ht="25.5" x14ac:dyDescent="0.25">
      <c r="A398" s="44"/>
      <c r="B398" s="42"/>
      <c r="C398" s="42"/>
      <c r="D398" s="42"/>
      <c r="E398" s="42"/>
      <c r="F398" s="42"/>
      <c r="G398" s="42"/>
      <c r="H398" s="42"/>
      <c r="I398" s="48"/>
      <c r="J398" s="42"/>
      <c r="K398" s="42"/>
      <c r="L398" s="42"/>
      <c r="M398" s="42"/>
      <c r="N398" s="42"/>
      <c r="O398" s="11" t="s">
        <v>77</v>
      </c>
      <c r="P398" s="11" t="s">
        <v>77</v>
      </c>
      <c r="Q398" s="11" t="s">
        <v>77</v>
      </c>
      <c r="R398" s="11" t="s">
        <v>77</v>
      </c>
      <c r="S398" s="11"/>
      <c r="T398" s="12" t="s">
        <v>77</v>
      </c>
      <c r="U398" s="12" t="s">
        <v>77</v>
      </c>
      <c r="V398" s="4"/>
      <c r="W398" s="11" t="s">
        <v>628</v>
      </c>
      <c r="X398" s="11" t="s">
        <v>409</v>
      </c>
      <c r="Y398" s="11" t="s">
        <v>851</v>
      </c>
      <c r="Z398" s="11">
        <v>0.2</v>
      </c>
      <c r="AA398" s="11"/>
      <c r="AB398" s="12" t="s">
        <v>634</v>
      </c>
      <c r="AC398" s="12">
        <v>47598</v>
      </c>
      <c r="AD398" s="12" t="s">
        <v>124</v>
      </c>
      <c r="AE398" s="42"/>
      <c r="AF398" s="42"/>
    </row>
    <row r="399" spans="1:32" x14ac:dyDescent="0.25">
      <c r="A399" s="44"/>
      <c r="B399" s="42"/>
      <c r="C399" s="42"/>
      <c r="D399" s="42"/>
      <c r="E399" s="42"/>
      <c r="F399" s="42"/>
      <c r="G399" s="42"/>
      <c r="H399" s="42"/>
      <c r="I399" s="48"/>
      <c r="J399" s="42"/>
      <c r="K399" s="42"/>
      <c r="L399" s="42"/>
      <c r="M399" s="42"/>
      <c r="N399" s="42"/>
      <c r="O399" s="11" t="s">
        <v>635</v>
      </c>
      <c r="P399" s="11" t="s">
        <v>163</v>
      </c>
      <c r="Q399" s="11" t="s">
        <v>888</v>
      </c>
      <c r="R399" s="11">
        <v>0.5</v>
      </c>
      <c r="S399" s="11"/>
      <c r="T399" s="12" t="s">
        <v>701</v>
      </c>
      <c r="U399" s="12">
        <v>46869</v>
      </c>
      <c r="V399" s="4" t="s">
        <v>124</v>
      </c>
      <c r="W399" s="11" t="s">
        <v>638</v>
      </c>
      <c r="X399" s="11" t="s">
        <v>409</v>
      </c>
      <c r="Y399" s="11" t="s">
        <v>853</v>
      </c>
      <c r="Z399" s="11">
        <v>0.2</v>
      </c>
      <c r="AA399" s="11"/>
      <c r="AB399" s="12" t="s">
        <v>634</v>
      </c>
      <c r="AC399" s="12">
        <v>47598</v>
      </c>
      <c r="AD399" s="12" t="s">
        <v>124</v>
      </c>
      <c r="AE399" s="42"/>
      <c r="AF399" s="42"/>
    </row>
    <row r="400" spans="1:32" ht="23.85" customHeight="1" x14ac:dyDescent="0.25">
      <c r="A400" s="44">
        <v>131</v>
      </c>
      <c r="B400" s="42" t="s">
        <v>28</v>
      </c>
      <c r="C400" s="42" t="s">
        <v>619</v>
      </c>
      <c r="D400" s="42">
        <v>103662</v>
      </c>
      <c r="E400" s="42" t="s">
        <v>889</v>
      </c>
      <c r="F400" s="42" t="s">
        <v>405</v>
      </c>
      <c r="G400" s="42" t="s">
        <v>90</v>
      </c>
      <c r="H400" s="42" t="s">
        <v>33</v>
      </c>
      <c r="I400" s="48" t="s">
        <v>890</v>
      </c>
      <c r="J400" s="42" t="s">
        <v>35</v>
      </c>
      <c r="K400" s="42"/>
      <c r="L400" s="42" t="s">
        <v>265</v>
      </c>
      <c r="M400" s="52">
        <v>49668</v>
      </c>
      <c r="N400" s="42" t="s">
        <v>92</v>
      </c>
      <c r="O400" s="11" t="s">
        <v>624</v>
      </c>
      <c r="P400" s="11" t="s">
        <v>163</v>
      </c>
      <c r="Q400" s="11" t="s">
        <v>891</v>
      </c>
      <c r="R400" s="11">
        <v>0.5</v>
      </c>
      <c r="S400" s="11"/>
      <c r="T400" s="12" t="s">
        <v>701</v>
      </c>
      <c r="U400" s="12">
        <v>46869</v>
      </c>
      <c r="V400" s="4" t="s">
        <v>124</v>
      </c>
      <c r="W400" s="11" t="s">
        <v>628</v>
      </c>
      <c r="X400" s="11" t="s">
        <v>409</v>
      </c>
      <c r="Y400" s="11" t="s">
        <v>849</v>
      </c>
      <c r="Z400" s="11">
        <v>0.2</v>
      </c>
      <c r="AA400" s="11"/>
      <c r="AB400" s="12" t="s">
        <v>634</v>
      </c>
      <c r="AC400" s="12">
        <v>47598</v>
      </c>
      <c r="AD400" s="12" t="s">
        <v>124</v>
      </c>
      <c r="AE400" s="42"/>
      <c r="AF400" s="43" t="s">
        <v>45</v>
      </c>
    </row>
    <row r="401" spans="1:32" ht="25.5" x14ac:dyDescent="0.25">
      <c r="A401" s="44"/>
      <c r="B401" s="42"/>
      <c r="C401" s="42"/>
      <c r="D401" s="42"/>
      <c r="E401" s="42"/>
      <c r="F401" s="42"/>
      <c r="G401" s="42"/>
      <c r="H401" s="42"/>
      <c r="I401" s="48"/>
      <c r="J401" s="42"/>
      <c r="K401" s="42"/>
      <c r="L401" s="42"/>
      <c r="M401" s="42"/>
      <c r="N401" s="42"/>
      <c r="O401" s="11" t="s">
        <v>77</v>
      </c>
      <c r="P401" s="11" t="s">
        <v>77</v>
      </c>
      <c r="Q401" s="11" t="s">
        <v>77</v>
      </c>
      <c r="R401" s="11" t="s">
        <v>77</v>
      </c>
      <c r="S401" s="11"/>
      <c r="T401" s="12" t="s">
        <v>77</v>
      </c>
      <c r="U401" s="12" t="s">
        <v>77</v>
      </c>
      <c r="V401" s="4"/>
      <c r="W401" s="11" t="s">
        <v>628</v>
      </c>
      <c r="X401" s="11" t="s">
        <v>409</v>
      </c>
      <c r="Y401" s="11" t="s">
        <v>851</v>
      </c>
      <c r="Z401" s="11">
        <v>0.2</v>
      </c>
      <c r="AA401" s="11"/>
      <c r="AB401" s="12" t="s">
        <v>634</v>
      </c>
      <c r="AC401" s="12">
        <v>47598</v>
      </c>
      <c r="AD401" s="12" t="s">
        <v>124</v>
      </c>
      <c r="AE401" s="42"/>
      <c r="AF401" s="42"/>
    </row>
    <row r="402" spans="1:32" x14ac:dyDescent="0.25">
      <c r="A402" s="44"/>
      <c r="B402" s="42"/>
      <c r="C402" s="42"/>
      <c r="D402" s="42"/>
      <c r="E402" s="42"/>
      <c r="F402" s="42"/>
      <c r="G402" s="42"/>
      <c r="H402" s="42"/>
      <c r="I402" s="48"/>
      <c r="J402" s="42"/>
      <c r="K402" s="42"/>
      <c r="L402" s="42"/>
      <c r="M402" s="42"/>
      <c r="N402" s="42"/>
      <c r="O402" s="11" t="s">
        <v>635</v>
      </c>
      <c r="P402" s="11" t="s">
        <v>163</v>
      </c>
      <c r="Q402" s="11" t="s">
        <v>892</v>
      </c>
      <c r="R402" s="11">
        <v>0.5</v>
      </c>
      <c r="S402" s="11"/>
      <c r="T402" s="12" t="s">
        <v>634</v>
      </c>
      <c r="U402" s="12">
        <v>46868</v>
      </c>
      <c r="V402" s="4" t="s">
        <v>124</v>
      </c>
      <c r="W402" s="11" t="s">
        <v>638</v>
      </c>
      <c r="X402" s="11" t="s">
        <v>409</v>
      </c>
      <c r="Y402" s="11" t="s">
        <v>853</v>
      </c>
      <c r="Z402" s="11">
        <v>0.2</v>
      </c>
      <c r="AA402" s="11"/>
      <c r="AB402" s="12" t="s">
        <v>634</v>
      </c>
      <c r="AC402" s="12">
        <v>47598</v>
      </c>
      <c r="AD402" s="12" t="s">
        <v>124</v>
      </c>
      <c r="AE402" s="42"/>
      <c r="AF402" s="42"/>
    </row>
    <row r="403" spans="1:32" ht="35.1" customHeight="1" x14ac:dyDescent="0.25">
      <c r="A403" s="44">
        <v>132</v>
      </c>
      <c r="B403" s="42" t="s">
        <v>28</v>
      </c>
      <c r="C403" s="42" t="s">
        <v>619</v>
      </c>
      <c r="D403" s="42">
        <v>103662</v>
      </c>
      <c r="E403" s="42" t="s">
        <v>893</v>
      </c>
      <c r="F403" s="42" t="s">
        <v>405</v>
      </c>
      <c r="G403" s="42" t="s">
        <v>597</v>
      </c>
      <c r="H403" s="42" t="s">
        <v>33</v>
      </c>
      <c r="I403" s="48">
        <v>40791691</v>
      </c>
      <c r="J403" s="42" t="s">
        <v>35</v>
      </c>
      <c r="K403" s="42"/>
      <c r="L403" s="52">
        <v>43824</v>
      </c>
      <c r="M403" s="52">
        <v>49668</v>
      </c>
      <c r="N403" s="42" t="s">
        <v>92</v>
      </c>
      <c r="O403" s="11" t="s">
        <v>648</v>
      </c>
      <c r="P403" s="11" t="s">
        <v>38</v>
      </c>
      <c r="Q403" s="11" t="s">
        <v>894</v>
      </c>
      <c r="R403" s="11">
        <v>0.2</v>
      </c>
      <c r="S403" s="11"/>
      <c r="T403" s="12">
        <v>44694</v>
      </c>
      <c r="U403" s="12">
        <v>47616</v>
      </c>
      <c r="V403" s="13" t="s">
        <v>895</v>
      </c>
      <c r="W403" s="11" t="s">
        <v>628</v>
      </c>
      <c r="X403" s="11" t="s">
        <v>409</v>
      </c>
      <c r="Y403" s="11" t="s">
        <v>896</v>
      </c>
      <c r="Z403" s="11">
        <v>0.2</v>
      </c>
      <c r="AA403" s="11"/>
      <c r="AB403" s="12" t="s">
        <v>634</v>
      </c>
      <c r="AC403" s="12">
        <v>47598</v>
      </c>
      <c r="AD403" s="12" t="s">
        <v>124</v>
      </c>
      <c r="AE403" s="42"/>
      <c r="AF403" s="43" t="s">
        <v>45</v>
      </c>
    </row>
    <row r="404" spans="1:32" ht="45" x14ac:dyDescent="0.25">
      <c r="A404" s="44"/>
      <c r="B404" s="42"/>
      <c r="C404" s="42"/>
      <c r="D404" s="42"/>
      <c r="E404" s="42"/>
      <c r="F404" s="42"/>
      <c r="G404" s="42"/>
      <c r="H404" s="42"/>
      <c r="I404" s="48"/>
      <c r="J404" s="42"/>
      <c r="K404" s="42"/>
      <c r="L404" s="42"/>
      <c r="M404" s="42"/>
      <c r="N404" s="42"/>
      <c r="O404" s="11" t="s">
        <v>648</v>
      </c>
      <c r="P404" s="11" t="s">
        <v>38</v>
      </c>
      <c r="Q404" s="11" t="s">
        <v>897</v>
      </c>
      <c r="R404" s="11">
        <v>0.2</v>
      </c>
      <c r="S404" s="11"/>
      <c r="T404" s="12">
        <v>44694</v>
      </c>
      <c r="U404" s="12">
        <v>47616</v>
      </c>
      <c r="V404" s="13" t="s">
        <v>898</v>
      </c>
      <c r="W404" s="11" t="s">
        <v>628</v>
      </c>
      <c r="X404" s="11" t="s">
        <v>409</v>
      </c>
      <c r="Y404" s="11" t="s">
        <v>899</v>
      </c>
      <c r="Z404" s="11">
        <v>0.2</v>
      </c>
      <c r="AA404" s="11"/>
      <c r="AB404" s="12" t="s">
        <v>900</v>
      </c>
      <c r="AC404" s="12">
        <v>47587</v>
      </c>
      <c r="AD404" s="12" t="s">
        <v>124</v>
      </c>
      <c r="AE404" s="42"/>
      <c r="AF404" s="42"/>
    </row>
    <row r="405" spans="1:32" ht="45" x14ac:dyDescent="0.25">
      <c r="A405" s="44"/>
      <c r="B405" s="42"/>
      <c r="C405" s="42"/>
      <c r="D405" s="42"/>
      <c r="E405" s="42"/>
      <c r="F405" s="42"/>
      <c r="G405" s="42"/>
      <c r="H405" s="42"/>
      <c r="I405" s="48"/>
      <c r="J405" s="42"/>
      <c r="K405" s="42"/>
      <c r="L405" s="42"/>
      <c r="M405" s="42"/>
      <c r="N405" s="42"/>
      <c r="O405" s="11" t="s">
        <v>655</v>
      </c>
      <c r="P405" s="11" t="s">
        <v>38</v>
      </c>
      <c r="Q405" s="11">
        <v>1272</v>
      </c>
      <c r="R405" s="11">
        <v>0.2</v>
      </c>
      <c r="S405" s="11"/>
      <c r="T405" s="12">
        <v>44694</v>
      </c>
      <c r="U405" s="12">
        <v>47616</v>
      </c>
      <c r="V405" s="13" t="s">
        <v>901</v>
      </c>
      <c r="W405" s="11" t="s">
        <v>638</v>
      </c>
      <c r="X405" s="11" t="s">
        <v>409</v>
      </c>
      <c r="Y405" s="11" t="s">
        <v>902</v>
      </c>
      <c r="Z405" s="11">
        <v>0.2</v>
      </c>
      <c r="AA405" s="11"/>
      <c r="AB405" s="12" t="s">
        <v>634</v>
      </c>
      <c r="AC405" s="12">
        <v>47598</v>
      </c>
      <c r="AD405" s="12" t="s">
        <v>124</v>
      </c>
      <c r="AE405" s="42"/>
      <c r="AF405" s="42"/>
    </row>
    <row r="406" spans="1:32" ht="23.85" customHeight="1" x14ac:dyDescent="0.25">
      <c r="A406" s="44">
        <v>133</v>
      </c>
      <c r="B406" s="42" t="s">
        <v>28</v>
      </c>
      <c r="C406" s="42" t="s">
        <v>619</v>
      </c>
      <c r="D406" s="42">
        <v>103662</v>
      </c>
      <c r="E406" s="42" t="s">
        <v>903</v>
      </c>
      <c r="F406" s="42" t="s">
        <v>405</v>
      </c>
      <c r="G406" s="42" t="s">
        <v>90</v>
      </c>
      <c r="H406" s="42" t="s">
        <v>69</v>
      </c>
      <c r="I406" s="48" t="s">
        <v>904</v>
      </c>
      <c r="J406" s="42" t="s">
        <v>71</v>
      </c>
      <c r="K406" s="42"/>
      <c r="L406" s="42" t="s">
        <v>844</v>
      </c>
      <c r="M406" s="52">
        <v>47074</v>
      </c>
      <c r="N406" s="42" t="s">
        <v>623</v>
      </c>
      <c r="O406" s="11" t="s">
        <v>624</v>
      </c>
      <c r="P406" s="11" t="s">
        <v>156</v>
      </c>
      <c r="Q406" s="11" t="s">
        <v>905</v>
      </c>
      <c r="R406" s="11">
        <v>0.5</v>
      </c>
      <c r="S406" s="11"/>
      <c r="T406" s="12" t="s">
        <v>703</v>
      </c>
      <c r="U406" s="12">
        <v>46870</v>
      </c>
      <c r="V406" s="4" t="s">
        <v>124</v>
      </c>
      <c r="W406" s="11" t="s">
        <v>628</v>
      </c>
      <c r="X406" s="11" t="s">
        <v>409</v>
      </c>
      <c r="Y406" s="11" t="s">
        <v>896</v>
      </c>
      <c r="Z406" s="11">
        <v>0.2</v>
      </c>
      <c r="AA406" s="11"/>
      <c r="AB406" s="12" t="s">
        <v>634</v>
      </c>
      <c r="AC406" s="12">
        <v>47598</v>
      </c>
      <c r="AD406" s="12" t="s">
        <v>124</v>
      </c>
      <c r="AE406" s="42"/>
      <c r="AF406" s="43" t="s">
        <v>45</v>
      </c>
    </row>
    <row r="407" spans="1:32" ht="25.5" x14ac:dyDescent="0.25">
      <c r="A407" s="44"/>
      <c r="B407" s="42"/>
      <c r="C407" s="42"/>
      <c r="D407" s="42"/>
      <c r="E407" s="42"/>
      <c r="F407" s="42"/>
      <c r="G407" s="42"/>
      <c r="H407" s="42"/>
      <c r="I407" s="48"/>
      <c r="J407" s="42"/>
      <c r="K407" s="42"/>
      <c r="L407" s="42"/>
      <c r="M407" s="42"/>
      <c r="N407" s="42"/>
      <c r="O407" s="11" t="s">
        <v>77</v>
      </c>
      <c r="P407" s="11" t="s">
        <v>77</v>
      </c>
      <c r="Q407" s="11" t="s">
        <v>77</v>
      </c>
      <c r="R407" s="11" t="s">
        <v>77</v>
      </c>
      <c r="S407" s="11"/>
      <c r="T407" s="12" t="s">
        <v>77</v>
      </c>
      <c r="U407" s="12" t="s">
        <v>77</v>
      </c>
      <c r="V407" s="4"/>
      <c r="W407" s="11" t="s">
        <v>628</v>
      </c>
      <c r="X407" s="11" t="s">
        <v>409</v>
      </c>
      <c r="Y407" s="11" t="s">
        <v>899</v>
      </c>
      <c r="Z407" s="11">
        <v>0.2</v>
      </c>
      <c r="AA407" s="11"/>
      <c r="AB407" s="12" t="s">
        <v>900</v>
      </c>
      <c r="AC407" s="12">
        <v>47587</v>
      </c>
      <c r="AD407" s="12" t="s">
        <v>124</v>
      </c>
      <c r="AE407" s="42"/>
      <c r="AF407" s="42"/>
    </row>
    <row r="408" spans="1:32" x14ac:dyDescent="0.25">
      <c r="A408" s="44"/>
      <c r="B408" s="42"/>
      <c r="C408" s="42"/>
      <c r="D408" s="42"/>
      <c r="E408" s="42"/>
      <c r="F408" s="42"/>
      <c r="G408" s="42"/>
      <c r="H408" s="42"/>
      <c r="I408" s="48"/>
      <c r="J408" s="42"/>
      <c r="K408" s="42"/>
      <c r="L408" s="42"/>
      <c r="M408" s="42"/>
      <c r="N408" s="42"/>
      <c r="O408" s="11" t="s">
        <v>635</v>
      </c>
      <c r="P408" s="11" t="s">
        <v>156</v>
      </c>
      <c r="Q408" s="11" t="s">
        <v>906</v>
      </c>
      <c r="R408" s="11">
        <v>0.5</v>
      </c>
      <c r="S408" s="11"/>
      <c r="T408" s="12" t="s">
        <v>703</v>
      </c>
      <c r="U408" s="12">
        <v>46870</v>
      </c>
      <c r="V408" s="4" t="s">
        <v>124</v>
      </c>
      <c r="W408" s="11" t="s">
        <v>638</v>
      </c>
      <c r="X408" s="11" t="s">
        <v>409</v>
      </c>
      <c r="Y408" s="11" t="s">
        <v>902</v>
      </c>
      <c r="Z408" s="11">
        <v>0.2</v>
      </c>
      <c r="AA408" s="11"/>
      <c r="AB408" s="12" t="s">
        <v>634</v>
      </c>
      <c r="AC408" s="12">
        <v>47598</v>
      </c>
      <c r="AD408" s="12" t="s">
        <v>124</v>
      </c>
      <c r="AE408" s="42"/>
      <c r="AF408" s="42"/>
    </row>
    <row r="409" spans="1:32" ht="23.85" customHeight="1" x14ac:dyDescent="0.25">
      <c r="A409" s="44">
        <v>134</v>
      </c>
      <c r="B409" s="42" t="s">
        <v>28</v>
      </c>
      <c r="C409" s="42" t="s">
        <v>619</v>
      </c>
      <c r="D409" s="42">
        <v>103662</v>
      </c>
      <c r="E409" s="42" t="s">
        <v>907</v>
      </c>
      <c r="F409" s="42" t="s">
        <v>405</v>
      </c>
      <c r="G409" s="42" t="s">
        <v>90</v>
      </c>
      <c r="H409" s="42" t="s">
        <v>69</v>
      </c>
      <c r="I409" s="48" t="s">
        <v>908</v>
      </c>
      <c r="J409" s="42" t="s">
        <v>71</v>
      </c>
      <c r="K409" s="42"/>
      <c r="L409" s="42" t="s">
        <v>844</v>
      </c>
      <c r="M409" s="52">
        <v>47074</v>
      </c>
      <c r="N409" s="42" t="s">
        <v>623</v>
      </c>
      <c r="O409" s="11" t="s">
        <v>624</v>
      </c>
      <c r="P409" s="11" t="s">
        <v>74</v>
      </c>
      <c r="Q409" s="11" t="s">
        <v>909</v>
      </c>
      <c r="R409" s="11">
        <v>0.5</v>
      </c>
      <c r="S409" s="11"/>
      <c r="T409" s="12" t="s">
        <v>634</v>
      </c>
      <c r="U409" s="12">
        <v>46868</v>
      </c>
      <c r="V409" s="4" t="s">
        <v>124</v>
      </c>
      <c r="W409" s="11" t="s">
        <v>628</v>
      </c>
      <c r="X409" s="11" t="s">
        <v>409</v>
      </c>
      <c r="Y409" s="11" t="s">
        <v>896</v>
      </c>
      <c r="Z409" s="11">
        <v>0.2</v>
      </c>
      <c r="AA409" s="11"/>
      <c r="AB409" s="12" t="s">
        <v>634</v>
      </c>
      <c r="AC409" s="12">
        <v>47598</v>
      </c>
      <c r="AD409" s="12" t="s">
        <v>124</v>
      </c>
      <c r="AE409" s="42"/>
      <c r="AF409" s="43" t="s">
        <v>45</v>
      </c>
    </row>
    <row r="410" spans="1:32" ht="25.5" x14ac:dyDescent="0.25">
      <c r="A410" s="44"/>
      <c r="B410" s="42"/>
      <c r="C410" s="42"/>
      <c r="D410" s="42"/>
      <c r="E410" s="42"/>
      <c r="F410" s="42"/>
      <c r="G410" s="42"/>
      <c r="H410" s="42"/>
      <c r="I410" s="48"/>
      <c r="J410" s="42"/>
      <c r="K410" s="42"/>
      <c r="L410" s="42"/>
      <c r="M410" s="42"/>
      <c r="N410" s="42"/>
      <c r="O410" s="11" t="s">
        <v>77</v>
      </c>
      <c r="P410" s="11" t="s">
        <v>77</v>
      </c>
      <c r="Q410" s="11" t="s">
        <v>77</v>
      </c>
      <c r="R410" s="11" t="s">
        <v>77</v>
      </c>
      <c r="S410" s="11"/>
      <c r="T410" s="12" t="s">
        <v>77</v>
      </c>
      <c r="U410" s="12" t="s">
        <v>77</v>
      </c>
      <c r="V410" s="4"/>
      <c r="W410" s="11" t="s">
        <v>628</v>
      </c>
      <c r="X410" s="11" t="s">
        <v>409</v>
      </c>
      <c r="Y410" s="11" t="s">
        <v>899</v>
      </c>
      <c r="Z410" s="11">
        <v>0.2</v>
      </c>
      <c r="AA410" s="11"/>
      <c r="AB410" s="12" t="s">
        <v>900</v>
      </c>
      <c r="AC410" s="12">
        <v>47587</v>
      </c>
      <c r="AD410" s="12" t="s">
        <v>124</v>
      </c>
      <c r="AE410" s="42"/>
      <c r="AF410" s="42"/>
    </row>
    <row r="411" spans="1:32" x14ac:dyDescent="0.25">
      <c r="A411" s="44"/>
      <c r="B411" s="42"/>
      <c r="C411" s="42"/>
      <c r="D411" s="42"/>
      <c r="E411" s="42"/>
      <c r="F411" s="42"/>
      <c r="G411" s="42"/>
      <c r="H411" s="42"/>
      <c r="I411" s="48"/>
      <c r="J411" s="42"/>
      <c r="K411" s="42"/>
      <c r="L411" s="42"/>
      <c r="M411" s="42"/>
      <c r="N411" s="42"/>
      <c r="O411" s="11" t="s">
        <v>635</v>
      </c>
      <c r="P411" s="11" t="s">
        <v>74</v>
      </c>
      <c r="Q411" s="11" t="s">
        <v>910</v>
      </c>
      <c r="R411" s="11">
        <v>0.5</v>
      </c>
      <c r="S411" s="11"/>
      <c r="T411" s="12" t="s">
        <v>703</v>
      </c>
      <c r="U411" s="12">
        <v>46870</v>
      </c>
      <c r="V411" s="4" t="s">
        <v>124</v>
      </c>
      <c r="W411" s="11" t="s">
        <v>638</v>
      </c>
      <c r="X411" s="11" t="s">
        <v>409</v>
      </c>
      <c r="Y411" s="11" t="s">
        <v>902</v>
      </c>
      <c r="Z411" s="11">
        <v>0.2</v>
      </c>
      <c r="AA411" s="11"/>
      <c r="AB411" s="12" t="s">
        <v>634</v>
      </c>
      <c r="AC411" s="12">
        <v>47598</v>
      </c>
      <c r="AD411" s="12" t="s">
        <v>124</v>
      </c>
      <c r="AE411" s="42"/>
      <c r="AF411" s="42"/>
    </row>
    <row r="412" spans="1:32" ht="23.85" customHeight="1" x14ac:dyDescent="0.25">
      <c r="A412" s="44">
        <v>135</v>
      </c>
      <c r="B412" s="42" t="s">
        <v>28</v>
      </c>
      <c r="C412" s="42" t="s">
        <v>619</v>
      </c>
      <c r="D412" s="42">
        <v>103662</v>
      </c>
      <c r="E412" s="42" t="s">
        <v>911</v>
      </c>
      <c r="F412" s="42" t="s">
        <v>405</v>
      </c>
      <c r="G412" s="42" t="s">
        <v>90</v>
      </c>
      <c r="H412" s="45" t="s">
        <v>33</v>
      </c>
      <c r="I412" s="48" t="s">
        <v>912</v>
      </c>
      <c r="J412" s="42" t="s">
        <v>71</v>
      </c>
      <c r="K412" s="42"/>
      <c r="L412" s="52">
        <v>43721</v>
      </c>
      <c r="M412" s="52">
        <v>49565</v>
      </c>
      <c r="N412" s="42" t="s">
        <v>92</v>
      </c>
      <c r="O412" s="11" t="s">
        <v>624</v>
      </c>
      <c r="P412" s="11" t="s">
        <v>156</v>
      </c>
      <c r="Q412" s="11" t="s">
        <v>913</v>
      </c>
      <c r="R412" s="11">
        <v>0.5</v>
      </c>
      <c r="S412" s="11"/>
      <c r="T412" s="12" t="s">
        <v>703</v>
      </c>
      <c r="U412" s="12">
        <v>46870</v>
      </c>
      <c r="V412" s="4" t="s">
        <v>124</v>
      </c>
      <c r="W412" s="11" t="s">
        <v>628</v>
      </c>
      <c r="X412" s="11" t="s">
        <v>409</v>
      </c>
      <c r="Y412" s="11" t="s">
        <v>896</v>
      </c>
      <c r="Z412" s="11">
        <v>0.2</v>
      </c>
      <c r="AA412" s="11"/>
      <c r="AB412" s="12" t="s">
        <v>634</v>
      </c>
      <c r="AC412" s="12">
        <v>47598</v>
      </c>
      <c r="AD412" s="12" t="s">
        <v>124</v>
      </c>
      <c r="AE412" s="42"/>
      <c r="AF412" s="43" t="s">
        <v>45</v>
      </c>
    </row>
    <row r="413" spans="1:32" ht="25.5" x14ac:dyDescent="0.25">
      <c r="A413" s="44"/>
      <c r="B413" s="42"/>
      <c r="C413" s="42"/>
      <c r="D413" s="42"/>
      <c r="E413" s="42"/>
      <c r="F413" s="42"/>
      <c r="G413" s="42"/>
      <c r="H413" s="42"/>
      <c r="I413" s="48"/>
      <c r="J413" s="42"/>
      <c r="K413" s="42"/>
      <c r="L413" s="42"/>
      <c r="M413" s="42"/>
      <c r="N413" s="42"/>
      <c r="O413" s="11" t="s">
        <v>77</v>
      </c>
      <c r="P413" s="11" t="s">
        <v>77</v>
      </c>
      <c r="Q413" s="11" t="s">
        <v>77</v>
      </c>
      <c r="R413" s="11" t="s">
        <v>77</v>
      </c>
      <c r="S413" s="11"/>
      <c r="T413" s="12" t="s">
        <v>77</v>
      </c>
      <c r="U413" s="12" t="s">
        <v>77</v>
      </c>
      <c r="V413" s="4"/>
      <c r="W413" s="11" t="s">
        <v>628</v>
      </c>
      <c r="X413" s="11" t="s">
        <v>409</v>
      </c>
      <c r="Y413" s="11" t="s">
        <v>899</v>
      </c>
      <c r="Z413" s="11">
        <v>0.2</v>
      </c>
      <c r="AA413" s="11"/>
      <c r="AB413" s="12" t="s">
        <v>900</v>
      </c>
      <c r="AC413" s="12">
        <v>47587</v>
      </c>
      <c r="AD413" s="12" t="s">
        <v>124</v>
      </c>
      <c r="AE413" s="42"/>
      <c r="AF413" s="42"/>
    </row>
    <row r="414" spans="1:32" x14ac:dyDescent="0.25">
      <c r="A414" s="44"/>
      <c r="B414" s="42"/>
      <c r="C414" s="42"/>
      <c r="D414" s="42"/>
      <c r="E414" s="42"/>
      <c r="F414" s="42"/>
      <c r="G414" s="42"/>
      <c r="H414" s="46"/>
      <c r="I414" s="48"/>
      <c r="J414" s="42"/>
      <c r="K414" s="42"/>
      <c r="L414" s="42"/>
      <c r="M414" s="42"/>
      <c r="N414" s="42"/>
      <c r="O414" s="11" t="s">
        <v>635</v>
      </c>
      <c r="P414" s="11" t="s">
        <v>156</v>
      </c>
      <c r="Q414" s="11" t="s">
        <v>914</v>
      </c>
      <c r="R414" s="11">
        <v>0.5</v>
      </c>
      <c r="S414" s="11"/>
      <c r="T414" s="12" t="s">
        <v>634</v>
      </c>
      <c r="U414" s="12">
        <v>46868</v>
      </c>
      <c r="V414" s="4" t="s">
        <v>124</v>
      </c>
      <c r="W414" s="11" t="s">
        <v>638</v>
      </c>
      <c r="X414" s="11" t="s">
        <v>409</v>
      </c>
      <c r="Y414" s="11" t="s">
        <v>902</v>
      </c>
      <c r="Z414" s="11">
        <v>0.2</v>
      </c>
      <c r="AA414" s="11"/>
      <c r="AB414" s="12" t="s">
        <v>634</v>
      </c>
      <c r="AC414" s="12">
        <v>47598</v>
      </c>
      <c r="AD414" s="12" t="s">
        <v>124</v>
      </c>
      <c r="AE414" s="42"/>
      <c r="AF414" s="42"/>
    </row>
    <row r="415" spans="1:32" ht="23.85" customHeight="1" x14ac:dyDescent="0.25">
      <c r="A415" s="44">
        <v>136</v>
      </c>
      <c r="B415" s="42" t="s">
        <v>28</v>
      </c>
      <c r="C415" s="42" t="s">
        <v>619</v>
      </c>
      <c r="D415" s="42">
        <v>103662</v>
      </c>
      <c r="E415" s="42" t="s">
        <v>915</v>
      </c>
      <c r="F415" s="42" t="s">
        <v>405</v>
      </c>
      <c r="G415" s="42" t="s">
        <v>90</v>
      </c>
      <c r="H415" s="42" t="s">
        <v>69</v>
      </c>
      <c r="I415" s="48" t="s">
        <v>916</v>
      </c>
      <c r="J415" s="42" t="s">
        <v>71</v>
      </c>
      <c r="K415" s="42"/>
      <c r="L415" s="42" t="s">
        <v>844</v>
      </c>
      <c r="M415" s="52">
        <v>47074</v>
      </c>
      <c r="N415" s="42" t="s">
        <v>92</v>
      </c>
      <c r="O415" s="11" t="s">
        <v>624</v>
      </c>
      <c r="P415" s="11" t="s">
        <v>93</v>
      </c>
      <c r="Q415" s="11" t="s">
        <v>917</v>
      </c>
      <c r="R415" s="11">
        <v>0.5</v>
      </c>
      <c r="S415" s="11"/>
      <c r="T415" s="12" t="s">
        <v>701</v>
      </c>
      <c r="U415" s="12">
        <v>46869</v>
      </c>
      <c r="V415" s="4" t="s">
        <v>124</v>
      </c>
      <c r="W415" s="11" t="s">
        <v>628</v>
      </c>
      <c r="X415" s="11" t="s">
        <v>409</v>
      </c>
      <c r="Y415" s="11" t="s">
        <v>896</v>
      </c>
      <c r="Z415" s="11">
        <v>0.2</v>
      </c>
      <c r="AA415" s="11"/>
      <c r="AB415" s="12" t="s">
        <v>634</v>
      </c>
      <c r="AC415" s="12">
        <v>47598</v>
      </c>
      <c r="AD415" s="12" t="s">
        <v>124</v>
      </c>
      <c r="AE415" s="42"/>
      <c r="AF415" s="43" t="s">
        <v>45</v>
      </c>
    </row>
    <row r="416" spans="1:32" ht="25.5" x14ac:dyDescent="0.25">
      <c r="A416" s="44"/>
      <c r="B416" s="42"/>
      <c r="C416" s="42"/>
      <c r="D416" s="42"/>
      <c r="E416" s="42"/>
      <c r="F416" s="42"/>
      <c r="G416" s="42"/>
      <c r="H416" s="42"/>
      <c r="I416" s="48"/>
      <c r="J416" s="42"/>
      <c r="K416" s="42"/>
      <c r="L416" s="42"/>
      <c r="M416" s="42"/>
      <c r="N416" s="42"/>
      <c r="O416" s="11" t="s">
        <v>77</v>
      </c>
      <c r="P416" s="11" t="s">
        <v>77</v>
      </c>
      <c r="Q416" s="11" t="s">
        <v>77</v>
      </c>
      <c r="R416" s="11" t="s">
        <v>77</v>
      </c>
      <c r="S416" s="11"/>
      <c r="T416" s="12" t="s">
        <v>77</v>
      </c>
      <c r="U416" s="12" t="s">
        <v>77</v>
      </c>
      <c r="V416" s="4"/>
      <c r="W416" s="11" t="s">
        <v>628</v>
      </c>
      <c r="X416" s="11" t="s">
        <v>409</v>
      </c>
      <c r="Y416" s="11" t="s">
        <v>899</v>
      </c>
      <c r="Z416" s="11">
        <v>0.2</v>
      </c>
      <c r="AA416" s="11"/>
      <c r="AB416" s="12" t="s">
        <v>900</v>
      </c>
      <c r="AC416" s="12">
        <v>47587</v>
      </c>
      <c r="AD416" s="12" t="s">
        <v>124</v>
      </c>
      <c r="AE416" s="42"/>
      <c r="AF416" s="42"/>
    </row>
    <row r="417" spans="1:32" x14ac:dyDescent="0.25">
      <c r="A417" s="44"/>
      <c r="B417" s="42"/>
      <c r="C417" s="42"/>
      <c r="D417" s="42"/>
      <c r="E417" s="42"/>
      <c r="F417" s="42"/>
      <c r="G417" s="42"/>
      <c r="H417" s="42"/>
      <c r="I417" s="48"/>
      <c r="J417" s="42"/>
      <c r="K417" s="42"/>
      <c r="L417" s="42"/>
      <c r="M417" s="42"/>
      <c r="N417" s="42"/>
      <c r="O417" s="11" t="s">
        <v>635</v>
      </c>
      <c r="P417" s="11" t="s">
        <v>93</v>
      </c>
      <c r="Q417" s="11" t="s">
        <v>918</v>
      </c>
      <c r="R417" s="11">
        <v>0.5</v>
      </c>
      <c r="S417" s="11"/>
      <c r="T417" s="12" t="s">
        <v>701</v>
      </c>
      <c r="U417" s="12">
        <v>46869</v>
      </c>
      <c r="V417" s="4" t="s">
        <v>124</v>
      </c>
      <c r="W417" s="11" t="s">
        <v>638</v>
      </c>
      <c r="X417" s="11" t="s">
        <v>409</v>
      </c>
      <c r="Y417" s="11" t="s">
        <v>902</v>
      </c>
      <c r="Z417" s="11">
        <v>0.2</v>
      </c>
      <c r="AA417" s="11"/>
      <c r="AB417" s="12" t="s">
        <v>634</v>
      </c>
      <c r="AC417" s="12">
        <v>47598</v>
      </c>
      <c r="AD417" s="12" t="s">
        <v>124</v>
      </c>
      <c r="AE417" s="42"/>
      <c r="AF417" s="42"/>
    </row>
    <row r="418" spans="1:32" ht="23.85" customHeight="1" x14ac:dyDescent="0.25">
      <c r="A418" s="44">
        <v>137</v>
      </c>
      <c r="B418" s="42" t="s">
        <v>28</v>
      </c>
      <c r="C418" s="42" t="s">
        <v>619</v>
      </c>
      <c r="D418" s="42">
        <v>103662</v>
      </c>
      <c r="E418" s="42" t="s">
        <v>919</v>
      </c>
      <c r="F418" s="42" t="s">
        <v>405</v>
      </c>
      <c r="G418" s="42" t="s">
        <v>90</v>
      </c>
      <c r="H418" s="42" t="s">
        <v>33</v>
      </c>
      <c r="I418" s="48" t="s">
        <v>920</v>
      </c>
      <c r="J418" s="42" t="s">
        <v>35</v>
      </c>
      <c r="K418" s="42"/>
      <c r="L418" s="42" t="s">
        <v>265</v>
      </c>
      <c r="M418" s="52">
        <v>49668</v>
      </c>
      <c r="N418" s="42" t="s">
        <v>92</v>
      </c>
      <c r="O418" s="11" t="s">
        <v>624</v>
      </c>
      <c r="P418" s="11" t="s">
        <v>93</v>
      </c>
      <c r="Q418" s="11" t="s">
        <v>921</v>
      </c>
      <c r="R418" s="11">
        <v>0.5</v>
      </c>
      <c r="S418" s="11"/>
      <c r="T418" s="12" t="s">
        <v>703</v>
      </c>
      <c r="U418" s="12">
        <v>46870</v>
      </c>
      <c r="V418" s="4" t="s">
        <v>124</v>
      </c>
      <c r="W418" s="11" t="s">
        <v>628</v>
      </c>
      <c r="X418" s="11" t="s">
        <v>409</v>
      </c>
      <c r="Y418" s="11" t="s">
        <v>896</v>
      </c>
      <c r="Z418" s="11">
        <v>0.2</v>
      </c>
      <c r="AA418" s="11"/>
      <c r="AB418" s="12" t="s">
        <v>634</v>
      </c>
      <c r="AC418" s="12">
        <v>47598</v>
      </c>
      <c r="AD418" s="12" t="s">
        <v>124</v>
      </c>
      <c r="AE418" s="42"/>
      <c r="AF418" s="43" t="s">
        <v>45</v>
      </c>
    </row>
    <row r="419" spans="1:32" ht="25.5" x14ac:dyDescent="0.25">
      <c r="A419" s="44"/>
      <c r="B419" s="42"/>
      <c r="C419" s="42"/>
      <c r="D419" s="42"/>
      <c r="E419" s="42"/>
      <c r="F419" s="42"/>
      <c r="G419" s="42"/>
      <c r="H419" s="42"/>
      <c r="I419" s="48"/>
      <c r="J419" s="42"/>
      <c r="K419" s="42"/>
      <c r="L419" s="42"/>
      <c r="M419" s="42"/>
      <c r="N419" s="42"/>
      <c r="O419" s="11" t="s">
        <v>77</v>
      </c>
      <c r="P419" s="11" t="s">
        <v>77</v>
      </c>
      <c r="Q419" s="11" t="s">
        <v>77</v>
      </c>
      <c r="R419" s="11" t="s">
        <v>77</v>
      </c>
      <c r="S419" s="11"/>
      <c r="T419" s="12" t="s">
        <v>77</v>
      </c>
      <c r="U419" s="12" t="s">
        <v>77</v>
      </c>
      <c r="V419" s="4"/>
      <c r="W419" s="11" t="s">
        <v>628</v>
      </c>
      <c r="X419" s="11" t="s">
        <v>409</v>
      </c>
      <c r="Y419" s="11" t="s">
        <v>899</v>
      </c>
      <c r="Z419" s="11">
        <v>0.2</v>
      </c>
      <c r="AA419" s="11"/>
      <c r="AB419" s="12" t="s">
        <v>900</v>
      </c>
      <c r="AC419" s="12">
        <v>47587</v>
      </c>
      <c r="AD419" s="12" t="s">
        <v>124</v>
      </c>
      <c r="AE419" s="42"/>
      <c r="AF419" s="42"/>
    </row>
    <row r="420" spans="1:32" x14ac:dyDescent="0.25">
      <c r="A420" s="44"/>
      <c r="B420" s="42"/>
      <c r="C420" s="42"/>
      <c r="D420" s="42"/>
      <c r="E420" s="42"/>
      <c r="F420" s="42"/>
      <c r="G420" s="42"/>
      <c r="H420" s="42"/>
      <c r="I420" s="48"/>
      <c r="J420" s="42"/>
      <c r="K420" s="42"/>
      <c r="L420" s="42"/>
      <c r="M420" s="42"/>
      <c r="N420" s="42"/>
      <c r="O420" s="11" t="s">
        <v>635</v>
      </c>
      <c r="P420" s="11" t="s">
        <v>93</v>
      </c>
      <c r="Q420" s="11" t="s">
        <v>922</v>
      </c>
      <c r="R420" s="11">
        <v>0.5</v>
      </c>
      <c r="S420" s="11"/>
      <c r="T420" s="12" t="s">
        <v>701</v>
      </c>
      <c r="U420" s="12">
        <v>46869</v>
      </c>
      <c r="V420" s="4" t="s">
        <v>124</v>
      </c>
      <c r="W420" s="11" t="s">
        <v>638</v>
      </c>
      <c r="X420" s="11" t="s">
        <v>409</v>
      </c>
      <c r="Y420" s="11" t="s">
        <v>902</v>
      </c>
      <c r="Z420" s="11">
        <v>0.2</v>
      </c>
      <c r="AA420" s="11"/>
      <c r="AB420" s="12" t="s">
        <v>634</v>
      </c>
      <c r="AC420" s="12">
        <v>47598</v>
      </c>
      <c r="AD420" s="12" t="s">
        <v>124</v>
      </c>
      <c r="AE420" s="42"/>
      <c r="AF420" s="42"/>
    </row>
    <row r="421" spans="1:32" ht="23.85" customHeight="1" x14ac:dyDescent="0.25">
      <c r="A421" s="44">
        <v>138</v>
      </c>
      <c r="B421" s="42" t="s">
        <v>28</v>
      </c>
      <c r="C421" s="42" t="s">
        <v>619</v>
      </c>
      <c r="D421" s="42">
        <v>103662</v>
      </c>
      <c r="E421" s="42" t="s">
        <v>923</v>
      </c>
      <c r="F421" s="42" t="s">
        <v>405</v>
      </c>
      <c r="G421" s="42" t="s">
        <v>90</v>
      </c>
      <c r="H421" s="42" t="s">
        <v>69</v>
      </c>
      <c r="I421" s="48" t="s">
        <v>924</v>
      </c>
      <c r="J421" s="42" t="s">
        <v>71</v>
      </c>
      <c r="K421" s="42"/>
      <c r="L421" s="42" t="s">
        <v>844</v>
      </c>
      <c r="M421" s="52">
        <v>47074</v>
      </c>
      <c r="N421" s="42" t="s">
        <v>623</v>
      </c>
      <c r="O421" s="11" t="s">
        <v>624</v>
      </c>
      <c r="P421" s="11" t="s">
        <v>163</v>
      </c>
      <c r="Q421" s="11" t="s">
        <v>925</v>
      </c>
      <c r="R421" s="11">
        <v>0.5</v>
      </c>
      <c r="S421" s="11"/>
      <c r="T421" s="12" t="s">
        <v>634</v>
      </c>
      <c r="U421" s="12">
        <v>46868</v>
      </c>
      <c r="V421" s="4" t="s">
        <v>124</v>
      </c>
      <c r="W421" s="11" t="s">
        <v>628</v>
      </c>
      <c r="X421" s="11" t="s">
        <v>409</v>
      </c>
      <c r="Y421" s="11" t="s">
        <v>896</v>
      </c>
      <c r="Z421" s="11">
        <v>0.2</v>
      </c>
      <c r="AA421" s="11"/>
      <c r="AB421" s="12" t="s">
        <v>634</v>
      </c>
      <c r="AC421" s="12">
        <v>47598</v>
      </c>
      <c r="AD421" s="12" t="s">
        <v>124</v>
      </c>
      <c r="AE421" s="42"/>
      <c r="AF421" s="43" t="s">
        <v>45</v>
      </c>
    </row>
    <row r="422" spans="1:32" ht="25.5" x14ac:dyDescent="0.25">
      <c r="A422" s="44"/>
      <c r="B422" s="42"/>
      <c r="C422" s="42"/>
      <c r="D422" s="42"/>
      <c r="E422" s="42"/>
      <c r="F422" s="42"/>
      <c r="G422" s="42"/>
      <c r="H422" s="42"/>
      <c r="I422" s="48"/>
      <c r="J422" s="42"/>
      <c r="K422" s="42"/>
      <c r="L422" s="42"/>
      <c r="M422" s="42"/>
      <c r="N422" s="42"/>
      <c r="O422" s="11" t="s">
        <v>77</v>
      </c>
      <c r="P422" s="11" t="s">
        <v>77</v>
      </c>
      <c r="Q422" s="11" t="s">
        <v>77</v>
      </c>
      <c r="R422" s="11" t="s">
        <v>77</v>
      </c>
      <c r="S422" s="11"/>
      <c r="T422" s="12" t="s">
        <v>77</v>
      </c>
      <c r="U422" s="12" t="s">
        <v>77</v>
      </c>
      <c r="V422" s="4"/>
      <c r="W422" s="11" t="s">
        <v>628</v>
      </c>
      <c r="X422" s="11" t="s">
        <v>409</v>
      </c>
      <c r="Y422" s="11" t="s">
        <v>899</v>
      </c>
      <c r="Z422" s="11">
        <v>0.2</v>
      </c>
      <c r="AA422" s="11"/>
      <c r="AB422" s="12" t="s">
        <v>900</v>
      </c>
      <c r="AC422" s="12">
        <v>47587</v>
      </c>
      <c r="AD422" s="12" t="s">
        <v>124</v>
      </c>
      <c r="AE422" s="42"/>
      <c r="AF422" s="42"/>
    </row>
    <row r="423" spans="1:32" x14ac:dyDescent="0.25">
      <c r="A423" s="44"/>
      <c r="B423" s="42"/>
      <c r="C423" s="42"/>
      <c r="D423" s="42"/>
      <c r="E423" s="42"/>
      <c r="F423" s="42"/>
      <c r="G423" s="42"/>
      <c r="H423" s="42"/>
      <c r="I423" s="48"/>
      <c r="J423" s="42"/>
      <c r="K423" s="42"/>
      <c r="L423" s="42"/>
      <c r="M423" s="42"/>
      <c r="N423" s="42"/>
      <c r="O423" s="11" t="s">
        <v>635</v>
      </c>
      <c r="P423" s="11" t="s">
        <v>163</v>
      </c>
      <c r="Q423" s="11" t="s">
        <v>926</v>
      </c>
      <c r="R423" s="11">
        <v>0.5</v>
      </c>
      <c r="S423" s="11"/>
      <c r="T423" s="12" t="s">
        <v>634</v>
      </c>
      <c r="U423" s="12">
        <v>46868</v>
      </c>
      <c r="V423" s="4" t="s">
        <v>124</v>
      </c>
      <c r="W423" s="11" t="s">
        <v>638</v>
      </c>
      <c r="X423" s="11" t="s">
        <v>409</v>
      </c>
      <c r="Y423" s="11" t="s">
        <v>902</v>
      </c>
      <c r="Z423" s="11">
        <v>0.2</v>
      </c>
      <c r="AA423" s="11"/>
      <c r="AB423" s="12" t="s">
        <v>634</v>
      </c>
      <c r="AC423" s="12">
        <v>47598</v>
      </c>
      <c r="AD423" s="12" t="s">
        <v>124</v>
      </c>
      <c r="AE423" s="42"/>
      <c r="AF423" s="42"/>
    </row>
    <row r="424" spans="1:32" ht="23.85" customHeight="1" x14ac:dyDescent="0.25">
      <c r="A424" s="44">
        <v>139</v>
      </c>
      <c r="B424" s="42" t="s">
        <v>28</v>
      </c>
      <c r="C424" s="42" t="s">
        <v>619</v>
      </c>
      <c r="D424" s="42">
        <v>103662</v>
      </c>
      <c r="E424" s="42" t="s">
        <v>927</v>
      </c>
      <c r="F424" s="42" t="s">
        <v>405</v>
      </c>
      <c r="G424" s="42" t="s">
        <v>90</v>
      </c>
      <c r="H424" s="42" t="s">
        <v>69</v>
      </c>
      <c r="I424" s="48" t="s">
        <v>928</v>
      </c>
      <c r="J424" s="42" t="s">
        <v>71</v>
      </c>
      <c r="K424" s="42"/>
      <c r="L424" s="42" t="s">
        <v>123</v>
      </c>
      <c r="M424" s="54">
        <v>46611</v>
      </c>
      <c r="N424" s="42" t="s">
        <v>124</v>
      </c>
      <c r="O424" s="11" t="s">
        <v>624</v>
      </c>
      <c r="P424" s="11" t="s">
        <v>163</v>
      </c>
      <c r="Q424" s="11" t="s">
        <v>929</v>
      </c>
      <c r="R424" s="11">
        <v>0.5</v>
      </c>
      <c r="S424" s="11"/>
      <c r="T424" s="12" t="s">
        <v>634</v>
      </c>
      <c r="U424" s="12">
        <v>46868</v>
      </c>
      <c r="V424" s="4" t="s">
        <v>124</v>
      </c>
      <c r="W424" s="11" t="s">
        <v>628</v>
      </c>
      <c r="X424" s="11" t="s">
        <v>409</v>
      </c>
      <c r="Y424" s="11" t="s">
        <v>896</v>
      </c>
      <c r="Z424" s="11">
        <v>0.2</v>
      </c>
      <c r="AA424" s="11"/>
      <c r="AB424" s="12" t="s">
        <v>634</v>
      </c>
      <c r="AC424" s="12">
        <v>47598</v>
      </c>
      <c r="AD424" s="12" t="s">
        <v>124</v>
      </c>
      <c r="AE424" s="42"/>
      <c r="AF424" s="43" t="s">
        <v>45</v>
      </c>
    </row>
    <row r="425" spans="1:32" ht="25.5" x14ac:dyDescent="0.25">
      <c r="A425" s="44"/>
      <c r="B425" s="42"/>
      <c r="C425" s="42"/>
      <c r="D425" s="42"/>
      <c r="E425" s="42"/>
      <c r="F425" s="42"/>
      <c r="G425" s="42"/>
      <c r="H425" s="42"/>
      <c r="I425" s="48"/>
      <c r="J425" s="42"/>
      <c r="K425" s="42"/>
      <c r="L425" s="42"/>
      <c r="M425" s="42"/>
      <c r="N425" s="42"/>
      <c r="O425" s="11" t="s">
        <v>77</v>
      </c>
      <c r="P425" s="11" t="s">
        <v>77</v>
      </c>
      <c r="Q425" s="11" t="s">
        <v>77</v>
      </c>
      <c r="R425" s="11" t="s">
        <v>77</v>
      </c>
      <c r="S425" s="11"/>
      <c r="T425" s="12" t="s">
        <v>77</v>
      </c>
      <c r="U425" s="12" t="s">
        <v>77</v>
      </c>
      <c r="V425" s="4"/>
      <c r="W425" s="11" t="s">
        <v>628</v>
      </c>
      <c r="X425" s="11" t="s">
        <v>409</v>
      </c>
      <c r="Y425" s="11" t="s">
        <v>899</v>
      </c>
      <c r="Z425" s="11">
        <v>0.2</v>
      </c>
      <c r="AA425" s="11"/>
      <c r="AB425" s="12" t="s">
        <v>900</v>
      </c>
      <c r="AC425" s="12">
        <v>47587</v>
      </c>
      <c r="AD425" s="12" t="s">
        <v>124</v>
      </c>
      <c r="AE425" s="42"/>
      <c r="AF425" s="42"/>
    </row>
    <row r="426" spans="1:32" x14ac:dyDescent="0.25">
      <c r="A426" s="44"/>
      <c r="B426" s="42"/>
      <c r="C426" s="42"/>
      <c r="D426" s="42"/>
      <c r="E426" s="42"/>
      <c r="F426" s="42"/>
      <c r="G426" s="42"/>
      <c r="H426" s="42"/>
      <c r="I426" s="48"/>
      <c r="J426" s="42"/>
      <c r="K426" s="42"/>
      <c r="L426" s="42"/>
      <c r="M426" s="42"/>
      <c r="N426" s="42"/>
      <c r="O426" s="11" t="s">
        <v>635</v>
      </c>
      <c r="P426" s="11" t="s">
        <v>163</v>
      </c>
      <c r="Q426" s="11" t="s">
        <v>930</v>
      </c>
      <c r="R426" s="11">
        <v>0.5</v>
      </c>
      <c r="S426" s="11"/>
      <c r="T426" s="12" t="s">
        <v>701</v>
      </c>
      <c r="U426" s="12">
        <v>46869</v>
      </c>
      <c r="V426" s="4" t="s">
        <v>124</v>
      </c>
      <c r="W426" s="11" t="s">
        <v>638</v>
      </c>
      <c r="X426" s="11" t="s">
        <v>409</v>
      </c>
      <c r="Y426" s="11" t="s">
        <v>902</v>
      </c>
      <c r="Z426" s="11">
        <v>0.2</v>
      </c>
      <c r="AA426" s="11"/>
      <c r="AB426" s="12" t="s">
        <v>634</v>
      </c>
      <c r="AC426" s="12">
        <v>47598</v>
      </c>
      <c r="AD426" s="12" t="s">
        <v>124</v>
      </c>
      <c r="AE426" s="42"/>
      <c r="AF426" s="42"/>
    </row>
    <row r="427" spans="1:32" ht="23.85" customHeight="1" x14ac:dyDescent="0.25">
      <c r="A427" s="44">
        <v>140</v>
      </c>
      <c r="B427" s="42" t="s">
        <v>28</v>
      </c>
      <c r="C427" s="42" t="s">
        <v>619</v>
      </c>
      <c r="D427" s="42">
        <v>103662</v>
      </c>
      <c r="E427" s="42" t="s">
        <v>931</v>
      </c>
      <c r="F427" s="42" t="s">
        <v>405</v>
      </c>
      <c r="G427" s="42" t="s">
        <v>32</v>
      </c>
      <c r="H427" s="42" t="s">
        <v>33</v>
      </c>
      <c r="I427" s="48" t="s">
        <v>932</v>
      </c>
      <c r="J427" s="42" t="s">
        <v>35</v>
      </c>
      <c r="K427" s="42"/>
      <c r="L427" s="42" t="s">
        <v>265</v>
      </c>
      <c r="M427" s="52">
        <v>49668</v>
      </c>
      <c r="N427" s="42" t="s">
        <v>92</v>
      </c>
      <c r="O427" s="11" t="s">
        <v>722</v>
      </c>
      <c r="P427" s="11" t="s">
        <v>156</v>
      </c>
      <c r="Q427" s="11"/>
      <c r="R427" s="11">
        <v>0</v>
      </c>
      <c r="S427" s="11"/>
      <c r="T427" s="12">
        <v>0</v>
      </c>
      <c r="U427" s="12">
        <v>0</v>
      </c>
      <c r="V427" s="4" t="s">
        <v>77</v>
      </c>
      <c r="W427" s="11" t="s">
        <v>628</v>
      </c>
      <c r="X427" s="11" t="s">
        <v>409</v>
      </c>
      <c r="Y427" s="11" t="s">
        <v>896</v>
      </c>
      <c r="Z427" s="11">
        <v>0.2</v>
      </c>
      <c r="AA427" s="11"/>
      <c r="AB427" s="12" t="s">
        <v>634</v>
      </c>
      <c r="AC427" s="12">
        <v>47598</v>
      </c>
      <c r="AD427" s="12" t="s">
        <v>124</v>
      </c>
      <c r="AE427" s="42"/>
      <c r="AF427" s="43" t="s">
        <v>45</v>
      </c>
    </row>
    <row r="428" spans="1:32" ht="25.5" x14ac:dyDescent="0.25">
      <c r="A428" s="44"/>
      <c r="B428" s="42"/>
      <c r="C428" s="42"/>
      <c r="D428" s="42"/>
      <c r="E428" s="42"/>
      <c r="F428" s="42"/>
      <c r="G428" s="42"/>
      <c r="H428" s="42"/>
      <c r="I428" s="48"/>
      <c r="J428" s="42"/>
      <c r="K428" s="42"/>
      <c r="L428" s="42"/>
      <c r="M428" s="42"/>
      <c r="N428" s="42"/>
      <c r="O428" s="11" t="s">
        <v>722</v>
      </c>
      <c r="P428" s="11" t="s">
        <v>156</v>
      </c>
      <c r="Q428" s="11"/>
      <c r="R428" s="11">
        <v>0</v>
      </c>
      <c r="S428" s="11"/>
      <c r="T428" s="12">
        <v>0</v>
      </c>
      <c r="U428" s="12">
        <v>0</v>
      </c>
      <c r="V428" s="4" t="s">
        <v>77</v>
      </c>
      <c r="W428" s="11" t="s">
        <v>628</v>
      </c>
      <c r="X428" s="11" t="s">
        <v>409</v>
      </c>
      <c r="Y428" s="11" t="s">
        <v>899</v>
      </c>
      <c r="Z428" s="11">
        <v>0.2</v>
      </c>
      <c r="AA428" s="11"/>
      <c r="AB428" s="12" t="s">
        <v>900</v>
      </c>
      <c r="AC428" s="12">
        <v>47587</v>
      </c>
      <c r="AD428" s="12" t="s">
        <v>124</v>
      </c>
      <c r="AE428" s="42"/>
      <c r="AF428" s="42"/>
    </row>
    <row r="429" spans="1:32" ht="25.5" x14ac:dyDescent="0.25">
      <c r="A429" s="44"/>
      <c r="B429" s="42"/>
      <c r="C429" s="42"/>
      <c r="D429" s="42"/>
      <c r="E429" s="42"/>
      <c r="F429" s="42"/>
      <c r="G429" s="42"/>
      <c r="H429" s="42"/>
      <c r="I429" s="48"/>
      <c r="J429" s="42"/>
      <c r="K429" s="42"/>
      <c r="L429" s="42"/>
      <c r="M429" s="42"/>
      <c r="N429" s="42"/>
      <c r="O429" s="11" t="s">
        <v>722</v>
      </c>
      <c r="P429" s="11" t="s">
        <v>156</v>
      </c>
      <c r="Q429" s="11"/>
      <c r="R429" s="11">
        <v>0</v>
      </c>
      <c r="S429" s="11"/>
      <c r="T429" s="12">
        <v>0</v>
      </c>
      <c r="U429" s="12">
        <v>0</v>
      </c>
      <c r="V429" s="4" t="s">
        <v>77</v>
      </c>
      <c r="W429" s="11" t="s">
        <v>638</v>
      </c>
      <c r="X429" s="11" t="s">
        <v>409</v>
      </c>
      <c r="Y429" s="11" t="s">
        <v>902</v>
      </c>
      <c r="Z429" s="11">
        <v>0.2</v>
      </c>
      <c r="AA429" s="11"/>
      <c r="AB429" s="12" t="s">
        <v>634</v>
      </c>
      <c r="AC429" s="12">
        <v>47598</v>
      </c>
      <c r="AD429" s="12" t="s">
        <v>124</v>
      </c>
      <c r="AE429" s="42"/>
      <c r="AF429" s="42"/>
    </row>
    <row r="430" spans="1:32" ht="23.85" customHeight="1" x14ac:dyDescent="0.25">
      <c r="A430" s="44">
        <v>141</v>
      </c>
      <c r="B430" s="42" t="s">
        <v>28</v>
      </c>
      <c r="C430" s="42" t="s">
        <v>619</v>
      </c>
      <c r="D430" s="42">
        <v>103662</v>
      </c>
      <c r="E430" s="42" t="s">
        <v>933</v>
      </c>
      <c r="F430" s="42" t="s">
        <v>405</v>
      </c>
      <c r="G430" s="42" t="s">
        <v>32</v>
      </c>
      <c r="H430" s="42" t="s">
        <v>69</v>
      </c>
      <c r="I430" s="48" t="s">
        <v>934</v>
      </c>
      <c r="J430" s="42" t="s">
        <v>71</v>
      </c>
      <c r="K430" s="42"/>
      <c r="L430" s="42" t="s">
        <v>844</v>
      </c>
      <c r="M430" s="52">
        <v>47074</v>
      </c>
      <c r="N430" s="42" t="s">
        <v>623</v>
      </c>
      <c r="O430" s="11" t="s">
        <v>624</v>
      </c>
      <c r="P430" s="11" t="s">
        <v>625</v>
      </c>
      <c r="Q430" s="11" t="s">
        <v>935</v>
      </c>
      <c r="R430" s="11">
        <v>0.5</v>
      </c>
      <c r="S430" s="11"/>
      <c r="T430" s="12" t="s">
        <v>634</v>
      </c>
      <c r="U430" s="12">
        <v>46868</v>
      </c>
      <c r="V430" s="4" t="s">
        <v>124</v>
      </c>
      <c r="W430" s="11" t="s">
        <v>628</v>
      </c>
      <c r="X430" s="11" t="s">
        <v>409</v>
      </c>
      <c r="Y430" s="11" t="s">
        <v>896</v>
      </c>
      <c r="Z430" s="11">
        <v>0.2</v>
      </c>
      <c r="AA430" s="11"/>
      <c r="AB430" s="12" t="s">
        <v>634</v>
      </c>
      <c r="AC430" s="12">
        <v>47598</v>
      </c>
      <c r="AD430" s="12" t="s">
        <v>124</v>
      </c>
      <c r="AE430" s="42"/>
      <c r="AF430" s="43" t="s">
        <v>45</v>
      </c>
    </row>
    <row r="431" spans="1:32" ht="25.5" x14ac:dyDescent="0.25">
      <c r="A431" s="44"/>
      <c r="B431" s="42"/>
      <c r="C431" s="42"/>
      <c r="D431" s="42"/>
      <c r="E431" s="42"/>
      <c r="F431" s="42"/>
      <c r="G431" s="42"/>
      <c r="H431" s="42"/>
      <c r="I431" s="48"/>
      <c r="J431" s="42"/>
      <c r="K431" s="42"/>
      <c r="L431" s="42"/>
      <c r="M431" s="42"/>
      <c r="N431" s="42"/>
      <c r="O431" s="11" t="s">
        <v>77</v>
      </c>
      <c r="P431" s="11" t="s">
        <v>77</v>
      </c>
      <c r="Q431" s="11" t="s">
        <v>77</v>
      </c>
      <c r="R431" s="11" t="s">
        <v>77</v>
      </c>
      <c r="S431" s="11"/>
      <c r="T431" s="12" t="s">
        <v>77</v>
      </c>
      <c r="U431" s="12" t="s">
        <v>77</v>
      </c>
      <c r="V431" s="4"/>
      <c r="W431" s="11" t="s">
        <v>628</v>
      </c>
      <c r="X431" s="11" t="s">
        <v>409</v>
      </c>
      <c r="Y431" s="11" t="s">
        <v>899</v>
      </c>
      <c r="Z431" s="11">
        <v>0.2</v>
      </c>
      <c r="AA431" s="11"/>
      <c r="AB431" s="12" t="s">
        <v>900</v>
      </c>
      <c r="AC431" s="12">
        <v>47587</v>
      </c>
      <c r="AD431" s="12" t="s">
        <v>124</v>
      </c>
      <c r="AE431" s="42"/>
      <c r="AF431" s="42"/>
    </row>
    <row r="432" spans="1:32" x14ac:dyDescent="0.25">
      <c r="A432" s="44"/>
      <c r="B432" s="42"/>
      <c r="C432" s="42"/>
      <c r="D432" s="42"/>
      <c r="E432" s="42"/>
      <c r="F432" s="42"/>
      <c r="G432" s="42"/>
      <c r="H432" s="42"/>
      <c r="I432" s="48"/>
      <c r="J432" s="42"/>
      <c r="K432" s="42"/>
      <c r="L432" s="42"/>
      <c r="M432" s="42"/>
      <c r="N432" s="42"/>
      <c r="O432" s="11" t="s">
        <v>635</v>
      </c>
      <c r="P432" s="11" t="s">
        <v>625</v>
      </c>
      <c r="Q432" s="11" t="s">
        <v>936</v>
      </c>
      <c r="R432" s="11">
        <v>0.5</v>
      </c>
      <c r="S432" s="11"/>
      <c r="T432" s="12" t="s">
        <v>703</v>
      </c>
      <c r="U432" s="12">
        <v>46870</v>
      </c>
      <c r="V432" s="4" t="s">
        <v>124</v>
      </c>
      <c r="W432" s="11" t="s">
        <v>638</v>
      </c>
      <c r="X432" s="11" t="s">
        <v>409</v>
      </c>
      <c r="Y432" s="11" t="s">
        <v>902</v>
      </c>
      <c r="Z432" s="11">
        <v>0.2</v>
      </c>
      <c r="AA432" s="11"/>
      <c r="AB432" s="12" t="s">
        <v>634</v>
      </c>
      <c r="AC432" s="12">
        <v>47598</v>
      </c>
      <c r="AD432" s="12" t="s">
        <v>124</v>
      </c>
      <c r="AE432" s="42"/>
      <c r="AF432" s="42"/>
    </row>
    <row r="433" spans="1:32" ht="23.85" customHeight="1" x14ac:dyDescent="0.25">
      <c r="A433" s="44">
        <v>142</v>
      </c>
      <c r="B433" s="42" t="s">
        <v>28</v>
      </c>
      <c r="C433" s="42" t="s">
        <v>619</v>
      </c>
      <c r="D433" s="42">
        <v>103662</v>
      </c>
      <c r="E433" s="42" t="s">
        <v>937</v>
      </c>
      <c r="F433" s="42" t="s">
        <v>405</v>
      </c>
      <c r="G433" s="42" t="s">
        <v>90</v>
      </c>
      <c r="H433" s="42" t="s">
        <v>69</v>
      </c>
      <c r="I433" s="48" t="s">
        <v>938</v>
      </c>
      <c r="J433" s="42" t="s">
        <v>71</v>
      </c>
      <c r="K433" s="42"/>
      <c r="L433" s="42" t="s">
        <v>844</v>
      </c>
      <c r="M433" s="52">
        <v>47074</v>
      </c>
      <c r="N433" s="42" t="s">
        <v>623</v>
      </c>
      <c r="O433" s="11" t="s">
        <v>624</v>
      </c>
      <c r="P433" s="11" t="s">
        <v>156</v>
      </c>
      <c r="Q433" s="11" t="s">
        <v>939</v>
      </c>
      <c r="R433" s="11">
        <v>0.5</v>
      </c>
      <c r="S433" s="11"/>
      <c r="T433" s="12" t="s">
        <v>701</v>
      </c>
      <c r="U433" s="12">
        <v>46869</v>
      </c>
      <c r="V433" s="4" t="s">
        <v>124</v>
      </c>
      <c r="W433" s="11" t="s">
        <v>628</v>
      </c>
      <c r="X433" s="11" t="s">
        <v>409</v>
      </c>
      <c r="Y433" s="11" t="s">
        <v>896</v>
      </c>
      <c r="Z433" s="11">
        <v>0.2</v>
      </c>
      <c r="AA433" s="11"/>
      <c r="AB433" s="12" t="s">
        <v>634</v>
      </c>
      <c r="AC433" s="12">
        <v>47598</v>
      </c>
      <c r="AD433" s="12" t="s">
        <v>124</v>
      </c>
      <c r="AE433" s="42"/>
      <c r="AF433" s="43" t="s">
        <v>45</v>
      </c>
    </row>
    <row r="434" spans="1:32" ht="25.5" x14ac:dyDescent="0.25">
      <c r="A434" s="44"/>
      <c r="B434" s="42"/>
      <c r="C434" s="42"/>
      <c r="D434" s="42"/>
      <c r="E434" s="42"/>
      <c r="F434" s="42"/>
      <c r="G434" s="42"/>
      <c r="H434" s="42"/>
      <c r="I434" s="48"/>
      <c r="J434" s="42"/>
      <c r="K434" s="42"/>
      <c r="L434" s="42"/>
      <c r="M434" s="42"/>
      <c r="N434" s="42"/>
      <c r="O434" s="11" t="s">
        <v>77</v>
      </c>
      <c r="P434" s="11" t="s">
        <v>77</v>
      </c>
      <c r="Q434" s="11" t="s">
        <v>77</v>
      </c>
      <c r="R434" s="11" t="s">
        <v>77</v>
      </c>
      <c r="S434" s="11"/>
      <c r="T434" s="12" t="s">
        <v>77</v>
      </c>
      <c r="U434" s="12" t="s">
        <v>77</v>
      </c>
      <c r="V434" s="4"/>
      <c r="W434" s="11" t="s">
        <v>628</v>
      </c>
      <c r="X434" s="11" t="s">
        <v>409</v>
      </c>
      <c r="Y434" s="11" t="s">
        <v>899</v>
      </c>
      <c r="Z434" s="11">
        <v>0.2</v>
      </c>
      <c r="AA434" s="11"/>
      <c r="AB434" s="12" t="s">
        <v>900</v>
      </c>
      <c r="AC434" s="12">
        <v>47587</v>
      </c>
      <c r="AD434" s="12" t="s">
        <v>124</v>
      </c>
      <c r="AE434" s="42"/>
      <c r="AF434" s="42"/>
    </row>
    <row r="435" spans="1:32" x14ac:dyDescent="0.25">
      <c r="A435" s="44"/>
      <c r="B435" s="42"/>
      <c r="C435" s="42"/>
      <c r="D435" s="42"/>
      <c r="E435" s="42"/>
      <c r="F435" s="42"/>
      <c r="G435" s="42"/>
      <c r="H435" s="42"/>
      <c r="I435" s="48"/>
      <c r="J435" s="42"/>
      <c r="K435" s="42"/>
      <c r="L435" s="42"/>
      <c r="M435" s="42"/>
      <c r="N435" s="42"/>
      <c r="O435" s="11" t="s">
        <v>635</v>
      </c>
      <c r="P435" s="11" t="s">
        <v>156</v>
      </c>
      <c r="Q435" s="11" t="s">
        <v>940</v>
      </c>
      <c r="R435" s="11">
        <v>0.5</v>
      </c>
      <c r="S435" s="11"/>
      <c r="T435" s="12" t="s">
        <v>701</v>
      </c>
      <c r="U435" s="12">
        <v>46869</v>
      </c>
      <c r="V435" s="4" t="s">
        <v>124</v>
      </c>
      <c r="W435" s="11" t="s">
        <v>638</v>
      </c>
      <c r="X435" s="11" t="s">
        <v>409</v>
      </c>
      <c r="Y435" s="11" t="s">
        <v>902</v>
      </c>
      <c r="Z435" s="11">
        <v>0.2</v>
      </c>
      <c r="AA435" s="11"/>
      <c r="AB435" s="12" t="s">
        <v>634</v>
      </c>
      <c r="AC435" s="12">
        <v>47598</v>
      </c>
      <c r="AD435" s="12" t="s">
        <v>124</v>
      </c>
      <c r="AE435" s="42"/>
      <c r="AF435" s="42"/>
    </row>
    <row r="436" spans="1:32" ht="23.85" customHeight="1" x14ac:dyDescent="0.25">
      <c r="A436" s="44">
        <v>143</v>
      </c>
      <c r="B436" s="42" t="s">
        <v>28</v>
      </c>
      <c r="C436" s="42" t="s">
        <v>619</v>
      </c>
      <c r="D436" s="42">
        <v>103662</v>
      </c>
      <c r="E436" s="42" t="s">
        <v>941</v>
      </c>
      <c r="F436" s="42" t="s">
        <v>405</v>
      </c>
      <c r="G436" s="42" t="s">
        <v>90</v>
      </c>
      <c r="H436" s="42" t="s">
        <v>69</v>
      </c>
      <c r="I436" s="48" t="s">
        <v>942</v>
      </c>
      <c r="J436" s="42" t="s">
        <v>71</v>
      </c>
      <c r="K436" s="42"/>
      <c r="L436" s="42" t="s">
        <v>844</v>
      </c>
      <c r="M436" s="52">
        <v>47074</v>
      </c>
      <c r="N436" s="42" t="s">
        <v>623</v>
      </c>
      <c r="O436" s="11" t="s">
        <v>624</v>
      </c>
      <c r="P436" s="11" t="s">
        <v>163</v>
      </c>
      <c r="Q436" s="11" t="s">
        <v>943</v>
      </c>
      <c r="R436" s="11">
        <v>0.5</v>
      </c>
      <c r="S436" s="11"/>
      <c r="T436" s="12" t="s">
        <v>701</v>
      </c>
      <c r="U436" s="12">
        <v>46869</v>
      </c>
      <c r="V436" s="4" t="s">
        <v>124</v>
      </c>
      <c r="W436" s="11" t="s">
        <v>628</v>
      </c>
      <c r="X436" s="11" t="s">
        <v>409</v>
      </c>
      <c r="Y436" s="11" t="s">
        <v>896</v>
      </c>
      <c r="Z436" s="11">
        <v>0.2</v>
      </c>
      <c r="AA436" s="11"/>
      <c r="AB436" s="12" t="s">
        <v>634</v>
      </c>
      <c r="AC436" s="12">
        <v>47598</v>
      </c>
      <c r="AD436" s="12" t="s">
        <v>124</v>
      </c>
      <c r="AE436" s="42"/>
      <c r="AF436" s="43" t="s">
        <v>45</v>
      </c>
    </row>
    <row r="437" spans="1:32" ht="25.5" x14ac:dyDescent="0.25">
      <c r="A437" s="44"/>
      <c r="B437" s="42"/>
      <c r="C437" s="42"/>
      <c r="D437" s="42"/>
      <c r="E437" s="42"/>
      <c r="F437" s="42"/>
      <c r="G437" s="42"/>
      <c r="H437" s="42"/>
      <c r="I437" s="48"/>
      <c r="J437" s="42"/>
      <c r="K437" s="42"/>
      <c r="L437" s="42"/>
      <c r="M437" s="42"/>
      <c r="N437" s="42"/>
      <c r="O437" s="11" t="s">
        <v>77</v>
      </c>
      <c r="P437" s="11" t="s">
        <v>77</v>
      </c>
      <c r="Q437" s="11" t="s">
        <v>77</v>
      </c>
      <c r="R437" s="11" t="s">
        <v>77</v>
      </c>
      <c r="S437" s="11"/>
      <c r="T437" s="12" t="s">
        <v>77</v>
      </c>
      <c r="U437" s="12" t="s">
        <v>77</v>
      </c>
      <c r="V437" s="4"/>
      <c r="W437" s="11" t="s">
        <v>628</v>
      </c>
      <c r="X437" s="11" t="s">
        <v>409</v>
      </c>
      <c r="Y437" s="11" t="s">
        <v>899</v>
      </c>
      <c r="Z437" s="11">
        <v>0.2</v>
      </c>
      <c r="AA437" s="11"/>
      <c r="AB437" s="12" t="s">
        <v>900</v>
      </c>
      <c r="AC437" s="12">
        <v>47587</v>
      </c>
      <c r="AD437" s="12" t="s">
        <v>124</v>
      </c>
      <c r="AE437" s="42"/>
      <c r="AF437" s="42"/>
    </row>
    <row r="438" spans="1:32" x14ac:dyDescent="0.25">
      <c r="A438" s="44"/>
      <c r="B438" s="42"/>
      <c r="C438" s="42"/>
      <c r="D438" s="42"/>
      <c r="E438" s="42"/>
      <c r="F438" s="42"/>
      <c r="G438" s="42"/>
      <c r="H438" s="42"/>
      <c r="I438" s="48"/>
      <c r="J438" s="42"/>
      <c r="K438" s="42"/>
      <c r="L438" s="42"/>
      <c r="M438" s="42"/>
      <c r="N438" s="42"/>
      <c r="O438" s="11" t="s">
        <v>635</v>
      </c>
      <c r="P438" s="11" t="s">
        <v>163</v>
      </c>
      <c r="Q438" s="11" t="s">
        <v>944</v>
      </c>
      <c r="R438" s="11">
        <v>0.5</v>
      </c>
      <c r="S438" s="11"/>
      <c r="T438" s="12" t="s">
        <v>703</v>
      </c>
      <c r="U438" s="12">
        <v>46870</v>
      </c>
      <c r="V438" s="4" t="s">
        <v>124</v>
      </c>
      <c r="W438" s="11" t="s">
        <v>638</v>
      </c>
      <c r="X438" s="11" t="s">
        <v>409</v>
      </c>
      <c r="Y438" s="11" t="s">
        <v>902</v>
      </c>
      <c r="Z438" s="11">
        <v>0.2</v>
      </c>
      <c r="AA438" s="11"/>
      <c r="AB438" s="12" t="s">
        <v>634</v>
      </c>
      <c r="AC438" s="12">
        <v>47598</v>
      </c>
      <c r="AD438" s="12" t="s">
        <v>124</v>
      </c>
      <c r="AE438" s="42"/>
      <c r="AF438" s="42"/>
    </row>
    <row r="439" spans="1:32" ht="35.1" customHeight="1" x14ac:dyDescent="0.25">
      <c r="A439" s="44">
        <v>144</v>
      </c>
      <c r="B439" s="42" t="s">
        <v>28</v>
      </c>
      <c r="C439" s="42" t="s">
        <v>619</v>
      </c>
      <c r="D439" s="42">
        <v>103662</v>
      </c>
      <c r="E439" s="42" t="s">
        <v>945</v>
      </c>
      <c r="F439" s="42" t="s">
        <v>405</v>
      </c>
      <c r="G439" s="42" t="s">
        <v>597</v>
      </c>
      <c r="H439" s="42" t="s">
        <v>33</v>
      </c>
      <c r="I439" s="48">
        <v>40791740</v>
      </c>
      <c r="J439" s="42" t="s">
        <v>35</v>
      </c>
      <c r="K439" s="42"/>
      <c r="L439" s="52">
        <v>43823</v>
      </c>
      <c r="M439" s="52">
        <v>49667</v>
      </c>
      <c r="N439" s="42" t="s">
        <v>92</v>
      </c>
      <c r="O439" s="11" t="s">
        <v>648</v>
      </c>
      <c r="P439" s="11" t="s">
        <v>38</v>
      </c>
      <c r="Q439" s="11" t="s">
        <v>946</v>
      </c>
      <c r="R439" s="11">
        <v>0.2</v>
      </c>
      <c r="S439" s="11"/>
      <c r="T439" s="12">
        <v>44694</v>
      </c>
      <c r="U439" s="12">
        <v>47616</v>
      </c>
      <c r="V439" s="13" t="s">
        <v>947</v>
      </c>
      <c r="W439" s="11" t="s">
        <v>628</v>
      </c>
      <c r="X439" s="11" t="s">
        <v>409</v>
      </c>
      <c r="Y439" s="11" t="s">
        <v>948</v>
      </c>
      <c r="Z439" s="11">
        <v>0.2</v>
      </c>
      <c r="AA439" s="11"/>
      <c r="AB439" s="12">
        <v>44673</v>
      </c>
      <c r="AC439" s="12">
        <v>46134</v>
      </c>
      <c r="AD439" s="12" t="s">
        <v>124</v>
      </c>
      <c r="AE439" s="42"/>
      <c r="AF439" s="43" t="s">
        <v>45</v>
      </c>
    </row>
    <row r="440" spans="1:32" ht="45" x14ac:dyDescent="0.25">
      <c r="A440" s="44"/>
      <c r="B440" s="42"/>
      <c r="C440" s="42"/>
      <c r="D440" s="42"/>
      <c r="E440" s="42"/>
      <c r="F440" s="42"/>
      <c r="G440" s="42"/>
      <c r="H440" s="42"/>
      <c r="I440" s="48"/>
      <c r="J440" s="42"/>
      <c r="K440" s="42"/>
      <c r="L440" s="42"/>
      <c r="M440" s="42"/>
      <c r="N440" s="42"/>
      <c r="O440" s="11" t="s">
        <v>648</v>
      </c>
      <c r="P440" s="11" t="s">
        <v>38</v>
      </c>
      <c r="Q440" s="11" t="s">
        <v>949</v>
      </c>
      <c r="R440" s="11">
        <v>0.2</v>
      </c>
      <c r="S440" s="11"/>
      <c r="T440" s="12">
        <v>44694</v>
      </c>
      <c r="U440" s="12">
        <v>47616</v>
      </c>
      <c r="V440" s="13" t="s">
        <v>950</v>
      </c>
      <c r="W440" s="11" t="s">
        <v>628</v>
      </c>
      <c r="X440" s="11" t="s">
        <v>409</v>
      </c>
      <c r="Y440" s="11" t="s">
        <v>951</v>
      </c>
      <c r="Z440" s="11">
        <v>0.2</v>
      </c>
      <c r="AA440" s="11"/>
      <c r="AB440" s="12">
        <v>44673</v>
      </c>
      <c r="AC440" s="12">
        <v>46134</v>
      </c>
      <c r="AD440" s="12" t="s">
        <v>124</v>
      </c>
      <c r="AE440" s="42"/>
      <c r="AF440" s="42"/>
    </row>
    <row r="441" spans="1:32" ht="45" x14ac:dyDescent="0.25">
      <c r="A441" s="44"/>
      <c r="B441" s="42"/>
      <c r="C441" s="42"/>
      <c r="D441" s="42"/>
      <c r="E441" s="42"/>
      <c r="F441" s="42"/>
      <c r="G441" s="42"/>
      <c r="H441" s="42"/>
      <c r="I441" s="48"/>
      <c r="J441" s="42"/>
      <c r="K441" s="42"/>
      <c r="L441" s="42"/>
      <c r="M441" s="42"/>
      <c r="N441" s="42"/>
      <c r="O441" s="11" t="s">
        <v>655</v>
      </c>
      <c r="P441" s="11" t="s">
        <v>38</v>
      </c>
      <c r="Q441" s="11">
        <v>1389</v>
      </c>
      <c r="R441" s="11">
        <v>0.2</v>
      </c>
      <c r="S441" s="11"/>
      <c r="T441" s="12">
        <v>44694</v>
      </c>
      <c r="U441" s="12">
        <v>47616</v>
      </c>
      <c r="V441" s="13" t="s">
        <v>952</v>
      </c>
      <c r="W441" s="11" t="s">
        <v>638</v>
      </c>
      <c r="X441" s="11" t="s">
        <v>409</v>
      </c>
      <c r="Y441" s="11" t="s">
        <v>953</v>
      </c>
      <c r="Z441" s="11">
        <v>0.2</v>
      </c>
      <c r="AA441" s="11"/>
      <c r="AB441" s="12">
        <v>44673</v>
      </c>
      <c r="AC441" s="12">
        <v>46134</v>
      </c>
      <c r="AD441" s="12" t="s">
        <v>124</v>
      </c>
      <c r="AE441" s="42"/>
      <c r="AF441" s="42"/>
    </row>
    <row r="442" spans="1:32" ht="23.85" customHeight="1" x14ac:dyDescent="0.25">
      <c r="A442" s="44">
        <v>145</v>
      </c>
      <c r="B442" s="42" t="s">
        <v>28</v>
      </c>
      <c r="C442" s="42" t="s">
        <v>619</v>
      </c>
      <c r="D442" s="42">
        <v>103662</v>
      </c>
      <c r="E442" s="42" t="s">
        <v>954</v>
      </c>
      <c r="F442" s="42" t="s">
        <v>405</v>
      </c>
      <c r="G442" s="42" t="s">
        <v>90</v>
      </c>
      <c r="H442" s="42" t="s">
        <v>33</v>
      </c>
      <c r="I442" s="48" t="s">
        <v>955</v>
      </c>
      <c r="J442" s="42" t="s">
        <v>35</v>
      </c>
      <c r="K442" s="42"/>
      <c r="L442" s="42" t="s">
        <v>265</v>
      </c>
      <c r="M442" s="52">
        <v>49668</v>
      </c>
      <c r="N442" s="42" t="s">
        <v>92</v>
      </c>
      <c r="O442" s="11" t="s">
        <v>624</v>
      </c>
      <c r="P442" s="11" t="s">
        <v>163</v>
      </c>
      <c r="Q442" s="11" t="s">
        <v>956</v>
      </c>
      <c r="R442" s="11">
        <v>0.5</v>
      </c>
      <c r="S442" s="11"/>
      <c r="T442" s="12" t="s">
        <v>957</v>
      </c>
      <c r="U442" s="12">
        <v>46212</v>
      </c>
      <c r="V442" s="4" t="s">
        <v>124</v>
      </c>
      <c r="W442" s="11" t="s">
        <v>628</v>
      </c>
      <c r="X442" s="11" t="s">
        <v>409</v>
      </c>
      <c r="Y442" s="11" t="s">
        <v>948</v>
      </c>
      <c r="Z442" s="11">
        <v>0.2</v>
      </c>
      <c r="AA442" s="11"/>
      <c r="AB442" s="12">
        <v>44673</v>
      </c>
      <c r="AC442" s="12">
        <v>46134</v>
      </c>
      <c r="AD442" s="12" t="s">
        <v>124</v>
      </c>
      <c r="AE442" s="42"/>
      <c r="AF442" s="43" t="s">
        <v>45</v>
      </c>
    </row>
    <row r="443" spans="1:32" ht="25.5" x14ac:dyDescent="0.25">
      <c r="A443" s="44"/>
      <c r="B443" s="42"/>
      <c r="C443" s="42"/>
      <c r="D443" s="42"/>
      <c r="E443" s="42"/>
      <c r="F443" s="42"/>
      <c r="G443" s="42"/>
      <c r="H443" s="42"/>
      <c r="I443" s="48"/>
      <c r="J443" s="42"/>
      <c r="K443" s="42"/>
      <c r="L443" s="42"/>
      <c r="M443" s="42"/>
      <c r="N443" s="42"/>
      <c r="O443" s="11" t="s">
        <v>77</v>
      </c>
      <c r="P443" s="11" t="s">
        <v>77</v>
      </c>
      <c r="Q443" s="11" t="s">
        <v>77</v>
      </c>
      <c r="R443" s="11" t="s">
        <v>77</v>
      </c>
      <c r="S443" s="11"/>
      <c r="T443" s="12" t="s">
        <v>77</v>
      </c>
      <c r="U443" s="12" t="s">
        <v>77</v>
      </c>
      <c r="V443" s="4"/>
      <c r="W443" s="11" t="s">
        <v>628</v>
      </c>
      <c r="X443" s="11" t="s">
        <v>409</v>
      </c>
      <c r="Y443" s="11" t="s">
        <v>951</v>
      </c>
      <c r="Z443" s="11">
        <v>0.2</v>
      </c>
      <c r="AA443" s="11"/>
      <c r="AB443" s="12">
        <v>44673</v>
      </c>
      <c r="AC443" s="12">
        <v>46134</v>
      </c>
      <c r="AD443" s="12" t="s">
        <v>124</v>
      </c>
      <c r="AE443" s="42"/>
      <c r="AF443" s="42"/>
    </row>
    <row r="444" spans="1:32" x14ac:dyDescent="0.25">
      <c r="A444" s="44"/>
      <c r="B444" s="42"/>
      <c r="C444" s="42"/>
      <c r="D444" s="42"/>
      <c r="E444" s="42"/>
      <c r="F444" s="42"/>
      <c r="G444" s="42"/>
      <c r="H444" s="42"/>
      <c r="I444" s="48"/>
      <c r="J444" s="42"/>
      <c r="K444" s="42"/>
      <c r="L444" s="42"/>
      <c r="M444" s="42"/>
      <c r="N444" s="42"/>
      <c r="O444" s="11" t="s">
        <v>635</v>
      </c>
      <c r="P444" s="11" t="s">
        <v>163</v>
      </c>
      <c r="Q444" s="11" t="s">
        <v>958</v>
      </c>
      <c r="R444" s="11">
        <v>0.5</v>
      </c>
      <c r="S444" s="11"/>
      <c r="T444" s="12" t="s">
        <v>957</v>
      </c>
      <c r="U444" s="12">
        <v>46212</v>
      </c>
      <c r="V444" s="4" t="s">
        <v>124</v>
      </c>
      <c r="W444" s="11" t="s">
        <v>638</v>
      </c>
      <c r="X444" s="11" t="s">
        <v>409</v>
      </c>
      <c r="Y444" s="11" t="s">
        <v>953</v>
      </c>
      <c r="Z444" s="11">
        <v>0.2</v>
      </c>
      <c r="AA444" s="11"/>
      <c r="AB444" s="12">
        <v>44673</v>
      </c>
      <c r="AC444" s="12">
        <v>46134</v>
      </c>
      <c r="AD444" s="12" t="s">
        <v>124</v>
      </c>
      <c r="AE444" s="42"/>
      <c r="AF444" s="42"/>
    </row>
    <row r="445" spans="1:32" ht="23.85" customHeight="1" x14ac:dyDescent="0.25">
      <c r="A445" s="44">
        <v>146</v>
      </c>
      <c r="B445" s="42" t="s">
        <v>28</v>
      </c>
      <c r="C445" s="42" t="s">
        <v>619</v>
      </c>
      <c r="D445" s="42">
        <v>103662</v>
      </c>
      <c r="E445" s="42" t="s">
        <v>959</v>
      </c>
      <c r="F445" s="42" t="s">
        <v>405</v>
      </c>
      <c r="G445" s="42" t="s">
        <v>32</v>
      </c>
      <c r="H445" s="42" t="s">
        <v>69</v>
      </c>
      <c r="I445" s="48" t="s">
        <v>960</v>
      </c>
      <c r="J445" s="42" t="s">
        <v>71</v>
      </c>
      <c r="K445" s="42"/>
      <c r="L445" s="42" t="s">
        <v>844</v>
      </c>
      <c r="M445" s="52">
        <v>47074</v>
      </c>
      <c r="N445" s="42" t="s">
        <v>623</v>
      </c>
      <c r="O445" s="11" t="s">
        <v>624</v>
      </c>
      <c r="P445" s="11" t="s">
        <v>93</v>
      </c>
      <c r="Q445" s="11" t="s">
        <v>961</v>
      </c>
      <c r="R445" s="11">
        <v>0.5</v>
      </c>
      <c r="S445" s="11"/>
      <c r="T445" s="12" t="s">
        <v>820</v>
      </c>
      <c r="U445" s="12">
        <v>46380</v>
      </c>
      <c r="V445" s="4" t="s">
        <v>124</v>
      </c>
      <c r="W445" s="11" t="s">
        <v>628</v>
      </c>
      <c r="X445" s="11" t="s">
        <v>409</v>
      </c>
      <c r="Y445" s="11" t="s">
        <v>948</v>
      </c>
      <c r="Z445" s="11">
        <v>0.2</v>
      </c>
      <c r="AA445" s="11"/>
      <c r="AB445" s="12">
        <v>44673</v>
      </c>
      <c r="AC445" s="12">
        <v>46134</v>
      </c>
      <c r="AD445" s="12" t="s">
        <v>124</v>
      </c>
      <c r="AE445" s="42"/>
      <c r="AF445" s="43" t="s">
        <v>45</v>
      </c>
    </row>
    <row r="446" spans="1:32" ht="25.5" x14ac:dyDescent="0.25">
      <c r="A446" s="44"/>
      <c r="B446" s="42"/>
      <c r="C446" s="42"/>
      <c r="D446" s="42"/>
      <c r="E446" s="42"/>
      <c r="F446" s="42"/>
      <c r="G446" s="42"/>
      <c r="H446" s="42"/>
      <c r="I446" s="48"/>
      <c r="J446" s="42"/>
      <c r="K446" s="42"/>
      <c r="L446" s="42"/>
      <c r="M446" s="42"/>
      <c r="N446" s="42"/>
      <c r="O446" s="11" t="s">
        <v>77</v>
      </c>
      <c r="P446" s="11" t="s">
        <v>77</v>
      </c>
      <c r="Q446" s="11" t="s">
        <v>77</v>
      </c>
      <c r="R446" s="11" t="s">
        <v>77</v>
      </c>
      <c r="S446" s="11"/>
      <c r="T446" s="12" t="s">
        <v>77</v>
      </c>
      <c r="U446" s="12" t="s">
        <v>77</v>
      </c>
      <c r="V446" s="4"/>
      <c r="W446" s="11" t="s">
        <v>628</v>
      </c>
      <c r="X446" s="11" t="s">
        <v>409</v>
      </c>
      <c r="Y446" s="11" t="s">
        <v>951</v>
      </c>
      <c r="Z446" s="11">
        <v>0.2</v>
      </c>
      <c r="AA446" s="11"/>
      <c r="AB446" s="12">
        <v>44673</v>
      </c>
      <c r="AC446" s="12">
        <v>46134</v>
      </c>
      <c r="AD446" s="12" t="s">
        <v>124</v>
      </c>
      <c r="AE446" s="42"/>
      <c r="AF446" s="42"/>
    </row>
    <row r="447" spans="1:32" x14ac:dyDescent="0.25">
      <c r="A447" s="44"/>
      <c r="B447" s="42"/>
      <c r="C447" s="42"/>
      <c r="D447" s="42"/>
      <c r="E447" s="42"/>
      <c r="F447" s="42"/>
      <c r="G447" s="42"/>
      <c r="H447" s="42"/>
      <c r="I447" s="48"/>
      <c r="J447" s="42"/>
      <c r="K447" s="42"/>
      <c r="L447" s="42"/>
      <c r="M447" s="42"/>
      <c r="N447" s="42"/>
      <c r="O447" s="11" t="s">
        <v>635</v>
      </c>
      <c r="P447" s="11" t="s">
        <v>93</v>
      </c>
      <c r="Q447" s="11" t="s">
        <v>962</v>
      </c>
      <c r="R447" s="11">
        <v>0.5</v>
      </c>
      <c r="S447" s="11"/>
      <c r="T447" s="12" t="s">
        <v>820</v>
      </c>
      <c r="U447" s="12">
        <v>46380</v>
      </c>
      <c r="V447" s="4" t="s">
        <v>124</v>
      </c>
      <c r="W447" s="11" t="s">
        <v>638</v>
      </c>
      <c r="X447" s="11" t="s">
        <v>409</v>
      </c>
      <c r="Y447" s="11" t="s">
        <v>953</v>
      </c>
      <c r="Z447" s="11">
        <v>0.2</v>
      </c>
      <c r="AA447" s="11"/>
      <c r="AB447" s="12">
        <v>44673</v>
      </c>
      <c r="AC447" s="12">
        <v>46134</v>
      </c>
      <c r="AD447" s="12" t="s">
        <v>124</v>
      </c>
      <c r="AE447" s="42"/>
      <c r="AF447" s="42"/>
    </row>
    <row r="448" spans="1:32" ht="23.85" customHeight="1" x14ac:dyDescent="0.25">
      <c r="A448" s="44">
        <v>147</v>
      </c>
      <c r="B448" s="42" t="s">
        <v>28</v>
      </c>
      <c r="C448" s="42" t="s">
        <v>619</v>
      </c>
      <c r="D448" s="42">
        <v>103662</v>
      </c>
      <c r="E448" s="42" t="s">
        <v>963</v>
      </c>
      <c r="F448" s="42" t="s">
        <v>405</v>
      </c>
      <c r="G448" s="42" t="s">
        <v>90</v>
      </c>
      <c r="H448" s="42" t="s">
        <v>33</v>
      </c>
      <c r="I448" s="48" t="s">
        <v>964</v>
      </c>
      <c r="J448" s="42" t="s">
        <v>35</v>
      </c>
      <c r="K448" s="42"/>
      <c r="L448" s="42" t="s">
        <v>792</v>
      </c>
      <c r="M448" s="52">
        <v>49565</v>
      </c>
      <c r="N448" s="42" t="s">
        <v>92</v>
      </c>
      <c r="O448" s="11" t="s">
        <v>624</v>
      </c>
      <c r="P448" s="11" t="s">
        <v>163</v>
      </c>
      <c r="Q448" s="11" t="s">
        <v>965</v>
      </c>
      <c r="R448" s="11">
        <v>0.5</v>
      </c>
      <c r="S448" s="11"/>
      <c r="T448" s="12" t="s">
        <v>966</v>
      </c>
      <c r="U448" s="12">
        <v>46279</v>
      </c>
      <c r="V448" s="4" t="s">
        <v>124</v>
      </c>
      <c r="W448" s="11" t="s">
        <v>628</v>
      </c>
      <c r="X448" s="11" t="s">
        <v>409</v>
      </c>
      <c r="Y448" s="11" t="s">
        <v>948</v>
      </c>
      <c r="Z448" s="11">
        <v>0.2</v>
      </c>
      <c r="AA448" s="11"/>
      <c r="AB448" s="12">
        <v>44673</v>
      </c>
      <c r="AC448" s="12">
        <v>46134</v>
      </c>
      <c r="AD448" s="12" t="s">
        <v>124</v>
      </c>
      <c r="AE448" s="42"/>
      <c r="AF448" s="43" t="s">
        <v>45</v>
      </c>
    </row>
    <row r="449" spans="1:32" ht="25.5" x14ac:dyDescent="0.25">
      <c r="A449" s="44"/>
      <c r="B449" s="42"/>
      <c r="C449" s="42"/>
      <c r="D449" s="42"/>
      <c r="E449" s="42"/>
      <c r="F449" s="42"/>
      <c r="G449" s="42"/>
      <c r="H449" s="42"/>
      <c r="I449" s="48"/>
      <c r="J449" s="42"/>
      <c r="K449" s="42"/>
      <c r="L449" s="42"/>
      <c r="M449" s="42"/>
      <c r="N449" s="42"/>
      <c r="O449" s="11" t="s">
        <v>77</v>
      </c>
      <c r="P449" s="11" t="s">
        <v>77</v>
      </c>
      <c r="Q449" s="11" t="s">
        <v>77</v>
      </c>
      <c r="R449" s="11" t="s">
        <v>77</v>
      </c>
      <c r="S449" s="11"/>
      <c r="T449" s="12" t="s">
        <v>77</v>
      </c>
      <c r="U449" s="12" t="s">
        <v>77</v>
      </c>
      <c r="V449" s="4"/>
      <c r="W449" s="11" t="s">
        <v>628</v>
      </c>
      <c r="X449" s="11" t="s">
        <v>409</v>
      </c>
      <c r="Y449" s="11" t="s">
        <v>951</v>
      </c>
      <c r="Z449" s="11">
        <v>0.2</v>
      </c>
      <c r="AA449" s="11"/>
      <c r="AB449" s="12">
        <v>44673</v>
      </c>
      <c r="AC449" s="12">
        <v>46134</v>
      </c>
      <c r="AD449" s="12" t="s">
        <v>124</v>
      </c>
      <c r="AE449" s="42"/>
      <c r="AF449" s="42"/>
    </row>
    <row r="450" spans="1:32" x14ac:dyDescent="0.25">
      <c r="A450" s="44"/>
      <c r="B450" s="42"/>
      <c r="C450" s="42"/>
      <c r="D450" s="42"/>
      <c r="E450" s="42"/>
      <c r="F450" s="42"/>
      <c r="G450" s="42"/>
      <c r="H450" s="42"/>
      <c r="I450" s="48"/>
      <c r="J450" s="42"/>
      <c r="K450" s="42"/>
      <c r="L450" s="42"/>
      <c r="M450" s="42"/>
      <c r="N450" s="42"/>
      <c r="O450" s="11" t="s">
        <v>635</v>
      </c>
      <c r="P450" s="11" t="s">
        <v>163</v>
      </c>
      <c r="Q450" s="11" t="s">
        <v>967</v>
      </c>
      <c r="R450" s="11">
        <v>0.5</v>
      </c>
      <c r="S450" s="11"/>
      <c r="T450" s="12" t="s">
        <v>966</v>
      </c>
      <c r="U450" s="12">
        <v>46279</v>
      </c>
      <c r="V450" s="4" t="s">
        <v>124</v>
      </c>
      <c r="W450" s="11" t="s">
        <v>638</v>
      </c>
      <c r="X450" s="11" t="s">
        <v>409</v>
      </c>
      <c r="Y450" s="11" t="s">
        <v>953</v>
      </c>
      <c r="Z450" s="11">
        <v>0.2</v>
      </c>
      <c r="AA450" s="11"/>
      <c r="AB450" s="12">
        <v>44673</v>
      </c>
      <c r="AC450" s="12">
        <v>46134</v>
      </c>
      <c r="AD450" s="12" t="s">
        <v>124</v>
      </c>
      <c r="AE450" s="42"/>
      <c r="AF450" s="42"/>
    </row>
    <row r="451" spans="1:32" ht="23.85" customHeight="1" x14ac:dyDescent="0.25">
      <c r="A451" s="44">
        <v>148</v>
      </c>
      <c r="B451" s="42" t="s">
        <v>28</v>
      </c>
      <c r="C451" s="42" t="s">
        <v>619</v>
      </c>
      <c r="D451" s="42">
        <v>103662</v>
      </c>
      <c r="E451" s="42" t="s">
        <v>968</v>
      </c>
      <c r="F451" s="42" t="s">
        <v>405</v>
      </c>
      <c r="G451" s="42" t="s">
        <v>90</v>
      </c>
      <c r="H451" s="42" t="s">
        <v>33</v>
      </c>
      <c r="I451" s="48" t="s">
        <v>969</v>
      </c>
      <c r="J451" s="42" t="s">
        <v>35</v>
      </c>
      <c r="K451" s="42"/>
      <c r="L451" s="42" t="s">
        <v>792</v>
      </c>
      <c r="M451" s="52">
        <v>49565</v>
      </c>
      <c r="N451" s="42" t="s">
        <v>92</v>
      </c>
      <c r="O451" s="11" t="s">
        <v>624</v>
      </c>
      <c r="P451" s="11" t="s">
        <v>163</v>
      </c>
      <c r="Q451" s="11" t="s">
        <v>970</v>
      </c>
      <c r="R451" s="11">
        <v>0.5</v>
      </c>
      <c r="S451" s="11"/>
      <c r="T451" s="12" t="s">
        <v>971</v>
      </c>
      <c r="U451" s="12">
        <v>46178</v>
      </c>
      <c r="V451" s="4" t="s">
        <v>124</v>
      </c>
      <c r="W451" s="11" t="s">
        <v>628</v>
      </c>
      <c r="X451" s="11" t="s">
        <v>409</v>
      </c>
      <c r="Y451" s="11" t="s">
        <v>948</v>
      </c>
      <c r="Z451" s="11">
        <v>0.2</v>
      </c>
      <c r="AA451" s="11"/>
      <c r="AB451" s="12">
        <v>44673</v>
      </c>
      <c r="AC451" s="12">
        <v>46134</v>
      </c>
      <c r="AD451" s="12" t="s">
        <v>124</v>
      </c>
      <c r="AE451" s="42"/>
      <c r="AF451" s="43" t="s">
        <v>45</v>
      </c>
    </row>
    <row r="452" spans="1:32" ht="25.5" x14ac:dyDescent="0.25">
      <c r="A452" s="44"/>
      <c r="B452" s="42"/>
      <c r="C452" s="42"/>
      <c r="D452" s="42"/>
      <c r="E452" s="42"/>
      <c r="F452" s="42"/>
      <c r="G452" s="42"/>
      <c r="H452" s="42"/>
      <c r="I452" s="48"/>
      <c r="J452" s="42"/>
      <c r="K452" s="42"/>
      <c r="L452" s="42"/>
      <c r="M452" s="42"/>
      <c r="N452" s="42"/>
      <c r="O452" s="11" t="s">
        <v>77</v>
      </c>
      <c r="P452" s="11" t="s">
        <v>77</v>
      </c>
      <c r="Q452" s="11" t="s">
        <v>77</v>
      </c>
      <c r="R452" s="11" t="s">
        <v>77</v>
      </c>
      <c r="S452" s="11"/>
      <c r="T452" s="12" t="s">
        <v>77</v>
      </c>
      <c r="U452" s="12" t="s">
        <v>77</v>
      </c>
      <c r="V452" s="4"/>
      <c r="W452" s="11" t="s">
        <v>628</v>
      </c>
      <c r="X452" s="11" t="s">
        <v>409</v>
      </c>
      <c r="Y452" s="11" t="s">
        <v>951</v>
      </c>
      <c r="Z452" s="11">
        <v>0.2</v>
      </c>
      <c r="AA452" s="11"/>
      <c r="AB452" s="12">
        <v>44673</v>
      </c>
      <c r="AC452" s="12">
        <v>46134</v>
      </c>
      <c r="AD452" s="12" t="s">
        <v>124</v>
      </c>
      <c r="AE452" s="42"/>
      <c r="AF452" s="42"/>
    </row>
    <row r="453" spans="1:32" x14ac:dyDescent="0.25">
      <c r="A453" s="44"/>
      <c r="B453" s="42"/>
      <c r="C453" s="42"/>
      <c r="D453" s="42"/>
      <c r="E453" s="42"/>
      <c r="F453" s="42"/>
      <c r="G453" s="42"/>
      <c r="H453" s="42"/>
      <c r="I453" s="48"/>
      <c r="J453" s="42"/>
      <c r="K453" s="42"/>
      <c r="L453" s="42"/>
      <c r="M453" s="42"/>
      <c r="N453" s="42"/>
      <c r="O453" s="11" t="s">
        <v>635</v>
      </c>
      <c r="P453" s="11" t="s">
        <v>163</v>
      </c>
      <c r="Q453" s="11" t="s">
        <v>972</v>
      </c>
      <c r="R453" s="11">
        <v>0.5</v>
      </c>
      <c r="S453" s="11"/>
      <c r="T453" s="12" t="s">
        <v>971</v>
      </c>
      <c r="U453" s="12">
        <v>46178</v>
      </c>
      <c r="V453" s="4" t="s">
        <v>124</v>
      </c>
      <c r="W453" s="11" t="s">
        <v>638</v>
      </c>
      <c r="X453" s="11" t="s">
        <v>409</v>
      </c>
      <c r="Y453" s="11" t="s">
        <v>953</v>
      </c>
      <c r="Z453" s="11">
        <v>0.2</v>
      </c>
      <c r="AA453" s="11"/>
      <c r="AB453" s="12">
        <v>44673</v>
      </c>
      <c r="AC453" s="12">
        <v>46134</v>
      </c>
      <c r="AD453" s="12" t="s">
        <v>124</v>
      </c>
      <c r="AE453" s="42"/>
      <c r="AF453" s="42"/>
    </row>
    <row r="454" spans="1:32" ht="23.85" customHeight="1" x14ac:dyDescent="0.25">
      <c r="A454" s="44">
        <v>149</v>
      </c>
      <c r="B454" s="42" t="s">
        <v>28</v>
      </c>
      <c r="C454" s="42" t="s">
        <v>619</v>
      </c>
      <c r="D454" s="42">
        <v>103662</v>
      </c>
      <c r="E454" s="42" t="s">
        <v>973</v>
      </c>
      <c r="F454" s="42" t="s">
        <v>405</v>
      </c>
      <c r="G454" s="42" t="s">
        <v>90</v>
      </c>
      <c r="H454" s="42" t="s">
        <v>69</v>
      </c>
      <c r="I454" s="48" t="s">
        <v>974</v>
      </c>
      <c r="J454" s="42" t="s">
        <v>71</v>
      </c>
      <c r="K454" s="42"/>
      <c r="L454" s="42" t="s">
        <v>844</v>
      </c>
      <c r="M454" s="52">
        <v>47074</v>
      </c>
      <c r="N454" s="42" t="s">
        <v>623</v>
      </c>
      <c r="O454" s="11" t="s">
        <v>624</v>
      </c>
      <c r="P454" s="11" t="s">
        <v>74</v>
      </c>
      <c r="Q454" s="11" t="s">
        <v>975</v>
      </c>
      <c r="R454" s="11">
        <v>0.5</v>
      </c>
      <c r="S454" s="11"/>
      <c r="T454" s="12" t="s">
        <v>820</v>
      </c>
      <c r="U454" s="12">
        <v>46380</v>
      </c>
      <c r="V454" s="4" t="s">
        <v>124</v>
      </c>
      <c r="W454" s="11" t="s">
        <v>628</v>
      </c>
      <c r="X454" s="11" t="s">
        <v>409</v>
      </c>
      <c r="Y454" s="11" t="s">
        <v>948</v>
      </c>
      <c r="Z454" s="11">
        <v>0.2</v>
      </c>
      <c r="AA454" s="11"/>
      <c r="AB454" s="12">
        <v>44673</v>
      </c>
      <c r="AC454" s="12">
        <v>46134</v>
      </c>
      <c r="AD454" s="12" t="s">
        <v>124</v>
      </c>
      <c r="AE454" s="42"/>
      <c r="AF454" s="43" t="s">
        <v>45</v>
      </c>
    </row>
    <row r="455" spans="1:32" ht="25.5" x14ac:dyDescent="0.25">
      <c r="A455" s="44"/>
      <c r="B455" s="42"/>
      <c r="C455" s="42"/>
      <c r="D455" s="42"/>
      <c r="E455" s="42"/>
      <c r="F455" s="42"/>
      <c r="G455" s="42"/>
      <c r="H455" s="42"/>
      <c r="I455" s="48"/>
      <c r="J455" s="42"/>
      <c r="K455" s="42"/>
      <c r="L455" s="42"/>
      <c r="M455" s="42"/>
      <c r="N455" s="42"/>
      <c r="O455" s="11" t="s">
        <v>77</v>
      </c>
      <c r="P455" s="11" t="s">
        <v>77</v>
      </c>
      <c r="Q455" s="11" t="s">
        <v>77</v>
      </c>
      <c r="R455" s="11" t="s">
        <v>77</v>
      </c>
      <c r="S455" s="11"/>
      <c r="T455" s="12" t="s">
        <v>77</v>
      </c>
      <c r="U455" s="12" t="s">
        <v>77</v>
      </c>
      <c r="V455" s="4"/>
      <c r="W455" s="11" t="s">
        <v>628</v>
      </c>
      <c r="X455" s="11" t="s">
        <v>409</v>
      </c>
      <c r="Y455" s="11" t="s">
        <v>951</v>
      </c>
      <c r="Z455" s="11">
        <v>0.2</v>
      </c>
      <c r="AA455" s="11"/>
      <c r="AB455" s="12">
        <v>44673</v>
      </c>
      <c r="AC455" s="12">
        <v>46134</v>
      </c>
      <c r="AD455" s="12" t="s">
        <v>124</v>
      </c>
      <c r="AE455" s="42"/>
      <c r="AF455" s="42"/>
    </row>
    <row r="456" spans="1:32" x14ac:dyDescent="0.25">
      <c r="A456" s="44"/>
      <c r="B456" s="42"/>
      <c r="C456" s="42"/>
      <c r="D456" s="42"/>
      <c r="E456" s="42"/>
      <c r="F456" s="42"/>
      <c r="G456" s="42"/>
      <c r="H456" s="42"/>
      <c r="I456" s="48"/>
      <c r="J456" s="42"/>
      <c r="K456" s="42"/>
      <c r="L456" s="42"/>
      <c r="M456" s="42"/>
      <c r="N456" s="42"/>
      <c r="O456" s="11" t="s">
        <v>635</v>
      </c>
      <c r="P456" s="11" t="s">
        <v>74</v>
      </c>
      <c r="Q456" s="11" t="s">
        <v>976</v>
      </c>
      <c r="R456" s="11">
        <v>0.5</v>
      </c>
      <c r="S456" s="11"/>
      <c r="T456" s="12" t="s">
        <v>820</v>
      </c>
      <c r="U456" s="12">
        <v>46380</v>
      </c>
      <c r="V456" s="4" t="s">
        <v>124</v>
      </c>
      <c r="W456" s="11" t="s">
        <v>638</v>
      </c>
      <c r="X456" s="11" t="s">
        <v>409</v>
      </c>
      <c r="Y456" s="11" t="s">
        <v>953</v>
      </c>
      <c r="Z456" s="11">
        <v>0.2</v>
      </c>
      <c r="AA456" s="11"/>
      <c r="AB456" s="12">
        <v>44673</v>
      </c>
      <c r="AC456" s="12">
        <v>46134</v>
      </c>
      <c r="AD456" s="12" t="s">
        <v>124</v>
      </c>
      <c r="AE456" s="42"/>
      <c r="AF456" s="42"/>
    </row>
    <row r="457" spans="1:32" ht="23.85" customHeight="1" x14ac:dyDescent="0.25">
      <c r="A457" s="44">
        <v>150</v>
      </c>
      <c r="B457" s="42" t="s">
        <v>28</v>
      </c>
      <c r="C457" s="42" t="s">
        <v>619</v>
      </c>
      <c r="D457" s="42">
        <v>103662</v>
      </c>
      <c r="E457" s="42" t="s">
        <v>977</v>
      </c>
      <c r="F457" s="42" t="s">
        <v>405</v>
      </c>
      <c r="G457" s="42" t="s">
        <v>107</v>
      </c>
      <c r="H457" s="42" t="s">
        <v>33</v>
      </c>
      <c r="I457" s="48" t="s">
        <v>978</v>
      </c>
      <c r="J457" s="42" t="s">
        <v>35</v>
      </c>
      <c r="K457" s="42"/>
      <c r="L457" s="42" t="s">
        <v>265</v>
      </c>
      <c r="M457" s="52">
        <v>49668</v>
      </c>
      <c r="N457" s="42" t="s">
        <v>92</v>
      </c>
      <c r="O457" s="11" t="s">
        <v>624</v>
      </c>
      <c r="P457" s="11" t="s">
        <v>74</v>
      </c>
      <c r="Q457" s="11" t="s">
        <v>48</v>
      </c>
      <c r="R457" s="11">
        <v>0.5</v>
      </c>
      <c r="S457" s="11"/>
      <c r="T457" s="12" t="s">
        <v>820</v>
      </c>
      <c r="U457" s="12">
        <v>46380</v>
      </c>
      <c r="V457" s="4" t="s">
        <v>124</v>
      </c>
      <c r="W457" s="11" t="s">
        <v>628</v>
      </c>
      <c r="X457" s="11" t="s">
        <v>409</v>
      </c>
      <c r="Y457" s="11" t="s">
        <v>948</v>
      </c>
      <c r="Z457" s="11">
        <v>0.2</v>
      </c>
      <c r="AA457" s="11"/>
      <c r="AB457" s="12">
        <v>44673</v>
      </c>
      <c r="AC457" s="12">
        <v>46134</v>
      </c>
      <c r="AD457" s="12" t="s">
        <v>124</v>
      </c>
      <c r="AE457" s="42"/>
      <c r="AF457" s="43" t="s">
        <v>45</v>
      </c>
    </row>
    <row r="458" spans="1:32" ht="25.5" x14ac:dyDescent="0.25">
      <c r="A458" s="44"/>
      <c r="B458" s="42"/>
      <c r="C458" s="42"/>
      <c r="D458" s="42"/>
      <c r="E458" s="42"/>
      <c r="F458" s="42"/>
      <c r="G458" s="42"/>
      <c r="H458" s="42"/>
      <c r="I458" s="48"/>
      <c r="J458" s="42"/>
      <c r="K458" s="42"/>
      <c r="L458" s="42"/>
      <c r="M458" s="42"/>
      <c r="N458" s="42"/>
      <c r="O458" s="11" t="s">
        <v>77</v>
      </c>
      <c r="P458" s="11" t="s">
        <v>77</v>
      </c>
      <c r="Q458" s="11" t="s">
        <v>77</v>
      </c>
      <c r="R458" s="11" t="s">
        <v>77</v>
      </c>
      <c r="S458" s="11"/>
      <c r="T458" s="12" t="s">
        <v>77</v>
      </c>
      <c r="U458" s="12" t="s">
        <v>77</v>
      </c>
      <c r="V458" s="4"/>
      <c r="W458" s="11" t="s">
        <v>628</v>
      </c>
      <c r="X458" s="11" t="s">
        <v>409</v>
      </c>
      <c r="Y458" s="11" t="s">
        <v>951</v>
      </c>
      <c r="Z458" s="11">
        <v>0.2</v>
      </c>
      <c r="AA458" s="11"/>
      <c r="AB458" s="12">
        <v>44673</v>
      </c>
      <c r="AC458" s="12">
        <v>46134</v>
      </c>
      <c r="AD458" s="12" t="s">
        <v>124</v>
      </c>
      <c r="AE458" s="42"/>
      <c r="AF458" s="42"/>
    </row>
    <row r="459" spans="1:32" x14ac:dyDescent="0.25">
      <c r="A459" s="44"/>
      <c r="B459" s="42"/>
      <c r="C459" s="42"/>
      <c r="D459" s="42"/>
      <c r="E459" s="42"/>
      <c r="F459" s="42"/>
      <c r="G459" s="42"/>
      <c r="H459" s="42"/>
      <c r="I459" s="48"/>
      <c r="J459" s="42"/>
      <c r="K459" s="42"/>
      <c r="L459" s="42"/>
      <c r="M459" s="42"/>
      <c r="N459" s="42"/>
      <c r="O459" s="11" t="s">
        <v>635</v>
      </c>
      <c r="P459" s="11" t="s">
        <v>74</v>
      </c>
      <c r="Q459" s="11" t="s">
        <v>979</v>
      </c>
      <c r="R459" s="11">
        <v>0.5</v>
      </c>
      <c r="S459" s="11"/>
      <c r="T459" s="12" t="s">
        <v>820</v>
      </c>
      <c r="U459" s="12">
        <v>46380</v>
      </c>
      <c r="V459" s="4" t="s">
        <v>124</v>
      </c>
      <c r="W459" s="11" t="s">
        <v>638</v>
      </c>
      <c r="X459" s="11" t="s">
        <v>409</v>
      </c>
      <c r="Y459" s="11" t="s">
        <v>953</v>
      </c>
      <c r="Z459" s="11">
        <v>0.2</v>
      </c>
      <c r="AA459" s="11"/>
      <c r="AB459" s="12">
        <v>44673</v>
      </c>
      <c r="AC459" s="12">
        <v>46134</v>
      </c>
      <c r="AD459" s="12" t="s">
        <v>124</v>
      </c>
      <c r="AE459" s="42"/>
      <c r="AF459" s="42"/>
    </row>
    <row r="460" spans="1:32" ht="23.85" customHeight="1" x14ac:dyDescent="0.25">
      <c r="A460" s="44">
        <v>151</v>
      </c>
      <c r="B460" s="42" t="s">
        <v>28</v>
      </c>
      <c r="C460" s="42" t="s">
        <v>619</v>
      </c>
      <c r="D460" s="42">
        <v>103662</v>
      </c>
      <c r="E460" s="42" t="s">
        <v>980</v>
      </c>
      <c r="F460" s="42" t="s">
        <v>405</v>
      </c>
      <c r="G460" s="42" t="s">
        <v>90</v>
      </c>
      <c r="H460" s="42" t="s">
        <v>33</v>
      </c>
      <c r="I460" s="48" t="s">
        <v>981</v>
      </c>
      <c r="J460" s="42" t="s">
        <v>35</v>
      </c>
      <c r="K460" s="42"/>
      <c r="L460" s="42" t="s">
        <v>792</v>
      </c>
      <c r="M460" s="52">
        <v>49565</v>
      </c>
      <c r="N460" s="42" t="s">
        <v>92</v>
      </c>
      <c r="O460" s="11"/>
      <c r="P460" s="11" t="s">
        <v>841</v>
      </c>
      <c r="Q460" s="11"/>
      <c r="R460" s="11">
        <v>0</v>
      </c>
      <c r="S460" s="11"/>
      <c r="T460" s="12">
        <v>0</v>
      </c>
      <c r="U460" s="12">
        <v>0</v>
      </c>
      <c r="V460" s="4" t="s">
        <v>77</v>
      </c>
      <c r="W460" s="11" t="s">
        <v>628</v>
      </c>
      <c r="X460" s="11" t="s">
        <v>409</v>
      </c>
      <c r="Y460" s="11" t="s">
        <v>948</v>
      </c>
      <c r="Z460" s="11">
        <v>0.2</v>
      </c>
      <c r="AA460" s="11"/>
      <c r="AB460" s="12">
        <v>44673</v>
      </c>
      <c r="AC460" s="12">
        <v>46134</v>
      </c>
      <c r="AD460" s="12" t="s">
        <v>124</v>
      </c>
      <c r="AE460" s="42"/>
      <c r="AF460" s="43" t="s">
        <v>45</v>
      </c>
    </row>
    <row r="461" spans="1:32" ht="25.5" x14ac:dyDescent="0.25">
      <c r="A461" s="44"/>
      <c r="B461" s="42"/>
      <c r="C461" s="42"/>
      <c r="D461" s="42"/>
      <c r="E461" s="42"/>
      <c r="F461" s="42"/>
      <c r="G461" s="42"/>
      <c r="H461" s="42"/>
      <c r="I461" s="48"/>
      <c r="J461" s="42"/>
      <c r="K461" s="42"/>
      <c r="L461" s="42"/>
      <c r="M461" s="42"/>
      <c r="N461" s="42"/>
      <c r="O461" s="11"/>
      <c r="P461" s="11" t="s">
        <v>841</v>
      </c>
      <c r="Q461" s="11"/>
      <c r="R461" s="11">
        <v>0</v>
      </c>
      <c r="S461" s="11"/>
      <c r="T461" s="12">
        <v>0</v>
      </c>
      <c r="U461" s="12">
        <v>0</v>
      </c>
      <c r="V461" s="4" t="s">
        <v>77</v>
      </c>
      <c r="W461" s="11" t="s">
        <v>628</v>
      </c>
      <c r="X461" s="11" t="s">
        <v>409</v>
      </c>
      <c r="Y461" s="11" t="s">
        <v>951</v>
      </c>
      <c r="Z461" s="11">
        <v>0.2</v>
      </c>
      <c r="AA461" s="11"/>
      <c r="AB461" s="12">
        <v>44673</v>
      </c>
      <c r="AC461" s="12">
        <v>46134</v>
      </c>
      <c r="AD461" s="12" t="s">
        <v>124</v>
      </c>
      <c r="AE461" s="42"/>
      <c r="AF461" s="42"/>
    </row>
    <row r="462" spans="1:32" x14ac:dyDescent="0.25">
      <c r="A462" s="44"/>
      <c r="B462" s="42"/>
      <c r="C462" s="42"/>
      <c r="D462" s="42"/>
      <c r="E462" s="42"/>
      <c r="F462" s="42"/>
      <c r="G462" s="42"/>
      <c r="H462" s="42"/>
      <c r="I462" s="48"/>
      <c r="J462" s="42"/>
      <c r="K462" s="42"/>
      <c r="L462" s="42"/>
      <c r="M462" s="42"/>
      <c r="N462" s="42"/>
      <c r="O462" s="11"/>
      <c r="P462" s="11" t="s">
        <v>841</v>
      </c>
      <c r="Q462" s="11"/>
      <c r="R462" s="11">
        <v>0</v>
      </c>
      <c r="S462" s="11"/>
      <c r="T462" s="12">
        <v>0</v>
      </c>
      <c r="U462" s="12">
        <v>0</v>
      </c>
      <c r="V462" s="4" t="s">
        <v>77</v>
      </c>
      <c r="W462" s="11" t="s">
        <v>638</v>
      </c>
      <c r="X462" s="11" t="s">
        <v>409</v>
      </c>
      <c r="Y462" s="11" t="s">
        <v>953</v>
      </c>
      <c r="Z462" s="11">
        <v>0.2</v>
      </c>
      <c r="AA462" s="11"/>
      <c r="AB462" s="12">
        <v>44673</v>
      </c>
      <c r="AC462" s="12">
        <v>46134</v>
      </c>
      <c r="AD462" s="12" t="s">
        <v>124</v>
      </c>
      <c r="AE462" s="42"/>
      <c r="AF462" s="42"/>
    </row>
    <row r="463" spans="1:32" ht="23.85" customHeight="1" x14ac:dyDescent="0.25">
      <c r="A463" s="44">
        <v>152</v>
      </c>
      <c r="B463" s="42" t="s">
        <v>28</v>
      </c>
      <c r="C463" s="42" t="s">
        <v>619</v>
      </c>
      <c r="D463" s="42">
        <v>103662</v>
      </c>
      <c r="E463" s="42" t="s">
        <v>982</v>
      </c>
      <c r="F463" s="42" t="s">
        <v>405</v>
      </c>
      <c r="G463" s="42" t="s">
        <v>90</v>
      </c>
      <c r="H463" s="42" t="s">
        <v>33</v>
      </c>
      <c r="I463" s="48" t="s">
        <v>983</v>
      </c>
      <c r="J463" s="42" t="s">
        <v>35</v>
      </c>
      <c r="K463" s="42"/>
      <c r="L463" s="42" t="s">
        <v>792</v>
      </c>
      <c r="M463" s="52">
        <v>49565</v>
      </c>
      <c r="N463" s="42" t="s">
        <v>92</v>
      </c>
      <c r="O463" s="11"/>
      <c r="P463" s="11" t="s">
        <v>841</v>
      </c>
      <c r="Q463" s="11"/>
      <c r="R463" s="11">
        <v>0</v>
      </c>
      <c r="S463" s="11"/>
      <c r="T463" s="12">
        <v>0</v>
      </c>
      <c r="U463" s="12">
        <v>0</v>
      </c>
      <c r="V463" s="4" t="s">
        <v>77</v>
      </c>
      <c r="W463" s="11" t="s">
        <v>628</v>
      </c>
      <c r="X463" s="11" t="s">
        <v>409</v>
      </c>
      <c r="Y463" s="11" t="s">
        <v>948</v>
      </c>
      <c r="Z463" s="11">
        <v>0.2</v>
      </c>
      <c r="AA463" s="11"/>
      <c r="AB463" s="12">
        <v>44673</v>
      </c>
      <c r="AC463" s="12">
        <v>46134</v>
      </c>
      <c r="AD463" s="12" t="s">
        <v>124</v>
      </c>
      <c r="AE463" s="42"/>
      <c r="AF463" s="43" t="s">
        <v>45</v>
      </c>
    </row>
    <row r="464" spans="1:32" ht="25.5" x14ac:dyDescent="0.25">
      <c r="A464" s="44"/>
      <c r="B464" s="42"/>
      <c r="C464" s="42"/>
      <c r="D464" s="42"/>
      <c r="E464" s="42"/>
      <c r="F464" s="42"/>
      <c r="G464" s="42"/>
      <c r="H464" s="42"/>
      <c r="I464" s="48"/>
      <c r="J464" s="42"/>
      <c r="K464" s="42"/>
      <c r="L464" s="42"/>
      <c r="M464" s="42"/>
      <c r="N464" s="42"/>
      <c r="O464" s="11"/>
      <c r="P464" s="11" t="s">
        <v>841</v>
      </c>
      <c r="Q464" s="11"/>
      <c r="R464" s="11">
        <v>0</v>
      </c>
      <c r="S464" s="11"/>
      <c r="T464" s="12">
        <v>0</v>
      </c>
      <c r="U464" s="12">
        <v>0</v>
      </c>
      <c r="V464" s="4" t="s">
        <v>77</v>
      </c>
      <c r="W464" s="11" t="s">
        <v>628</v>
      </c>
      <c r="X464" s="11" t="s">
        <v>409</v>
      </c>
      <c r="Y464" s="11" t="s">
        <v>951</v>
      </c>
      <c r="Z464" s="11">
        <v>0.2</v>
      </c>
      <c r="AA464" s="11"/>
      <c r="AB464" s="12">
        <v>44673</v>
      </c>
      <c r="AC464" s="12">
        <v>46134</v>
      </c>
      <c r="AD464" s="12" t="s">
        <v>124</v>
      </c>
      <c r="AE464" s="42"/>
      <c r="AF464" s="42"/>
    </row>
    <row r="465" spans="1:32" x14ac:dyDescent="0.25">
      <c r="A465" s="44"/>
      <c r="B465" s="42"/>
      <c r="C465" s="42"/>
      <c r="D465" s="42"/>
      <c r="E465" s="42"/>
      <c r="F465" s="42"/>
      <c r="G465" s="42"/>
      <c r="H465" s="42"/>
      <c r="I465" s="48"/>
      <c r="J465" s="42"/>
      <c r="K465" s="42"/>
      <c r="L465" s="42"/>
      <c r="M465" s="42"/>
      <c r="N465" s="42"/>
      <c r="O465" s="11"/>
      <c r="P465" s="11" t="s">
        <v>841</v>
      </c>
      <c r="Q465" s="11"/>
      <c r="R465" s="11">
        <v>0</v>
      </c>
      <c r="S465" s="11"/>
      <c r="T465" s="12">
        <v>0</v>
      </c>
      <c r="U465" s="12">
        <v>0</v>
      </c>
      <c r="V465" s="4" t="s">
        <v>77</v>
      </c>
      <c r="W465" s="11" t="s">
        <v>638</v>
      </c>
      <c r="X465" s="11" t="s">
        <v>409</v>
      </c>
      <c r="Y465" s="11" t="s">
        <v>953</v>
      </c>
      <c r="Z465" s="11">
        <v>0.2</v>
      </c>
      <c r="AA465" s="11"/>
      <c r="AB465" s="12">
        <v>44673</v>
      </c>
      <c r="AC465" s="12">
        <v>46134</v>
      </c>
      <c r="AD465" s="12" t="s">
        <v>124</v>
      </c>
      <c r="AE465" s="42"/>
      <c r="AF465" s="42"/>
    </row>
    <row r="466" spans="1:32" ht="23.85" customHeight="1" x14ac:dyDescent="0.25">
      <c r="A466" s="44">
        <v>153</v>
      </c>
      <c r="B466" s="42" t="s">
        <v>28</v>
      </c>
      <c r="C466" s="42" t="s">
        <v>619</v>
      </c>
      <c r="D466" s="42">
        <v>103662</v>
      </c>
      <c r="E466" s="42" t="s">
        <v>984</v>
      </c>
      <c r="F466" s="42" t="s">
        <v>405</v>
      </c>
      <c r="G466" s="42" t="s">
        <v>90</v>
      </c>
      <c r="H466" s="42" t="s">
        <v>33</v>
      </c>
      <c r="I466" s="48" t="s">
        <v>985</v>
      </c>
      <c r="J466" s="42" t="s">
        <v>35</v>
      </c>
      <c r="K466" s="42"/>
      <c r="L466" s="42" t="s">
        <v>792</v>
      </c>
      <c r="M466" s="52">
        <v>49565</v>
      </c>
      <c r="N466" s="42" t="s">
        <v>92</v>
      </c>
      <c r="O466" s="11" t="s">
        <v>624</v>
      </c>
      <c r="P466" s="11" t="s">
        <v>156</v>
      </c>
      <c r="Q466" s="11" t="s">
        <v>986</v>
      </c>
      <c r="R466" s="11">
        <v>0.5</v>
      </c>
      <c r="S466" s="11"/>
      <c r="T466" s="12" t="s">
        <v>820</v>
      </c>
      <c r="U466" s="12">
        <v>46380</v>
      </c>
      <c r="V466" s="4" t="s">
        <v>124</v>
      </c>
      <c r="W466" s="11" t="s">
        <v>628</v>
      </c>
      <c r="X466" s="11" t="s">
        <v>409</v>
      </c>
      <c r="Y466" s="11" t="s">
        <v>948</v>
      </c>
      <c r="Z466" s="11">
        <v>0.2</v>
      </c>
      <c r="AA466" s="11"/>
      <c r="AB466" s="12">
        <v>44673</v>
      </c>
      <c r="AC466" s="12">
        <v>46134</v>
      </c>
      <c r="AD466" s="12" t="s">
        <v>124</v>
      </c>
      <c r="AE466" s="42"/>
      <c r="AF466" s="43" t="s">
        <v>45</v>
      </c>
    </row>
    <row r="467" spans="1:32" ht="25.5" x14ac:dyDescent="0.25">
      <c r="A467" s="44"/>
      <c r="B467" s="42"/>
      <c r="C467" s="42"/>
      <c r="D467" s="42"/>
      <c r="E467" s="42"/>
      <c r="F467" s="42"/>
      <c r="G467" s="42"/>
      <c r="H467" s="42"/>
      <c r="I467" s="48"/>
      <c r="J467" s="42"/>
      <c r="K467" s="42"/>
      <c r="L467" s="42"/>
      <c r="M467" s="42"/>
      <c r="N467" s="42"/>
      <c r="O467" s="11" t="s">
        <v>77</v>
      </c>
      <c r="P467" s="11" t="s">
        <v>77</v>
      </c>
      <c r="Q467" s="11" t="s">
        <v>77</v>
      </c>
      <c r="R467" s="11" t="s">
        <v>77</v>
      </c>
      <c r="S467" s="11"/>
      <c r="T467" s="12" t="s">
        <v>77</v>
      </c>
      <c r="U467" s="12" t="s">
        <v>77</v>
      </c>
      <c r="V467" s="4"/>
      <c r="W467" s="11" t="s">
        <v>628</v>
      </c>
      <c r="X467" s="11" t="s">
        <v>409</v>
      </c>
      <c r="Y467" s="11" t="s">
        <v>951</v>
      </c>
      <c r="Z467" s="11">
        <v>0.2</v>
      </c>
      <c r="AA467" s="11"/>
      <c r="AB467" s="12">
        <v>44673</v>
      </c>
      <c r="AC467" s="12">
        <v>46134</v>
      </c>
      <c r="AD467" s="12" t="s">
        <v>124</v>
      </c>
      <c r="AE467" s="42"/>
      <c r="AF467" s="42"/>
    </row>
    <row r="468" spans="1:32" x14ac:dyDescent="0.25">
      <c r="A468" s="44"/>
      <c r="B468" s="42"/>
      <c r="C468" s="42"/>
      <c r="D468" s="42"/>
      <c r="E468" s="42"/>
      <c r="F468" s="42"/>
      <c r="G468" s="42"/>
      <c r="H468" s="42"/>
      <c r="I468" s="48"/>
      <c r="J468" s="42"/>
      <c r="K468" s="42"/>
      <c r="L468" s="42"/>
      <c r="M468" s="42"/>
      <c r="N468" s="42"/>
      <c r="O468" s="11" t="s">
        <v>635</v>
      </c>
      <c r="P468" s="11" t="s">
        <v>156</v>
      </c>
      <c r="Q468" s="11" t="s">
        <v>987</v>
      </c>
      <c r="R468" s="11">
        <v>0.5</v>
      </c>
      <c r="S468" s="11"/>
      <c r="T468" s="12" t="s">
        <v>820</v>
      </c>
      <c r="U468" s="12">
        <v>46380</v>
      </c>
      <c r="V468" s="4" t="s">
        <v>124</v>
      </c>
      <c r="W468" s="11" t="s">
        <v>638</v>
      </c>
      <c r="X468" s="11" t="s">
        <v>409</v>
      </c>
      <c r="Y468" s="11" t="s">
        <v>953</v>
      </c>
      <c r="Z468" s="11">
        <v>0.2</v>
      </c>
      <c r="AA468" s="11"/>
      <c r="AB468" s="12">
        <v>44673</v>
      </c>
      <c r="AC468" s="12">
        <v>46134</v>
      </c>
      <c r="AD468" s="12" t="s">
        <v>124</v>
      </c>
      <c r="AE468" s="42"/>
      <c r="AF468" s="42"/>
    </row>
    <row r="469" spans="1:32" ht="23.85" customHeight="1" x14ac:dyDescent="0.25">
      <c r="A469" s="44">
        <v>154</v>
      </c>
      <c r="B469" s="42" t="s">
        <v>28</v>
      </c>
      <c r="C469" s="42" t="s">
        <v>619</v>
      </c>
      <c r="D469" s="42">
        <v>103662</v>
      </c>
      <c r="E469" s="42" t="s">
        <v>988</v>
      </c>
      <c r="F469" s="42" t="s">
        <v>405</v>
      </c>
      <c r="G469" s="42" t="s">
        <v>107</v>
      </c>
      <c r="H469" s="42" t="s">
        <v>69</v>
      </c>
      <c r="I469" s="48" t="s">
        <v>989</v>
      </c>
      <c r="J469" s="42" t="s">
        <v>71</v>
      </c>
      <c r="K469" s="42"/>
      <c r="L469" s="42" t="s">
        <v>844</v>
      </c>
      <c r="M469" s="52">
        <v>47074</v>
      </c>
      <c r="N469" s="42" t="s">
        <v>623</v>
      </c>
      <c r="O469" s="11" t="s">
        <v>990</v>
      </c>
      <c r="P469" s="11" t="s">
        <v>156</v>
      </c>
      <c r="Q469" s="11" t="s">
        <v>991</v>
      </c>
      <c r="R469" s="11">
        <v>0.2</v>
      </c>
      <c r="S469" s="11"/>
      <c r="T469" s="12">
        <v>45056</v>
      </c>
      <c r="U469" s="21">
        <v>46517</v>
      </c>
      <c r="V469" s="13" t="s">
        <v>992</v>
      </c>
      <c r="W469" s="11" t="s">
        <v>993</v>
      </c>
      <c r="X469" s="11" t="s">
        <v>994</v>
      </c>
      <c r="Y469" s="11" t="s">
        <v>77</v>
      </c>
      <c r="Z469" s="11">
        <v>0</v>
      </c>
      <c r="AA469" s="11"/>
      <c r="AB469" s="12" t="s">
        <v>77</v>
      </c>
      <c r="AC469" s="12" t="s">
        <v>77</v>
      </c>
      <c r="AD469" s="12"/>
      <c r="AE469" s="42"/>
      <c r="AF469" s="43" t="s">
        <v>995</v>
      </c>
    </row>
    <row r="470" spans="1:32" ht="45" x14ac:dyDescent="0.25">
      <c r="A470" s="44"/>
      <c r="B470" s="42"/>
      <c r="C470" s="42"/>
      <c r="D470" s="42"/>
      <c r="E470" s="42"/>
      <c r="F470" s="42"/>
      <c r="G470" s="42"/>
      <c r="H470" s="42"/>
      <c r="I470" s="48"/>
      <c r="J470" s="42"/>
      <c r="K470" s="42"/>
      <c r="L470" s="42"/>
      <c r="M470" s="42"/>
      <c r="N470" s="42"/>
      <c r="O470" s="11" t="s">
        <v>990</v>
      </c>
      <c r="P470" s="11" t="s">
        <v>156</v>
      </c>
      <c r="Q470" s="11">
        <v>39213</v>
      </c>
      <c r="R470" s="11">
        <v>0.2</v>
      </c>
      <c r="S470" s="11"/>
      <c r="T470" s="12">
        <v>45406</v>
      </c>
      <c r="U470" s="12">
        <v>46866</v>
      </c>
      <c r="V470" s="13" t="s">
        <v>996</v>
      </c>
      <c r="W470" s="11" t="s">
        <v>993</v>
      </c>
      <c r="X470" s="11" t="s">
        <v>994</v>
      </c>
      <c r="Y470" s="11" t="s">
        <v>77</v>
      </c>
      <c r="Z470" s="11">
        <v>0</v>
      </c>
      <c r="AA470" s="11"/>
      <c r="AB470" s="12" t="s">
        <v>77</v>
      </c>
      <c r="AC470" s="12" t="s">
        <v>77</v>
      </c>
      <c r="AD470" s="12"/>
      <c r="AE470" s="42"/>
      <c r="AF470" s="42"/>
    </row>
    <row r="471" spans="1:32" ht="45" x14ac:dyDescent="0.25">
      <c r="A471" s="44"/>
      <c r="B471" s="42"/>
      <c r="C471" s="42"/>
      <c r="D471" s="42"/>
      <c r="E471" s="42"/>
      <c r="F471" s="42"/>
      <c r="G471" s="42"/>
      <c r="H471" s="42"/>
      <c r="I471" s="48"/>
      <c r="J471" s="42"/>
      <c r="K471" s="42"/>
      <c r="L471" s="42"/>
      <c r="M471" s="42"/>
      <c r="N471" s="42"/>
      <c r="O471" s="11" t="s">
        <v>997</v>
      </c>
      <c r="P471" s="11" t="s">
        <v>156</v>
      </c>
      <c r="Q471" s="11" t="s">
        <v>998</v>
      </c>
      <c r="R471" s="11">
        <v>0.2</v>
      </c>
      <c r="S471" s="11"/>
      <c r="T471" s="12">
        <v>45056</v>
      </c>
      <c r="U471" s="21">
        <v>46517</v>
      </c>
      <c r="V471" s="13" t="s">
        <v>999</v>
      </c>
      <c r="W471" s="11" t="s">
        <v>993</v>
      </c>
      <c r="X471" s="11" t="s">
        <v>994</v>
      </c>
      <c r="Y471" s="11" t="s">
        <v>77</v>
      </c>
      <c r="Z471" s="11">
        <v>0</v>
      </c>
      <c r="AA471" s="11"/>
      <c r="AB471" s="12" t="s">
        <v>77</v>
      </c>
      <c r="AC471" s="12" t="s">
        <v>77</v>
      </c>
      <c r="AD471" s="12"/>
      <c r="AE471" s="42"/>
      <c r="AF471" s="42"/>
    </row>
    <row r="472" spans="1:32" ht="23.85" customHeight="1" x14ac:dyDescent="0.25">
      <c r="A472" s="44">
        <v>155</v>
      </c>
      <c r="B472" s="42" t="s">
        <v>28</v>
      </c>
      <c r="C472" s="42" t="s">
        <v>619</v>
      </c>
      <c r="D472" s="42">
        <v>103662</v>
      </c>
      <c r="E472" s="42" t="s">
        <v>1000</v>
      </c>
      <c r="F472" s="42" t="s">
        <v>405</v>
      </c>
      <c r="G472" s="42" t="s">
        <v>597</v>
      </c>
      <c r="H472" s="42" t="s">
        <v>1001</v>
      </c>
      <c r="I472" s="48">
        <v>48302537</v>
      </c>
      <c r="J472" s="42" t="s">
        <v>35</v>
      </c>
      <c r="K472" s="42"/>
      <c r="L472" s="52">
        <v>44858</v>
      </c>
      <c r="M472" s="52">
        <v>50702</v>
      </c>
      <c r="N472" s="53" t="s">
        <v>1002</v>
      </c>
      <c r="O472" s="11" t="s">
        <v>990</v>
      </c>
      <c r="P472" s="11" t="s">
        <v>156</v>
      </c>
      <c r="Q472" s="11" t="s">
        <v>1003</v>
      </c>
      <c r="R472" s="11">
        <v>0.2</v>
      </c>
      <c r="S472" s="11"/>
      <c r="T472" s="12" t="s">
        <v>829</v>
      </c>
      <c r="U472" s="12">
        <v>46164</v>
      </c>
      <c r="V472" s="4" t="s">
        <v>124</v>
      </c>
      <c r="W472" s="11" t="s">
        <v>77</v>
      </c>
      <c r="X472" s="11" t="s">
        <v>77</v>
      </c>
      <c r="Y472" s="11" t="s">
        <v>77</v>
      </c>
      <c r="Z472" s="11">
        <v>0</v>
      </c>
      <c r="AA472" s="11"/>
      <c r="AB472" s="12" t="s">
        <v>77</v>
      </c>
      <c r="AC472" s="12" t="s">
        <v>77</v>
      </c>
      <c r="AD472" s="12"/>
      <c r="AE472" s="42"/>
      <c r="AF472" s="43" t="s">
        <v>995</v>
      </c>
    </row>
    <row r="473" spans="1:32" ht="25.5" x14ac:dyDescent="0.25">
      <c r="A473" s="44"/>
      <c r="B473" s="42"/>
      <c r="C473" s="42"/>
      <c r="D473" s="42"/>
      <c r="E473" s="42"/>
      <c r="F473" s="42"/>
      <c r="G473" s="42"/>
      <c r="H473" s="42"/>
      <c r="I473" s="48"/>
      <c r="J473" s="42"/>
      <c r="K473" s="42"/>
      <c r="L473" s="42"/>
      <c r="M473" s="42"/>
      <c r="N473" s="53"/>
      <c r="O473" s="11" t="s">
        <v>990</v>
      </c>
      <c r="P473" s="11" t="s">
        <v>156</v>
      </c>
      <c r="Q473" s="11" t="s">
        <v>1004</v>
      </c>
      <c r="R473" s="11">
        <v>0.2</v>
      </c>
      <c r="S473" s="11"/>
      <c r="T473" s="12" t="s">
        <v>829</v>
      </c>
      <c r="U473" s="12">
        <v>46164</v>
      </c>
      <c r="V473" s="4" t="s">
        <v>124</v>
      </c>
      <c r="W473" s="11" t="s">
        <v>77</v>
      </c>
      <c r="X473" s="11" t="s">
        <v>77</v>
      </c>
      <c r="Y473" s="11" t="s">
        <v>77</v>
      </c>
      <c r="Z473" s="11" t="s">
        <v>77</v>
      </c>
      <c r="AA473" s="11"/>
      <c r="AB473" s="12" t="s">
        <v>77</v>
      </c>
      <c r="AC473" s="12" t="s">
        <v>77</v>
      </c>
      <c r="AD473" s="12"/>
      <c r="AE473" s="42"/>
      <c r="AF473" s="42"/>
    </row>
    <row r="474" spans="1:32" x14ac:dyDescent="0.25">
      <c r="A474" s="44"/>
      <c r="B474" s="42"/>
      <c r="C474" s="42"/>
      <c r="D474" s="42"/>
      <c r="E474" s="42"/>
      <c r="F474" s="42"/>
      <c r="G474" s="42"/>
      <c r="H474" s="42"/>
      <c r="I474" s="48"/>
      <c r="J474" s="42"/>
      <c r="K474" s="42"/>
      <c r="L474" s="42"/>
      <c r="M474" s="42"/>
      <c r="N474" s="53"/>
      <c r="O474" s="11" t="s">
        <v>997</v>
      </c>
      <c r="P474" s="11" t="s">
        <v>156</v>
      </c>
      <c r="Q474" s="11" t="s">
        <v>1005</v>
      </c>
      <c r="R474" s="11">
        <v>0.2</v>
      </c>
      <c r="S474" s="11"/>
      <c r="T474" s="12" t="s">
        <v>829</v>
      </c>
      <c r="U474" s="12">
        <v>46164</v>
      </c>
      <c r="V474" s="4" t="s">
        <v>124</v>
      </c>
      <c r="W474" s="11" t="s">
        <v>77</v>
      </c>
      <c r="X474" s="11" t="s">
        <v>77</v>
      </c>
      <c r="Y474" s="11" t="s">
        <v>77</v>
      </c>
      <c r="Z474" s="11" t="s">
        <v>77</v>
      </c>
      <c r="AA474" s="11"/>
      <c r="AB474" s="12" t="s">
        <v>77</v>
      </c>
      <c r="AC474" s="12" t="s">
        <v>77</v>
      </c>
      <c r="AD474" s="12"/>
      <c r="AE474" s="42"/>
      <c r="AF474" s="42"/>
    </row>
    <row r="475" spans="1:32" ht="22.9" customHeight="1" x14ac:dyDescent="0.25">
      <c r="A475" s="44">
        <v>156</v>
      </c>
      <c r="B475" s="42" t="s">
        <v>28</v>
      </c>
      <c r="C475" s="42" t="s">
        <v>1006</v>
      </c>
      <c r="D475" s="42">
        <v>366616</v>
      </c>
      <c r="E475" s="42" t="s">
        <v>1007</v>
      </c>
      <c r="F475" s="42" t="s">
        <v>31</v>
      </c>
      <c r="G475" s="42" t="s">
        <v>90</v>
      </c>
      <c r="H475" s="42" t="s">
        <v>1008</v>
      </c>
      <c r="I475" s="48" t="s">
        <v>1009</v>
      </c>
      <c r="J475" s="42" t="s">
        <v>71</v>
      </c>
      <c r="K475" s="42"/>
      <c r="L475" s="52">
        <v>44875</v>
      </c>
      <c r="M475" s="52">
        <v>49258</v>
      </c>
      <c r="N475" s="53" t="s">
        <v>1010</v>
      </c>
      <c r="O475" s="11" t="s">
        <v>1011</v>
      </c>
      <c r="P475" s="11" t="s">
        <v>59</v>
      </c>
      <c r="Q475" s="11" t="s">
        <v>1012</v>
      </c>
      <c r="R475" s="11">
        <v>0.5</v>
      </c>
      <c r="S475" s="11"/>
      <c r="T475" s="12" t="s">
        <v>1013</v>
      </c>
      <c r="U475" s="12">
        <v>48328</v>
      </c>
      <c r="V475" s="4" t="s">
        <v>1014</v>
      </c>
      <c r="W475" s="11" t="s">
        <v>1015</v>
      </c>
      <c r="X475" s="11" t="s">
        <v>42</v>
      </c>
      <c r="Y475" s="11" t="s">
        <v>1016</v>
      </c>
      <c r="Z475" s="11">
        <v>0.5</v>
      </c>
      <c r="AA475" s="11"/>
      <c r="AB475" s="12" t="s">
        <v>1017</v>
      </c>
      <c r="AC475" s="12">
        <v>46639</v>
      </c>
      <c r="AD475" s="12" t="s">
        <v>124</v>
      </c>
      <c r="AE475" s="42"/>
      <c r="AF475" s="43" t="s">
        <v>45</v>
      </c>
    </row>
    <row r="476" spans="1:32" ht="38.25" x14ac:dyDescent="0.25">
      <c r="A476" s="44"/>
      <c r="B476" s="42"/>
      <c r="C476" s="42"/>
      <c r="D476" s="42"/>
      <c r="E476" s="42"/>
      <c r="F476" s="42"/>
      <c r="G476" s="42"/>
      <c r="H476" s="42"/>
      <c r="I476" s="48"/>
      <c r="J476" s="42"/>
      <c r="K476" s="42"/>
      <c r="L476" s="42"/>
      <c r="M476" s="42"/>
      <c r="N476" s="53"/>
      <c r="O476" s="11" t="s">
        <v>1011</v>
      </c>
      <c r="P476" s="11" t="s">
        <v>59</v>
      </c>
      <c r="Q476" s="11" t="s">
        <v>1018</v>
      </c>
      <c r="R476" s="11">
        <v>0.5</v>
      </c>
      <c r="S476" s="11"/>
      <c r="T476" s="12" t="s">
        <v>1013</v>
      </c>
      <c r="U476" s="12">
        <v>48328</v>
      </c>
      <c r="V476" s="4" t="s">
        <v>1019</v>
      </c>
      <c r="W476" s="11" t="s">
        <v>1015</v>
      </c>
      <c r="X476" s="11" t="s">
        <v>42</v>
      </c>
      <c r="Y476" s="11" t="s">
        <v>1020</v>
      </c>
      <c r="Z476" s="11">
        <v>0.5</v>
      </c>
      <c r="AA476" s="11"/>
      <c r="AB476" s="12" t="s">
        <v>1017</v>
      </c>
      <c r="AC476" s="12">
        <v>46639</v>
      </c>
      <c r="AD476" s="12" t="s">
        <v>124</v>
      </c>
      <c r="AE476" s="42"/>
      <c r="AF476" s="42"/>
    </row>
    <row r="477" spans="1:32" ht="38.25" x14ac:dyDescent="0.25">
      <c r="A477" s="44"/>
      <c r="B477" s="42"/>
      <c r="C477" s="42"/>
      <c r="D477" s="42"/>
      <c r="E477" s="42"/>
      <c r="F477" s="42"/>
      <c r="G477" s="42"/>
      <c r="H477" s="42"/>
      <c r="I477" s="48"/>
      <c r="J477" s="42"/>
      <c r="K477" s="42"/>
      <c r="L477" s="42"/>
      <c r="M477" s="42"/>
      <c r="N477" s="53"/>
      <c r="O477" s="11" t="s">
        <v>1021</v>
      </c>
      <c r="P477" s="11" t="s">
        <v>59</v>
      </c>
      <c r="Q477" s="11" t="s">
        <v>1022</v>
      </c>
      <c r="R477" s="11">
        <v>0.5</v>
      </c>
      <c r="S477" s="11"/>
      <c r="T477" s="12" t="s">
        <v>1013</v>
      </c>
      <c r="U477" s="12">
        <v>48328</v>
      </c>
      <c r="V477" s="4" t="s">
        <v>1023</v>
      </c>
      <c r="W477" s="11" t="s">
        <v>1024</v>
      </c>
      <c r="X477" s="11" t="s">
        <v>42</v>
      </c>
      <c r="Y477" s="11" t="s">
        <v>1025</v>
      </c>
      <c r="Z477" s="11">
        <v>0.5</v>
      </c>
      <c r="AA477" s="11"/>
      <c r="AB477" s="12" t="s">
        <v>1017</v>
      </c>
      <c r="AC477" s="12">
        <v>46639</v>
      </c>
      <c r="AD477" s="12" t="s">
        <v>124</v>
      </c>
      <c r="AE477" s="42"/>
      <c r="AF477" s="42"/>
    </row>
    <row r="478" spans="1:32" ht="22.9" customHeight="1" x14ac:dyDescent="0.25">
      <c r="A478" s="44">
        <v>157</v>
      </c>
      <c r="B478" s="42" t="s">
        <v>28</v>
      </c>
      <c r="C478" s="42" t="s">
        <v>1006</v>
      </c>
      <c r="D478" s="42">
        <v>366616</v>
      </c>
      <c r="E478" s="42" t="s">
        <v>1026</v>
      </c>
      <c r="F478" s="42" t="s">
        <v>31</v>
      </c>
      <c r="G478" s="42" t="s">
        <v>32</v>
      </c>
      <c r="H478" s="42" t="s">
        <v>1008</v>
      </c>
      <c r="I478" s="48" t="s">
        <v>1027</v>
      </c>
      <c r="J478" s="42" t="s">
        <v>71</v>
      </c>
      <c r="K478" s="42"/>
      <c r="L478" s="52">
        <v>45278</v>
      </c>
      <c r="M478" s="52">
        <v>49661</v>
      </c>
      <c r="N478" s="53" t="s">
        <v>1028</v>
      </c>
      <c r="O478" s="11" t="s">
        <v>1011</v>
      </c>
      <c r="P478" s="11" t="s">
        <v>156</v>
      </c>
      <c r="Q478" s="11" t="s">
        <v>1029</v>
      </c>
      <c r="R478" s="11">
        <v>0.5</v>
      </c>
      <c r="S478" s="11"/>
      <c r="T478" s="12" t="s">
        <v>1013</v>
      </c>
      <c r="U478" s="12">
        <v>48328</v>
      </c>
      <c r="V478" s="4" t="s">
        <v>1030</v>
      </c>
      <c r="W478" s="11" t="s">
        <v>1015</v>
      </c>
      <c r="X478" s="11" t="s">
        <v>42</v>
      </c>
      <c r="Y478" s="11" t="s">
        <v>1016</v>
      </c>
      <c r="Z478" s="11">
        <v>0.5</v>
      </c>
      <c r="AA478" s="11"/>
      <c r="AB478" s="12" t="s">
        <v>1017</v>
      </c>
      <c r="AC478" s="12">
        <v>46639</v>
      </c>
      <c r="AD478" s="12" t="s">
        <v>124</v>
      </c>
      <c r="AE478" s="42"/>
      <c r="AF478" s="43" t="s">
        <v>45</v>
      </c>
    </row>
    <row r="479" spans="1:32" ht="25.5" customHeight="1" x14ac:dyDescent="0.25">
      <c r="A479" s="44"/>
      <c r="B479" s="42"/>
      <c r="C479" s="42"/>
      <c r="D479" s="42"/>
      <c r="E479" s="42"/>
      <c r="F479" s="42"/>
      <c r="G479" s="42"/>
      <c r="H479" s="42"/>
      <c r="I479" s="48"/>
      <c r="J479" s="42"/>
      <c r="K479" s="42"/>
      <c r="L479" s="42"/>
      <c r="M479" s="42"/>
      <c r="N479" s="53"/>
      <c r="O479" s="11" t="s">
        <v>1011</v>
      </c>
      <c r="P479" s="11" t="s">
        <v>156</v>
      </c>
      <c r="Q479" s="11" t="s">
        <v>1031</v>
      </c>
      <c r="R479" s="11">
        <v>0.5</v>
      </c>
      <c r="S479" s="11"/>
      <c r="T479" s="12" t="s">
        <v>1013</v>
      </c>
      <c r="U479" s="12">
        <v>48328</v>
      </c>
      <c r="V479" s="4" t="s">
        <v>1032</v>
      </c>
      <c r="W479" s="11" t="s">
        <v>1015</v>
      </c>
      <c r="X479" s="11" t="s">
        <v>42</v>
      </c>
      <c r="Y479" s="11" t="s">
        <v>1020</v>
      </c>
      <c r="Z479" s="11">
        <v>0.5</v>
      </c>
      <c r="AA479" s="11"/>
      <c r="AB479" s="12" t="s">
        <v>1017</v>
      </c>
      <c r="AC479" s="12">
        <v>46639</v>
      </c>
      <c r="AD479" s="12" t="s">
        <v>124</v>
      </c>
      <c r="AE479" s="42"/>
      <c r="AF479" s="42"/>
    </row>
    <row r="480" spans="1:32" ht="12.75" customHeight="1" x14ac:dyDescent="0.25">
      <c r="A480" s="44"/>
      <c r="B480" s="42"/>
      <c r="C480" s="42"/>
      <c r="D480" s="42"/>
      <c r="E480" s="42"/>
      <c r="F480" s="42"/>
      <c r="G480" s="42"/>
      <c r="H480" s="42"/>
      <c r="I480" s="48"/>
      <c r="J480" s="42"/>
      <c r="K480" s="42"/>
      <c r="L480" s="42"/>
      <c r="M480" s="42"/>
      <c r="N480" s="53"/>
      <c r="O480" s="11" t="s">
        <v>1021</v>
      </c>
      <c r="P480" s="11" t="s">
        <v>156</v>
      </c>
      <c r="Q480" s="11" t="s">
        <v>1033</v>
      </c>
      <c r="R480" s="11">
        <v>0.5</v>
      </c>
      <c r="S480" s="11"/>
      <c r="T480" s="12" t="s">
        <v>1013</v>
      </c>
      <c r="U480" s="12">
        <v>48328</v>
      </c>
      <c r="V480" s="4" t="s">
        <v>1034</v>
      </c>
      <c r="W480" s="11" t="s">
        <v>1024</v>
      </c>
      <c r="X480" s="11" t="s">
        <v>42</v>
      </c>
      <c r="Y480" s="11" t="s">
        <v>1025</v>
      </c>
      <c r="Z480" s="11">
        <v>0.5</v>
      </c>
      <c r="AA480" s="11"/>
      <c r="AB480" s="12" t="s">
        <v>1017</v>
      </c>
      <c r="AC480" s="12">
        <v>46639</v>
      </c>
      <c r="AD480" s="12" t="s">
        <v>124</v>
      </c>
      <c r="AE480" s="42"/>
      <c r="AF480" s="42"/>
    </row>
    <row r="481" spans="1:32" ht="23.85" customHeight="1" x14ac:dyDescent="0.25">
      <c r="A481" s="44">
        <v>158</v>
      </c>
      <c r="B481" s="42" t="s">
        <v>28</v>
      </c>
      <c r="C481" s="42" t="s">
        <v>1006</v>
      </c>
      <c r="D481" s="42">
        <v>366616</v>
      </c>
      <c r="E481" s="42" t="s">
        <v>1035</v>
      </c>
      <c r="F481" s="42" t="s">
        <v>31</v>
      </c>
      <c r="G481" s="42" t="s">
        <v>32</v>
      </c>
      <c r="H481" s="42" t="s">
        <v>1036</v>
      </c>
      <c r="I481" s="48" t="s">
        <v>1037</v>
      </c>
      <c r="J481" s="42" t="s">
        <v>71</v>
      </c>
      <c r="K481" s="42"/>
      <c r="L481" s="42" t="s">
        <v>1038</v>
      </c>
      <c r="M481" s="52">
        <v>49258</v>
      </c>
      <c r="N481" s="53" t="s">
        <v>1039</v>
      </c>
      <c r="O481" s="11" t="s">
        <v>1040</v>
      </c>
      <c r="P481" s="11" t="s">
        <v>38</v>
      </c>
      <c r="Q481" s="11" t="s">
        <v>1041</v>
      </c>
      <c r="R481" s="11">
        <v>0</v>
      </c>
      <c r="S481" s="22"/>
      <c r="T481" s="12">
        <v>45216</v>
      </c>
      <c r="U481" s="21">
        <v>46677</v>
      </c>
      <c r="V481" s="22" t="s">
        <v>1042</v>
      </c>
      <c r="W481" s="11" t="s">
        <v>1015</v>
      </c>
      <c r="X481" s="11" t="s">
        <v>42</v>
      </c>
      <c r="Y481" s="11" t="s">
        <v>1043</v>
      </c>
      <c r="Z481" s="11">
        <v>0.5</v>
      </c>
      <c r="AA481" s="11"/>
      <c r="AB481" s="12" t="s">
        <v>1017</v>
      </c>
      <c r="AC481" s="12">
        <v>46639</v>
      </c>
      <c r="AD481" s="12" t="s">
        <v>124</v>
      </c>
      <c r="AE481" s="42"/>
      <c r="AF481" s="43" t="s">
        <v>45</v>
      </c>
    </row>
    <row r="482" spans="1:32" ht="45" x14ac:dyDescent="0.25">
      <c r="A482" s="44"/>
      <c r="B482" s="42"/>
      <c r="C482" s="42"/>
      <c r="D482" s="42"/>
      <c r="E482" s="42"/>
      <c r="F482" s="42"/>
      <c r="G482" s="42"/>
      <c r="H482" s="42"/>
      <c r="I482" s="48"/>
      <c r="J482" s="42"/>
      <c r="K482" s="42"/>
      <c r="L482" s="42"/>
      <c r="M482" s="42"/>
      <c r="N482" s="53"/>
      <c r="O482" s="11" t="s">
        <v>1040</v>
      </c>
      <c r="P482" s="11" t="s">
        <v>38</v>
      </c>
      <c r="Q482" s="11" t="s">
        <v>1044</v>
      </c>
      <c r="R482" s="11">
        <v>0</v>
      </c>
      <c r="S482" s="22"/>
      <c r="T482" s="12">
        <v>45216</v>
      </c>
      <c r="U482" s="21">
        <v>46677</v>
      </c>
      <c r="V482" s="22" t="s">
        <v>1045</v>
      </c>
      <c r="W482" s="11" t="s">
        <v>1015</v>
      </c>
      <c r="X482" s="11" t="s">
        <v>42</v>
      </c>
      <c r="Y482" s="11" t="s">
        <v>1046</v>
      </c>
      <c r="Z482" s="11">
        <v>0.5</v>
      </c>
      <c r="AA482" s="11"/>
      <c r="AB482" s="12" t="s">
        <v>1017</v>
      </c>
      <c r="AC482" s="12">
        <v>46639</v>
      </c>
      <c r="AD482" s="12" t="s">
        <v>124</v>
      </c>
      <c r="AE482" s="42"/>
      <c r="AF482" s="42"/>
    </row>
    <row r="483" spans="1:32" ht="45" x14ac:dyDescent="0.25">
      <c r="A483" s="44"/>
      <c r="B483" s="42"/>
      <c r="C483" s="42"/>
      <c r="D483" s="42"/>
      <c r="E483" s="42"/>
      <c r="F483" s="42"/>
      <c r="G483" s="42"/>
      <c r="H483" s="42"/>
      <c r="I483" s="48"/>
      <c r="J483" s="42"/>
      <c r="K483" s="42"/>
      <c r="L483" s="42"/>
      <c r="M483" s="42"/>
      <c r="N483" s="53"/>
      <c r="O483" s="11" t="s">
        <v>1047</v>
      </c>
      <c r="P483" s="11" t="s">
        <v>38</v>
      </c>
      <c r="Q483" s="11">
        <v>19286</v>
      </c>
      <c r="R483" s="11">
        <v>0</v>
      </c>
      <c r="S483" s="22"/>
      <c r="T483" s="12">
        <v>45216</v>
      </c>
      <c r="U483" s="21">
        <v>46677</v>
      </c>
      <c r="V483" s="22" t="s">
        <v>1048</v>
      </c>
      <c r="W483" s="11" t="s">
        <v>1024</v>
      </c>
      <c r="X483" s="11" t="s">
        <v>42</v>
      </c>
      <c r="Y483" s="11" t="s">
        <v>1049</v>
      </c>
      <c r="Z483" s="11">
        <v>0.5</v>
      </c>
      <c r="AA483" s="11"/>
      <c r="AB483" s="12" t="s">
        <v>1017</v>
      </c>
      <c r="AC483" s="12">
        <v>46639</v>
      </c>
      <c r="AD483" s="12" t="s">
        <v>124</v>
      </c>
      <c r="AE483" s="42"/>
      <c r="AF483" s="42"/>
    </row>
    <row r="484" spans="1:32" ht="22.9" customHeight="1" x14ac:dyDescent="0.25">
      <c r="A484" s="44">
        <v>159</v>
      </c>
      <c r="B484" s="42" t="s">
        <v>28</v>
      </c>
      <c r="C484" s="42" t="s">
        <v>1006</v>
      </c>
      <c r="D484" s="42">
        <v>366616</v>
      </c>
      <c r="E484" s="42" t="s">
        <v>1050</v>
      </c>
      <c r="F484" s="42" t="s">
        <v>31</v>
      </c>
      <c r="G484" s="42" t="s">
        <v>32</v>
      </c>
      <c r="H484" s="42" t="s">
        <v>1008</v>
      </c>
      <c r="I484" s="48" t="s">
        <v>1051</v>
      </c>
      <c r="J484" s="42" t="s">
        <v>71</v>
      </c>
      <c r="K484" s="42"/>
      <c r="L484" s="52">
        <v>45278</v>
      </c>
      <c r="M484" s="52">
        <v>49661</v>
      </c>
      <c r="N484" s="53" t="s">
        <v>1052</v>
      </c>
      <c r="O484" s="11" t="s">
        <v>1011</v>
      </c>
      <c r="P484" s="11" t="s">
        <v>163</v>
      </c>
      <c r="Q484" s="11" t="s">
        <v>1053</v>
      </c>
      <c r="R484" s="11">
        <v>0.5</v>
      </c>
      <c r="S484" s="11"/>
      <c r="T484" s="12" t="s">
        <v>1013</v>
      </c>
      <c r="U484" s="12">
        <v>48328</v>
      </c>
      <c r="V484" s="4" t="s">
        <v>1054</v>
      </c>
      <c r="W484" s="11" t="s">
        <v>1015</v>
      </c>
      <c r="X484" s="11" t="s">
        <v>42</v>
      </c>
      <c r="Y484" s="11" t="s">
        <v>1016</v>
      </c>
      <c r="Z484" s="11">
        <v>0.5</v>
      </c>
      <c r="AA484" s="11"/>
      <c r="AB484" s="12" t="s">
        <v>1017</v>
      </c>
      <c r="AC484" s="12">
        <v>46639</v>
      </c>
      <c r="AD484" s="12" t="s">
        <v>124</v>
      </c>
      <c r="AE484" s="42"/>
      <c r="AF484" s="43" t="s">
        <v>45</v>
      </c>
    </row>
    <row r="485" spans="1:32" ht="25.5" customHeight="1" x14ac:dyDescent="0.25">
      <c r="A485" s="44"/>
      <c r="B485" s="42"/>
      <c r="C485" s="42"/>
      <c r="D485" s="42"/>
      <c r="E485" s="42"/>
      <c r="F485" s="42"/>
      <c r="G485" s="42"/>
      <c r="H485" s="42"/>
      <c r="I485" s="48"/>
      <c r="J485" s="42"/>
      <c r="K485" s="42"/>
      <c r="L485" s="42"/>
      <c r="M485" s="42"/>
      <c r="N485" s="53"/>
      <c r="O485" s="11" t="s">
        <v>1011</v>
      </c>
      <c r="P485" s="11" t="s">
        <v>163</v>
      </c>
      <c r="Q485" s="11" t="s">
        <v>1055</v>
      </c>
      <c r="R485" s="11">
        <v>0.5</v>
      </c>
      <c r="S485" s="11"/>
      <c r="T485" s="12" t="s">
        <v>1013</v>
      </c>
      <c r="U485" s="12">
        <v>48328</v>
      </c>
      <c r="V485" s="4" t="s">
        <v>1056</v>
      </c>
      <c r="W485" s="11" t="s">
        <v>1015</v>
      </c>
      <c r="X485" s="11" t="s">
        <v>42</v>
      </c>
      <c r="Y485" s="11" t="s">
        <v>1020</v>
      </c>
      <c r="Z485" s="11">
        <v>0.5</v>
      </c>
      <c r="AA485" s="11"/>
      <c r="AB485" s="12" t="s">
        <v>1017</v>
      </c>
      <c r="AC485" s="12">
        <v>46639</v>
      </c>
      <c r="AD485" s="12" t="s">
        <v>124</v>
      </c>
      <c r="AE485" s="42"/>
      <c r="AF485" s="42"/>
    </row>
    <row r="486" spans="1:32" ht="12.75" customHeight="1" x14ac:dyDescent="0.25">
      <c r="A486" s="44"/>
      <c r="B486" s="42"/>
      <c r="C486" s="42"/>
      <c r="D486" s="42"/>
      <c r="E486" s="42"/>
      <c r="F486" s="42"/>
      <c r="G486" s="42"/>
      <c r="H486" s="42"/>
      <c r="I486" s="48"/>
      <c r="J486" s="42"/>
      <c r="K486" s="42"/>
      <c r="L486" s="42"/>
      <c r="M486" s="42"/>
      <c r="N486" s="53"/>
      <c r="O486" s="11" t="s">
        <v>1021</v>
      </c>
      <c r="P486" s="11" t="s">
        <v>163</v>
      </c>
      <c r="Q486" s="11" t="s">
        <v>1057</v>
      </c>
      <c r="R486" s="11">
        <v>0.5</v>
      </c>
      <c r="S486" s="11"/>
      <c r="T486" s="12" t="s">
        <v>1013</v>
      </c>
      <c r="U486" s="12">
        <v>48328</v>
      </c>
      <c r="V486" s="4" t="s">
        <v>1058</v>
      </c>
      <c r="W486" s="11" t="s">
        <v>1024</v>
      </c>
      <c r="X486" s="11" t="s">
        <v>42</v>
      </c>
      <c r="Y486" s="11" t="s">
        <v>1025</v>
      </c>
      <c r="Z486" s="11">
        <v>0.5</v>
      </c>
      <c r="AA486" s="11"/>
      <c r="AB486" s="12" t="s">
        <v>1017</v>
      </c>
      <c r="AC486" s="12">
        <v>46639</v>
      </c>
      <c r="AD486" s="12" t="s">
        <v>124</v>
      </c>
      <c r="AE486" s="42"/>
      <c r="AF486" s="42"/>
    </row>
    <row r="487" spans="1:32" ht="22.9" customHeight="1" x14ac:dyDescent="0.25">
      <c r="A487" s="44">
        <v>160</v>
      </c>
      <c r="B487" s="42" t="s">
        <v>28</v>
      </c>
      <c r="C487" s="42" t="s">
        <v>1006</v>
      </c>
      <c r="D487" s="42">
        <v>366616</v>
      </c>
      <c r="E487" s="42" t="s">
        <v>1059</v>
      </c>
      <c r="F487" s="42" t="s">
        <v>31</v>
      </c>
      <c r="G487" s="42" t="s">
        <v>32</v>
      </c>
      <c r="H487" s="42" t="s">
        <v>1008</v>
      </c>
      <c r="I487" s="48" t="s">
        <v>1060</v>
      </c>
      <c r="J487" s="42" t="s">
        <v>71</v>
      </c>
      <c r="K487" s="42"/>
      <c r="L487" s="52">
        <v>45278</v>
      </c>
      <c r="M487" s="52">
        <v>49661</v>
      </c>
      <c r="N487" s="53" t="s">
        <v>1061</v>
      </c>
      <c r="O487" s="11" t="s">
        <v>1011</v>
      </c>
      <c r="P487" s="11" t="s">
        <v>93</v>
      </c>
      <c r="Q487" s="11" t="s">
        <v>1062</v>
      </c>
      <c r="R487" s="11">
        <v>0.5</v>
      </c>
      <c r="S487" s="11"/>
      <c r="T487" s="12" t="s">
        <v>1013</v>
      </c>
      <c r="U487" s="12">
        <v>48328</v>
      </c>
      <c r="V487" s="4" t="s">
        <v>1063</v>
      </c>
      <c r="W487" s="11" t="s">
        <v>1015</v>
      </c>
      <c r="X487" s="11" t="s">
        <v>42</v>
      </c>
      <c r="Y487" s="11" t="s">
        <v>1016</v>
      </c>
      <c r="Z487" s="11">
        <v>0.5</v>
      </c>
      <c r="AA487" s="11"/>
      <c r="AB487" s="12" t="s">
        <v>1017</v>
      </c>
      <c r="AC487" s="12">
        <v>46639</v>
      </c>
      <c r="AD487" s="12" t="s">
        <v>124</v>
      </c>
      <c r="AE487" s="42"/>
      <c r="AF487" s="43" t="s">
        <v>45</v>
      </c>
    </row>
    <row r="488" spans="1:32" ht="25.5" customHeight="1" x14ac:dyDescent="0.25">
      <c r="A488" s="44"/>
      <c r="B488" s="42"/>
      <c r="C488" s="42"/>
      <c r="D488" s="42"/>
      <c r="E488" s="42"/>
      <c r="F488" s="42"/>
      <c r="G488" s="42"/>
      <c r="H488" s="42"/>
      <c r="I488" s="48"/>
      <c r="J488" s="42"/>
      <c r="K488" s="42"/>
      <c r="L488" s="42"/>
      <c r="M488" s="42"/>
      <c r="N488" s="53"/>
      <c r="O488" s="11" t="s">
        <v>1011</v>
      </c>
      <c r="P488" s="11" t="s">
        <v>93</v>
      </c>
      <c r="Q488" s="11" t="s">
        <v>1064</v>
      </c>
      <c r="R488" s="11">
        <v>0.5</v>
      </c>
      <c r="S488" s="11"/>
      <c r="T488" s="12" t="s">
        <v>1013</v>
      </c>
      <c r="U488" s="12">
        <v>48328</v>
      </c>
      <c r="V488" s="4" t="s">
        <v>1065</v>
      </c>
      <c r="W488" s="11" t="s">
        <v>1015</v>
      </c>
      <c r="X488" s="11" t="s">
        <v>42</v>
      </c>
      <c r="Y488" s="11" t="s">
        <v>1020</v>
      </c>
      <c r="Z488" s="11">
        <v>0.5</v>
      </c>
      <c r="AA488" s="11"/>
      <c r="AB488" s="12" t="s">
        <v>1017</v>
      </c>
      <c r="AC488" s="12">
        <v>46639</v>
      </c>
      <c r="AD488" s="12" t="s">
        <v>124</v>
      </c>
      <c r="AE488" s="42"/>
      <c r="AF488" s="42"/>
    </row>
    <row r="489" spans="1:32" ht="12.75" customHeight="1" x14ac:dyDescent="0.25">
      <c r="A489" s="44"/>
      <c r="B489" s="42"/>
      <c r="C489" s="42"/>
      <c r="D489" s="42"/>
      <c r="E489" s="42"/>
      <c r="F489" s="42"/>
      <c r="G489" s="42"/>
      <c r="H489" s="42"/>
      <c r="I489" s="48"/>
      <c r="J489" s="42"/>
      <c r="K489" s="42"/>
      <c r="L489" s="42"/>
      <c r="M489" s="42"/>
      <c r="N489" s="53"/>
      <c r="O489" s="11" t="s">
        <v>1021</v>
      </c>
      <c r="P489" s="11" t="s">
        <v>93</v>
      </c>
      <c r="Q489" s="11" t="s">
        <v>1066</v>
      </c>
      <c r="R489" s="11">
        <v>0.5</v>
      </c>
      <c r="S489" s="11"/>
      <c r="T489" s="12" t="s">
        <v>1013</v>
      </c>
      <c r="U489" s="12">
        <v>48328</v>
      </c>
      <c r="V489" s="4" t="s">
        <v>1067</v>
      </c>
      <c r="W489" s="11" t="s">
        <v>1024</v>
      </c>
      <c r="X489" s="11" t="s">
        <v>42</v>
      </c>
      <c r="Y489" s="11" t="s">
        <v>1025</v>
      </c>
      <c r="Z489" s="11">
        <v>0.5</v>
      </c>
      <c r="AA489" s="11"/>
      <c r="AB489" s="12" t="s">
        <v>1017</v>
      </c>
      <c r="AC489" s="12">
        <v>46639</v>
      </c>
      <c r="AD489" s="12" t="s">
        <v>124</v>
      </c>
      <c r="AE489" s="42"/>
      <c r="AF489" s="42"/>
    </row>
    <row r="490" spans="1:32" ht="25.5" customHeight="1" x14ac:dyDescent="0.25">
      <c r="A490" s="44">
        <v>161</v>
      </c>
      <c r="B490" s="42" t="s">
        <v>28</v>
      </c>
      <c r="C490" s="42" t="s">
        <v>1006</v>
      </c>
      <c r="D490" s="42">
        <v>366616</v>
      </c>
      <c r="E490" s="42" t="s">
        <v>1068</v>
      </c>
      <c r="F490" s="42" t="s">
        <v>31</v>
      </c>
      <c r="G490" s="42" t="s">
        <v>32</v>
      </c>
      <c r="H490" s="42"/>
      <c r="I490" s="48"/>
      <c r="J490" s="42" t="s">
        <v>71</v>
      </c>
      <c r="K490" s="42"/>
      <c r="L490" s="42">
        <v>0</v>
      </c>
      <c r="M490" s="52">
        <v>0</v>
      </c>
      <c r="N490" s="42"/>
      <c r="O490" s="11" t="s">
        <v>624</v>
      </c>
      <c r="P490" s="11" t="s">
        <v>625</v>
      </c>
      <c r="Q490" s="11" t="s">
        <v>1069</v>
      </c>
      <c r="R490" s="11">
        <v>0.5</v>
      </c>
      <c r="S490" s="11"/>
      <c r="T490" s="12" t="s">
        <v>1070</v>
      </c>
      <c r="U490" s="21">
        <v>46683</v>
      </c>
      <c r="V490" s="4" t="s">
        <v>124</v>
      </c>
      <c r="W490" s="11" t="s">
        <v>1015</v>
      </c>
      <c r="X490" s="11" t="s">
        <v>42</v>
      </c>
      <c r="Y490" s="11" t="s">
        <v>1016</v>
      </c>
      <c r="Z490" s="11">
        <v>0.5</v>
      </c>
      <c r="AA490" s="11"/>
      <c r="AB490" s="12" t="s">
        <v>1017</v>
      </c>
      <c r="AC490" s="12">
        <v>46639</v>
      </c>
      <c r="AD490" s="12" t="s">
        <v>124</v>
      </c>
      <c r="AE490" s="42"/>
      <c r="AF490" s="43" t="s">
        <v>45</v>
      </c>
    </row>
    <row r="491" spans="1:32" ht="25.5" customHeight="1" x14ac:dyDescent="0.25">
      <c r="A491" s="44"/>
      <c r="B491" s="42"/>
      <c r="C491" s="42"/>
      <c r="D491" s="42"/>
      <c r="E491" s="42"/>
      <c r="F491" s="42"/>
      <c r="G491" s="42"/>
      <c r="H491" s="42"/>
      <c r="I491" s="48"/>
      <c r="J491" s="42"/>
      <c r="K491" s="42"/>
      <c r="L491" s="42"/>
      <c r="M491" s="42"/>
      <c r="N491" s="42"/>
      <c r="O491" s="11" t="s">
        <v>624</v>
      </c>
      <c r="P491" s="11" t="s">
        <v>625</v>
      </c>
      <c r="Q491" s="11" t="s">
        <v>1071</v>
      </c>
      <c r="R491" s="11">
        <v>0.5</v>
      </c>
      <c r="S491" s="11"/>
      <c r="T491" s="12" t="s">
        <v>1070</v>
      </c>
      <c r="U491" s="21">
        <v>46683</v>
      </c>
      <c r="V491" s="4" t="s">
        <v>124</v>
      </c>
      <c r="W491" s="11" t="s">
        <v>1015</v>
      </c>
      <c r="X491" s="11" t="s">
        <v>42</v>
      </c>
      <c r="Y491" s="11" t="s">
        <v>1020</v>
      </c>
      <c r="Z491" s="11">
        <v>0.5</v>
      </c>
      <c r="AA491" s="11"/>
      <c r="AB491" s="12" t="s">
        <v>1017</v>
      </c>
      <c r="AC491" s="12">
        <v>46639</v>
      </c>
      <c r="AD491" s="12" t="s">
        <v>124</v>
      </c>
      <c r="AE491" s="42"/>
      <c r="AF491" s="42"/>
    </row>
    <row r="492" spans="1:32" ht="12.75" customHeight="1" x14ac:dyDescent="0.25">
      <c r="A492" s="44"/>
      <c r="B492" s="42"/>
      <c r="C492" s="42"/>
      <c r="D492" s="42"/>
      <c r="E492" s="42"/>
      <c r="F492" s="42"/>
      <c r="G492" s="42"/>
      <c r="H492" s="42"/>
      <c r="I492" s="48"/>
      <c r="J492" s="42"/>
      <c r="K492" s="42"/>
      <c r="L492" s="42"/>
      <c r="M492" s="42"/>
      <c r="N492" s="42"/>
      <c r="O492" s="11" t="s">
        <v>635</v>
      </c>
      <c r="P492" s="11" t="s">
        <v>625</v>
      </c>
      <c r="Q492" s="11" t="s">
        <v>1072</v>
      </c>
      <c r="R492" s="11">
        <v>0.5</v>
      </c>
      <c r="S492" s="11"/>
      <c r="T492" s="12" t="s">
        <v>1070</v>
      </c>
      <c r="U492" s="21">
        <v>46683</v>
      </c>
      <c r="V492" s="4" t="s">
        <v>124</v>
      </c>
      <c r="W492" s="11" t="s">
        <v>1024</v>
      </c>
      <c r="X492" s="11" t="s">
        <v>42</v>
      </c>
      <c r="Y492" s="11" t="s">
        <v>1025</v>
      </c>
      <c r="Z492" s="11">
        <v>0.5</v>
      </c>
      <c r="AA492" s="11"/>
      <c r="AB492" s="12" t="s">
        <v>1017</v>
      </c>
      <c r="AC492" s="12">
        <v>46639</v>
      </c>
      <c r="AD492" s="12" t="s">
        <v>124</v>
      </c>
      <c r="AE492" s="42"/>
      <c r="AF492" s="42"/>
    </row>
    <row r="493" spans="1:32" ht="22.9" customHeight="1" x14ac:dyDescent="0.25">
      <c r="A493" s="44">
        <v>162</v>
      </c>
      <c r="B493" s="42" t="s">
        <v>28</v>
      </c>
      <c r="C493" s="42" t="s">
        <v>1006</v>
      </c>
      <c r="D493" s="42">
        <v>366616</v>
      </c>
      <c r="E493" s="42" t="s">
        <v>1073</v>
      </c>
      <c r="F493" s="42" t="s">
        <v>31</v>
      </c>
      <c r="G493" s="42" t="s">
        <v>32</v>
      </c>
      <c r="H493" s="42" t="s">
        <v>1008</v>
      </c>
      <c r="I493" s="48" t="s">
        <v>1074</v>
      </c>
      <c r="J493" s="42" t="s">
        <v>71</v>
      </c>
      <c r="K493" s="42"/>
      <c r="L493" s="52">
        <v>45278</v>
      </c>
      <c r="M493" s="52">
        <v>49661</v>
      </c>
      <c r="N493" s="53" t="s">
        <v>1075</v>
      </c>
      <c r="O493" s="11" t="s">
        <v>1011</v>
      </c>
      <c r="P493" s="11" t="s">
        <v>163</v>
      </c>
      <c r="Q493" s="11" t="s">
        <v>1076</v>
      </c>
      <c r="R493" s="11">
        <v>0.5</v>
      </c>
      <c r="S493" s="11"/>
      <c r="T493" s="12" t="s">
        <v>1013</v>
      </c>
      <c r="U493" s="12">
        <v>48328</v>
      </c>
      <c r="V493" s="4" t="s">
        <v>1077</v>
      </c>
      <c r="W493" s="11" t="s">
        <v>1015</v>
      </c>
      <c r="X493" s="11" t="s">
        <v>42</v>
      </c>
      <c r="Y493" s="11" t="s">
        <v>1016</v>
      </c>
      <c r="Z493" s="11">
        <v>0.5</v>
      </c>
      <c r="AA493" s="11"/>
      <c r="AB493" s="12" t="s">
        <v>1017</v>
      </c>
      <c r="AC493" s="12">
        <v>46639</v>
      </c>
      <c r="AD493" s="12" t="s">
        <v>124</v>
      </c>
      <c r="AE493" s="42"/>
      <c r="AF493" s="43" t="s">
        <v>45</v>
      </c>
    </row>
    <row r="494" spans="1:32" ht="25.5" customHeight="1" x14ac:dyDescent="0.25">
      <c r="A494" s="44"/>
      <c r="B494" s="42"/>
      <c r="C494" s="42"/>
      <c r="D494" s="42"/>
      <c r="E494" s="42"/>
      <c r="F494" s="42"/>
      <c r="G494" s="42"/>
      <c r="H494" s="42"/>
      <c r="I494" s="48"/>
      <c r="J494" s="42"/>
      <c r="K494" s="42"/>
      <c r="L494" s="42"/>
      <c r="M494" s="42"/>
      <c r="N494" s="53"/>
      <c r="O494" s="11" t="s">
        <v>1011</v>
      </c>
      <c r="P494" s="11" t="s">
        <v>163</v>
      </c>
      <c r="Q494" s="11" t="s">
        <v>1078</v>
      </c>
      <c r="R494" s="11">
        <v>0.5</v>
      </c>
      <c r="S494" s="11"/>
      <c r="T494" s="12" t="s">
        <v>1013</v>
      </c>
      <c r="U494" s="12">
        <v>48328</v>
      </c>
      <c r="V494" s="4" t="s">
        <v>1079</v>
      </c>
      <c r="W494" s="11" t="s">
        <v>1015</v>
      </c>
      <c r="X494" s="11" t="s">
        <v>42</v>
      </c>
      <c r="Y494" s="11" t="s">
        <v>1020</v>
      </c>
      <c r="Z494" s="11">
        <v>0.5</v>
      </c>
      <c r="AA494" s="11"/>
      <c r="AB494" s="12" t="s">
        <v>1017</v>
      </c>
      <c r="AC494" s="12">
        <v>46639</v>
      </c>
      <c r="AD494" s="12" t="s">
        <v>124</v>
      </c>
      <c r="AE494" s="42"/>
      <c r="AF494" s="42"/>
    </row>
    <row r="495" spans="1:32" ht="12.75" customHeight="1" x14ac:dyDescent="0.25">
      <c r="A495" s="44"/>
      <c r="B495" s="42"/>
      <c r="C495" s="42"/>
      <c r="D495" s="42"/>
      <c r="E495" s="42"/>
      <c r="F495" s="42"/>
      <c r="G495" s="42"/>
      <c r="H495" s="42"/>
      <c r="I495" s="48"/>
      <c r="J495" s="42"/>
      <c r="K495" s="42"/>
      <c r="L495" s="42"/>
      <c r="M495" s="42"/>
      <c r="N495" s="53"/>
      <c r="O495" s="11" t="s">
        <v>1021</v>
      </c>
      <c r="P495" s="11" t="s">
        <v>163</v>
      </c>
      <c r="Q495" s="11" t="s">
        <v>1080</v>
      </c>
      <c r="R495" s="11">
        <v>0.5</v>
      </c>
      <c r="S495" s="11"/>
      <c r="T495" s="12" t="s">
        <v>1013</v>
      </c>
      <c r="U495" s="12">
        <v>48328</v>
      </c>
      <c r="V495" s="4" t="s">
        <v>1081</v>
      </c>
      <c r="W495" s="11" t="s">
        <v>1024</v>
      </c>
      <c r="X495" s="11" t="s">
        <v>42</v>
      </c>
      <c r="Y495" s="11" t="s">
        <v>1025</v>
      </c>
      <c r="Z495" s="11">
        <v>0.5</v>
      </c>
      <c r="AA495" s="11"/>
      <c r="AB495" s="12" t="s">
        <v>1017</v>
      </c>
      <c r="AC495" s="12">
        <v>46639</v>
      </c>
      <c r="AD495" s="12" t="s">
        <v>124</v>
      </c>
      <c r="AE495" s="42"/>
      <c r="AF495" s="42"/>
    </row>
    <row r="496" spans="1:32" ht="22.9" customHeight="1" x14ac:dyDescent="0.25">
      <c r="A496" s="44">
        <v>163</v>
      </c>
      <c r="B496" s="42" t="s">
        <v>28</v>
      </c>
      <c r="C496" s="42" t="s">
        <v>1006</v>
      </c>
      <c r="D496" s="42">
        <v>366616</v>
      </c>
      <c r="E496" s="42" t="s">
        <v>1082</v>
      </c>
      <c r="F496" s="42" t="s">
        <v>31</v>
      </c>
      <c r="G496" s="42" t="s">
        <v>32</v>
      </c>
      <c r="H496" s="42" t="s">
        <v>1008</v>
      </c>
      <c r="I496" s="48" t="s">
        <v>1083</v>
      </c>
      <c r="J496" s="42" t="s">
        <v>71</v>
      </c>
      <c r="K496" s="42"/>
      <c r="L496" s="52">
        <v>45278</v>
      </c>
      <c r="M496" s="52">
        <v>49661</v>
      </c>
      <c r="N496" s="53" t="s">
        <v>1084</v>
      </c>
      <c r="O496" s="11" t="s">
        <v>1011</v>
      </c>
      <c r="P496" s="11" t="s">
        <v>156</v>
      </c>
      <c r="Q496" s="11" t="s">
        <v>1085</v>
      </c>
      <c r="R496" s="11">
        <v>0.5</v>
      </c>
      <c r="S496" s="11"/>
      <c r="T496" s="12" t="s">
        <v>1086</v>
      </c>
      <c r="U496" s="12">
        <v>48329</v>
      </c>
      <c r="V496" s="4" t="s">
        <v>1087</v>
      </c>
      <c r="W496" s="11" t="s">
        <v>1015</v>
      </c>
      <c r="X496" s="11" t="s">
        <v>42</v>
      </c>
      <c r="Y496" s="11" t="s">
        <v>1016</v>
      </c>
      <c r="Z496" s="11">
        <v>0.5</v>
      </c>
      <c r="AA496" s="11"/>
      <c r="AB496" s="12" t="s">
        <v>1017</v>
      </c>
      <c r="AC496" s="12">
        <v>46639</v>
      </c>
      <c r="AD496" s="12" t="s">
        <v>124</v>
      </c>
      <c r="AE496" s="42"/>
      <c r="AF496" s="43" t="s">
        <v>45</v>
      </c>
    </row>
    <row r="497" spans="1:32" ht="25.5" customHeight="1" x14ac:dyDescent="0.25">
      <c r="A497" s="44"/>
      <c r="B497" s="42"/>
      <c r="C497" s="42"/>
      <c r="D497" s="42"/>
      <c r="E497" s="42"/>
      <c r="F497" s="42"/>
      <c r="G497" s="42"/>
      <c r="H497" s="42"/>
      <c r="I497" s="48"/>
      <c r="J497" s="42"/>
      <c r="K497" s="42"/>
      <c r="L497" s="42"/>
      <c r="M497" s="42"/>
      <c r="N497" s="53"/>
      <c r="O497" s="11" t="s">
        <v>1011</v>
      </c>
      <c r="P497" s="11" t="s">
        <v>156</v>
      </c>
      <c r="Q497" s="11" t="s">
        <v>1088</v>
      </c>
      <c r="R497" s="11">
        <v>0.5</v>
      </c>
      <c r="S497" s="11"/>
      <c r="T497" s="12" t="s">
        <v>1086</v>
      </c>
      <c r="U497" s="12">
        <v>48329</v>
      </c>
      <c r="V497" s="4" t="s">
        <v>1089</v>
      </c>
      <c r="W497" s="11" t="s">
        <v>1015</v>
      </c>
      <c r="X497" s="11" t="s">
        <v>42</v>
      </c>
      <c r="Y497" s="11" t="s">
        <v>1020</v>
      </c>
      <c r="Z497" s="11">
        <v>0.5</v>
      </c>
      <c r="AA497" s="11"/>
      <c r="AB497" s="12" t="s">
        <v>1017</v>
      </c>
      <c r="AC497" s="12">
        <v>46639</v>
      </c>
      <c r="AD497" s="12" t="s">
        <v>124</v>
      </c>
      <c r="AE497" s="42"/>
      <c r="AF497" s="42"/>
    </row>
    <row r="498" spans="1:32" ht="12.75" customHeight="1" x14ac:dyDescent="0.25">
      <c r="A498" s="44"/>
      <c r="B498" s="42"/>
      <c r="C498" s="42"/>
      <c r="D498" s="42"/>
      <c r="E498" s="42"/>
      <c r="F498" s="42"/>
      <c r="G498" s="42"/>
      <c r="H498" s="42"/>
      <c r="I498" s="48"/>
      <c r="J498" s="42"/>
      <c r="K498" s="42"/>
      <c r="L498" s="42"/>
      <c r="M498" s="42"/>
      <c r="N498" s="53"/>
      <c r="O498" s="11" t="s">
        <v>1021</v>
      </c>
      <c r="P498" s="11" t="s">
        <v>156</v>
      </c>
      <c r="Q498" s="11" t="s">
        <v>1090</v>
      </c>
      <c r="R498" s="11">
        <v>0.5</v>
      </c>
      <c r="S498" s="11"/>
      <c r="T498" s="12" t="s">
        <v>1086</v>
      </c>
      <c r="U498" s="12">
        <v>48329</v>
      </c>
      <c r="V498" s="4" t="s">
        <v>1091</v>
      </c>
      <c r="W498" s="11" t="s">
        <v>1024</v>
      </c>
      <c r="X498" s="11" t="s">
        <v>42</v>
      </c>
      <c r="Y498" s="11" t="s">
        <v>1025</v>
      </c>
      <c r="Z498" s="11">
        <v>0.5</v>
      </c>
      <c r="AA498" s="11"/>
      <c r="AB498" s="12" t="s">
        <v>1017</v>
      </c>
      <c r="AC498" s="12">
        <v>46639</v>
      </c>
      <c r="AD498" s="12" t="s">
        <v>124</v>
      </c>
      <c r="AE498" s="42"/>
      <c r="AF498" s="42"/>
    </row>
    <row r="499" spans="1:32" ht="22.9" customHeight="1" x14ac:dyDescent="0.25">
      <c r="A499" s="44">
        <v>164</v>
      </c>
      <c r="B499" s="42" t="s">
        <v>28</v>
      </c>
      <c r="C499" s="42" t="s">
        <v>1006</v>
      </c>
      <c r="D499" s="42">
        <v>366616</v>
      </c>
      <c r="E499" s="42" t="s">
        <v>1092</v>
      </c>
      <c r="F499" s="42" t="s">
        <v>31</v>
      </c>
      <c r="G499" s="42" t="s">
        <v>32</v>
      </c>
      <c r="H499" s="42" t="s">
        <v>1008</v>
      </c>
      <c r="I499" s="48" t="s">
        <v>1093</v>
      </c>
      <c r="J499" s="42" t="s">
        <v>71</v>
      </c>
      <c r="K499" s="42"/>
      <c r="L499" s="52">
        <v>45278</v>
      </c>
      <c r="M499" s="52">
        <v>49661</v>
      </c>
      <c r="N499" s="53" t="s">
        <v>1094</v>
      </c>
      <c r="O499" s="11" t="s">
        <v>1011</v>
      </c>
      <c r="P499" s="11" t="s">
        <v>163</v>
      </c>
      <c r="Q499" s="11" t="s">
        <v>1095</v>
      </c>
      <c r="R499" s="11">
        <v>0.5</v>
      </c>
      <c r="S499" s="11"/>
      <c r="T499" s="12" t="s">
        <v>1086</v>
      </c>
      <c r="U499" s="12">
        <v>48329</v>
      </c>
      <c r="V499" s="4" t="s">
        <v>1096</v>
      </c>
      <c r="W499" s="11" t="s">
        <v>1015</v>
      </c>
      <c r="X499" s="11" t="s">
        <v>42</v>
      </c>
      <c r="Y499" s="11" t="s">
        <v>1016</v>
      </c>
      <c r="Z499" s="11">
        <v>0.5</v>
      </c>
      <c r="AA499" s="11"/>
      <c r="AB499" s="12" t="s">
        <v>1017</v>
      </c>
      <c r="AC499" s="12">
        <v>46639</v>
      </c>
      <c r="AD499" s="12" t="s">
        <v>124</v>
      </c>
      <c r="AE499" s="42"/>
      <c r="AF499" s="43" t="s">
        <v>45</v>
      </c>
    </row>
    <row r="500" spans="1:32" ht="25.5" customHeight="1" x14ac:dyDescent="0.25">
      <c r="A500" s="44"/>
      <c r="B500" s="42"/>
      <c r="C500" s="42"/>
      <c r="D500" s="42"/>
      <c r="E500" s="42"/>
      <c r="F500" s="42"/>
      <c r="G500" s="42"/>
      <c r="H500" s="42"/>
      <c r="I500" s="48"/>
      <c r="J500" s="42"/>
      <c r="K500" s="42"/>
      <c r="L500" s="42"/>
      <c r="M500" s="42"/>
      <c r="N500" s="53"/>
      <c r="O500" s="11" t="s">
        <v>1011</v>
      </c>
      <c r="P500" s="11" t="s">
        <v>163</v>
      </c>
      <c r="Q500" s="11" t="s">
        <v>1097</v>
      </c>
      <c r="R500" s="11">
        <v>0.5</v>
      </c>
      <c r="S500" s="11"/>
      <c r="T500" s="12" t="s">
        <v>1086</v>
      </c>
      <c r="U500" s="12">
        <v>48329</v>
      </c>
      <c r="V500" s="4" t="s">
        <v>1098</v>
      </c>
      <c r="W500" s="11" t="s">
        <v>1015</v>
      </c>
      <c r="X500" s="11" t="s">
        <v>42</v>
      </c>
      <c r="Y500" s="11" t="s">
        <v>1020</v>
      </c>
      <c r="Z500" s="11">
        <v>0.5</v>
      </c>
      <c r="AA500" s="11"/>
      <c r="AB500" s="12" t="s">
        <v>1017</v>
      </c>
      <c r="AC500" s="12">
        <v>46639</v>
      </c>
      <c r="AD500" s="12" t="s">
        <v>124</v>
      </c>
      <c r="AE500" s="42"/>
      <c r="AF500" s="42"/>
    </row>
    <row r="501" spans="1:32" ht="12.75" customHeight="1" x14ac:dyDescent="0.25">
      <c r="A501" s="44"/>
      <c r="B501" s="42"/>
      <c r="C501" s="42"/>
      <c r="D501" s="42"/>
      <c r="E501" s="42"/>
      <c r="F501" s="42"/>
      <c r="G501" s="42"/>
      <c r="H501" s="42"/>
      <c r="I501" s="48"/>
      <c r="J501" s="42"/>
      <c r="K501" s="42"/>
      <c r="L501" s="42"/>
      <c r="M501" s="42"/>
      <c r="N501" s="53"/>
      <c r="O501" s="11" t="s">
        <v>1021</v>
      </c>
      <c r="P501" s="11" t="s">
        <v>163</v>
      </c>
      <c r="Q501" s="11" t="s">
        <v>1099</v>
      </c>
      <c r="R501" s="11">
        <v>0.5</v>
      </c>
      <c r="S501" s="11"/>
      <c r="T501" s="12" t="s">
        <v>1086</v>
      </c>
      <c r="U501" s="12">
        <v>48329</v>
      </c>
      <c r="V501" s="4" t="s">
        <v>1100</v>
      </c>
      <c r="W501" s="11" t="s">
        <v>1024</v>
      </c>
      <c r="X501" s="11" t="s">
        <v>42</v>
      </c>
      <c r="Y501" s="11" t="s">
        <v>1025</v>
      </c>
      <c r="Z501" s="11">
        <v>0.5</v>
      </c>
      <c r="AA501" s="11"/>
      <c r="AB501" s="12" t="s">
        <v>1017</v>
      </c>
      <c r="AC501" s="12">
        <v>46639</v>
      </c>
      <c r="AD501" s="12" t="s">
        <v>124</v>
      </c>
      <c r="AE501" s="42"/>
      <c r="AF501" s="42"/>
    </row>
    <row r="502" spans="1:32" ht="22.9" customHeight="1" x14ac:dyDescent="0.25">
      <c r="A502" s="44">
        <v>165</v>
      </c>
      <c r="B502" s="42" t="s">
        <v>28</v>
      </c>
      <c r="C502" s="42" t="s">
        <v>1006</v>
      </c>
      <c r="D502" s="42">
        <v>366616</v>
      </c>
      <c r="E502" s="42" t="s">
        <v>1101</v>
      </c>
      <c r="F502" s="42" t="s">
        <v>31</v>
      </c>
      <c r="G502" s="42" t="s">
        <v>90</v>
      </c>
      <c r="H502" s="42" t="s">
        <v>1008</v>
      </c>
      <c r="I502" s="48" t="s">
        <v>1102</v>
      </c>
      <c r="J502" s="42" t="s">
        <v>71</v>
      </c>
      <c r="K502" s="42"/>
      <c r="L502" s="52">
        <v>45211</v>
      </c>
      <c r="M502" s="52">
        <v>49593</v>
      </c>
      <c r="N502" s="53" t="s">
        <v>1103</v>
      </c>
      <c r="O502" s="11" t="s">
        <v>1011</v>
      </c>
      <c r="P502" s="11" t="s">
        <v>93</v>
      </c>
      <c r="Q502" s="11" t="s">
        <v>1104</v>
      </c>
      <c r="R502" s="11">
        <v>0.5</v>
      </c>
      <c r="S502" s="11"/>
      <c r="T502" s="12" t="s">
        <v>1086</v>
      </c>
      <c r="U502" s="12">
        <v>48329</v>
      </c>
      <c r="V502" s="4" t="s">
        <v>1105</v>
      </c>
      <c r="W502" s="11" t="s">
        <v>1015</v>
      </c>
      <c r="X502" s="11" t="s">
        <v>42</v>
      </c>
      <c r="Y502" s="11" t="s">
        <v>1016</v>
      </c>
      <c r="Z502" s="11">
        <v>0.5</v>
      </c>
      <c r="AA502" s="11"/>
      <c r="AB502" s="12" t="s">
        <v>1017</v>
      </c>
      <c r="AC502" s="12">
        <v>46639</v>
      </c>
      <c r="AD502" s="12" t="s">
        <v>124</v>
      </c>
      <c r="AE502" s="42"/>
      <c r="AF502" s="43" t="s">
        <v>45</v>
      </c>
    </row>
    <row r="503" spans="1:32" ht="25.5" customHeight="1" x14ac:dyDescent="0.25">
      <c r="A503" s="44"/>
      <c r="B503" s="42"/>
      <c r="C503" s="42"/>
      <c r="D503" s="42"/>
      <c r="E503" s="42"/>
      <c r="F503" s="42"/>
      <c r="G503" s="42"/>
      <c r="H503" s="42"/>
      <c r="I503" s="48"/>
      <c r="J503" s="42"/>
      <c r="K503" s="42"/>
      <c r="L503" s="42"/>
      <c r="M503" s="42"/>
      <c r="N503" s="53"/>
      <c r="O503" s="11" t="s">
        <v>1011</v>
      </c>
      <c r="P503" s="11" t="s">
        <v>93</v>
      </c>
      <c r="Q503" s="11" t="s">
        <v>1106</v>
      </c>
      <c r="R503" s="11">
        <v>0.5</v>
      </c>
      <c r="S503" s="11"/>
      <c r="T503" s="12" t="s">
        <v>1086</v>
      </c>
      <c r="U503" s="12">
        <v>48329</v>
      </c>
      <c r="V503" s="4" t="s">
        <v>1107</v>
      </c>
      <c r="W503" s="11" t="s">
        <v>1015</v>
      </c>
      <c r="X503" s="11" t="s">
        <v>42</v>
      </c>
      <c r="Y503" s="11" t="s">
        <v>1020</v>
      </c>
      <c r="Z503" s="11">
        <v>0.5</v>
      </c>
      <c r="AA503" s="11"/>
      <c r="AB503" s="12" t="s">
        <v>1017</v>
      </c>
      <c r="AC503" s="12">
        <v>46639</v>
      </c>
      <c r="AD503" s="12" t="s">
        <v>124</v>
      </c>
      <c r="AE503" s="42"/>
      <c r="AF503" s="42"/>
    </row>
    <row r="504" spans="1:32" ht="12.75" customHeight="1" x14ac:dyDescent="0.25">
      <c r="A504" s="44"/>
      <c r="B504" s="42"/>
      <c r="C504" s="42"/>
      <c r="D504" s="42"/>
      <c r="E504" s="42"/>
      <c r="F504" s="42"/>
      <c r="G504" s="42"/>
      <c r="H504" s="42"/>
      <c r="I504" s="48"/>
      <c r="J504" s="42"/>
      <c r="K504" s="42"/>
      <c r="L504" s="42"/>
      <c r="M504" s="42"/>
      <c r="N504" s="53"/>
      <c r="O504" s="11" t="s">
        <v>1021</v>
      </c>
      <c r="P504" s="11" t="s">
        <v>93</v>
      </c>
      <c r="Q504" s="11" t="s">
        <v>1108</v>
      </c>
      <c r="R504" s="11">
        <v>0.5</v>
      </c>
      <c r="S504" s="11"/>
      <c r="T504" s="12" t="s">
        <v>1086</v>
      </c>
      <c r="U504" s="12">
        <v>48329</v>
      </c>
      <c r="V504" s="4" t="s">
        <v>1109</v>
      </c>
      <c r="W504" s="11" t="s">
        <v>1024</v>
      </c>
      <c r="X504" s="11" t="s">
        <v>42</v>
      </c>
      <c r="Y504" s="11" t="s">
        <v>1025</v>
      </c>
      <c r="Z504" s="11">
        <v>0.5</v>
      </c>
      <c r="AA504" s="11"/>
      <c r="AB504" s="12" t="s">
        <v>1017</v>
      </c>
      <c r="AC504" s="12">
        <v>46639</v>
      </c>
      <c r="AD504" s="12" t="s">
        <v>124</v>
      </c>
      <c r="AE504" s="42"/>
      <c r="AF504" s="42"/>
    </row>
    <row r="505" spans="1:32" ht="22.9" customHeight="1" x14ac:dyDescent="0.25">
      <c r="A505" s="44">
        <v>166</v>
      </c>
      <c r="B505" s="42" t="s">
        <v>28</v>
      </c>
      <c r="C505" s="42" t="s">
        <v>1006</v>
      </c>
      <c r="D505" s="42">
        <v>366616</v>
      </c>
      <c r="E505" s="42" t="s">
        <v>1110</v>
      </c>
      <c r="F505" s="42" t="s">
        <v>31</v>
      </c>
      <c r="G505" s="42" t="s">
        <v>32</v>
      </c>
      <c r="H505" s="42" t="s">
        <v>1008</v>
      </c>
      <c r="I505" s="48" t="s">
        <v>1111</v>
      </c>
      <c r="J505" s="42" t="s">
        <v>71</v>
      </c>
      <c r="K505" s="42"/>
      <c r="L505" s="52">
        <v>45211</v>
      </c>
      <c r="M505" s="52">
        <v>49593</v>
      </c>
      <c r="N505" s="53" t="s">
        <v>1112</v>
      </c>
      <c r="O505" s="11" t="s">
        <v>1011</v>
      </c>
      <c r="P505" s="11" t="s">
        <v>156</v>
      </c>
      <c r="Q505" s="11" t="s">
        <v>1113</v>
      </c>
      <c r="R505" s="11">
        <v>0.5</v>
      </c>
      <c r="S505" s="11"/>
      <c r="T505" s="12" t="s">
        <v>1086</v>
      </c>
      <c r="U505" s="12">
        <v>48329</v>
      </c>
      <c r="V505" s="4" t="s">
        <v>1114</v>
      </c>
      <c r="W505" s="11" t="s">
        <v>1015</v>
      </c>
      <c r="X505" s="11" t="s">
        <v>42</v>
      </c>
      <c r="Y505" s="11" t="s">
        <v>1016</v>
      </c>
      <c r="Z505" s="11">
        <v>0.5</v>
      </c>
      <c r="AA505" s="11"/>
      <c r="AB505" s="12" t="s">
        <v>1017</v>
      </c>
      <c r="AC505" s="12">
        <v>46639</v>
      </c>
      <c r="AD505" s="12" t="s">
        <v>124</v>
      </c>
      <c r="AE505" s="42"/>
      <c r="AF505" s="43" t="s">
        <v>45</v>
      </c>
    </row>
    <row r="506" spans="1:32" ht="25.5" customHeight="1" x14ac:dyDescent="0.25">
      <c r="A506" s="44"/>
      <c r="B506" s="42"/>
      <c r="C506" s="42"/>
      <c r="D506" s="42"/>
      <c r="E506" s="42"/>
      <c r="F506" s="42"/>
      <c r="G506" s="42"/>
      <c r="H506" s="42"/>
      <c r="I506" s="48"/>
      <c r="J506" s="42"/>
      <c r="K506" s="42"/>
      <c r="L506" s="42"/>
      <c r="M506" s="42"/>
      <c r="N506" s="53"/>
      <c r="O506" s="11" t="s">
        <v>1011</v>
      </c>
      <c r="P506" s="11" t="s">
        <v>156</v>
      </c>
      <c r="Q506" s="11" t="s">
        <v>1115</v>
      </c>
      <c r="R506" s="11">
        <v>0.5</v>
      </c>
      <c r="S506" s="11"/>
      <c r="T506" s="12" t="s">
        <v>1086</v>
      </c>
      <c r="U506" s="12">
        <v>48329</v>
      </c>
      <c r="V506" s="4" t="s">
        <v>1116</v>
      </c>
      <c r="W506" s="11" t="s">
        <v>1015</v>
      </c>
      <c r="X506" s="11" t="s">
        <v>42</v>
      </c>
      <c r="Y506" s="11" t="s">
        <v>1020</v>
      </c>
      <c r="Z506" s="11">
        <v>0.5</v>
      </c>
      <c r="AA506" s="11"/>
      <c r="AB506" s="12" t="s">
        <v>1017</v>
      </c>
      <c r="AC506" s="12">
        <v>46639</v>
      </c>
      <c r="AD506" s="12" t="s">
        <v>124</v>
      </c>
      <c r="AE506" s="42"/>
      <c r="AF506" s="42"/>
    </row>
    <row r="507" spans="1:32" ht="12.75" customHeight="1" x14ac:dyDescent="0.25">
      <c r="A507" s="44"/>
      <c r="B507" s="42"/>
      <c r="C507" s="42"/>
      <c r="D507" s="42"/>
      <c r="E507" s="42"/>
      <c r="F507" s="42"/>
      <c r="G507" s="42"/>
      <c r="H507" s="42"/>
      <c r="I507" s="48"/>
      <c r="J507" s="42"/>
      <c r="K507" s="42"/>
      <c r="L507" s="42"/>
      <c r="M507" s="42"/>
      <c r="N507" s="53"/>
      <c r="O507" s="11" t="s">
        <v>1021</v>
      </c>
      <c r="P507" s="11" t="s">
        <v>156</v>
      </c>
      <c r="Q507" s="11" t="s">
        <v>1117</v>
      </c>
      <c r="R507" s="11">
        <v>0.5</v>
      </c>
      <c r="S507" s="11"/>
      <c r="T507" s="12" t="s">
        <v>1086</v>
      </c>
      <c r="U507" s="12">
        <v>48329</v>
      </c>
      <c r="V507" s="4" t="s">
        <v>1118</v>
      </c>
      <c r="W507" s="11" t="s">
        <v>1024</v>
      </c>
      <c r="X507" s="11" t="s">
        <v>42</v>
      </c>
      <c r="Y507" s="11" t="s">
        <v>1025</v>
      </c>
      <c r="Z507" s="11">
        <v>0.5</v>
      </c>
      <c r="AA507" s="11"/>
      <c r="AB507" s="12" t="s">
        <v>1017</v>
      </c>
      <c r="AC507" s="12">
        <v>46639</v>
      </c>
      <c r="AD507" s="12" t="s">
        <v>124</v>
      </c>
      <c r="AE507" s="42"/>
      <c r="AF507" s="42"/>
    </row>
    <row r="508" spans="1:32" ht="22.9" customHeight="1" x14ac:dyDescent="0.25">
      <c r="A508" s="44">
        <v>167</v>
      </c>
      <c r="B508" s="42" t="s">
        <v>28</v>
      </c>
      <c r="C508" s="42" t="s">
        <v>1006</v>
      </c>
      <c r="D508" s="42">
        <v>366616</v>
      </c>
      <c r="E508" s="42" t="s">
        <v>1119</v>
      </c>
      <c r="F508" s="42" t="s">
        <v>31</v>
      </c>
      <c r="G508" s="42" t="s">
        <v>32</v>
      </c>
      <c r="H508" s="42" t="s">
        <v>1008</v>
      </c>
      <c r="I508" s="48" t="s">
        <v>1120</v>
      </c>
      <c r="J508" s="42" t="s">
        <v>71</v>
      </c>
      <c r="K508" s="42"/>
      <c r="L508" s="52">
        <v>45278</v>
      </c>
      <c r="M508" s="52">
        <v>49661</v>
      </c>
      <c r="N508" s="53" t="s">
        <v>1121</v>
      </c>
      <c r="O508" s="11" t="s">
        <v>1011</v>
      </c>
      <c r="P508" s="11" t="s">
        <v>156</v>
      </c>
      <c r="Q508" s="11" t="s">
        <v>1122</v>
      </c>
      <c r="R508" s="11">
        <v>0.5</v>
      </c>
      <c r="S508" s="11"/>
      <c r="T508" s="12" t="s">
        <v>1086</v>
      </c>
      <c r="U508" s="12">
        <v>48329</v>
      </c>
      <c r="V508" s="4" t="s">
        <v>1123</v>
      </c>
      <c r="W508" s="11" t="s">
        <v>1015</v>
      </c>
      <c r="X508" s="11" t="s">
        <v>42</v>
      </c>
      <c r="Y508" s="11" t="s">
        <v>1016</v>
      </c>
      <c r="Z508" s="11">
        <v>0.5</v>
      </c>
      <c r="AA508" s="11"/>
      <c r="AB508" s="12" t="s">
        <v>1017</v>
      </c>
      <c r="AC508" s="12">
        <v>46639</v>
      </c>
      <c r="AD508" s="12" t="s">
        <v>124</v>
      </c>
      <c r="AE508" s="42"/>
      <c r="AF508" s="43" t="s">
        <v>45</v>
      </c>
    </row>
    <row r="509" spans="1:32" ht="25.5" customHeight="1" x14ac:dyDescent="0.25">
      <c r="A509" s="44"/>
      <c r="B509" s="42"/>
      <c r="C509" s="42"/>
      <c r="D509" s="42"/>
      <c r="E509" s="42"/>
      <c r="F509" s="42"/>
      <c r="G509" s="42"/>
      <c r="H509" s="42"/>
      <c r="I509" s="48"/>
      <c r="J509" s="42"/>
      <c r="K509" s="42"/>
      <c r="L509" s="42"/>
      <c r="M509" s="42"/>
      <c r="N509" s="53"/>
      <c r="O509" s="11" t="s">
        <v>1011</v>
      </c>
      <c r="P509" s="11" t="s">
        <v>156</v>
      </c>
      <c r="Q509" s="11" t="s">
        <v>1124</v>
      </c>
      <c r="R509" s="11">
        <v>0.5</v>
      </c>
      <c r="S509" s="11"/>
      <c r="T509" s="12" t="s">
        <v>1086</v>
      </c>
      <c r="U509" s="12">
        <v>48329</v>
      </c>
      <c r="V509" s="4" t="s">
        <v>1125</v>
      </c>
      <c r="W509" s="11" t="s">
        <v>1015</v>
      </c>
      <c r="X509" s="11" t="s">
        <v>42</v>
      </c>
      <c r="Y509" s="11" t="s">
        <v>1020</v>
      </c>
      <c r="Z509" s="11">
        <v>0.5</v>
      </c>
      <c r="AA509" s="11"/>
      <c r="AB509" s="12" t="s">
        <v>1017</v>
      </c>
      <c r="AC509" s="12">
        <v>46639</v>
      </c>
      <c r="AD509" s="12" t="s">
        <v>124</v>
      </c>
      <c r="AE509" s="42"/>
      <c r="AF509" s="42"/>
    </row>
    <row r="510" spans="1:32" ht="12.75" customHeight="1" x14ac:dyDescent="0.25">
      <c r="A510" s="44"/>
      <c r="B510" s="42"/>
      <c r="C510" s="42"/>
      <c r="D510" s="42"/>
      <c r="E510" s="42"/>
      <c r="F510" s="42"/>
      <c r="G510" s="42"/>
      <c r="H510" s="42"/>
      <c r="I510" s="48"/>
      <c r="J510" s="42"/>
      <c r="K510" s="42"/>
      <c r="L510" s="42"/>
      <c r="M510" s="42"/>
      <c r="N510" s="53"/>
      <c r="O510" s="11" t="s">
        <v>1021</v>
      </c>
      <c r="P510" s="11" t="s">
        <v>156</v>
      </c>
      <c r="Q510" s="11" t="s">
        <v>1126</v>
      </c>
      <c r="R510" s="11">
        <v>0.5</v>
      </c>
      <c r="S510" s="11"/>
      <c r="T510" s="12" t="s">
        <v>1086</v>
      </c>
      <c r="U510" s="12">
        <v>48329</v>
      </c>
      <c r="V510" s="4" t="s">
        <v>1127</v>
      </c>
      <c r="W510" s="11" t="s">
        <v>1024</v>
      </c>
      <c r="X510" s="11" t="s">
        <v>42</v>
      </c>
      <c r="Y510" s="11" t="s">
        <v>1025</v>
      </c>
      <c r="Z510" s="11">
        <v>0.5</v>
      </c>
      <c r="AA510" s="11"/>
      <c r="AB510" s="12" t="s">
        <v>1017</v>
      </c>
      <c r="AC510" s="12">
        <v>46639</v>
      </c>
      <c r="AD510" s="12" t="s">
        <v>124</v>
      </c>
      <c r="AE510" s="42"/>
      <c r="AF510" s="42"/>
    </row>
    <row r="511" spans="1:32" ht="22.9" customHeight="1" x14ac:dyDescent="0.25">
      <c r="A511" s="44">
        <v>168</v>
      </c>
      <c r="B511" s="42" t="s">
        <v>28</v>
      </c>
      <c r="C511" s="42" t="s">
        <v>1006</v>
      </c>
      <c r="D511" s="42">
        <v>366616</v>
      </c>
      <c r="E511" s="42" t="s">
        <v>1128</v>
      </c>
      <c r="F511" s="42" t="s">
        <v>31</v>
      </c>
      <c r="G511" s="42" t="s">
        <v>90</v>
      </c>
      <c r="H511" s="42" t="s">
        <v>1008</v>
      </c>
      <c r="I511" s="48" t="s">
        <v>1129</v>
      </c>
      <c r="J511" s="42" t="s">
        <v>71</v>
      </c>
      <c r="K511" s="42"/>
      <c r="L511" s="52">
        <v>45092</v>
      </c>
      <c r="M511" s="52">
        <v>49475</v>
      </c>
      <c r="N511" s="53" t="s">
        <v>1130</v>
      </c>
      <c r="O511" s="11" t="s">
        <v>1011</v>
      </c>
      <c r="P511" s="11" t="s">
        <v>59</v>
      </c>
      <c r="Q511" s="11" t="s">
        <v>1131</v>
      </c>
      <c r="R511" s="11">
        <v>0.5</v>
      </c>
      <c r="S511" s="11"/>
      <c r="T511" s="12" t="s">
        <v>1086</v>
      </c>
      <c r="U511" s="12">
        <v>48329</v>
      </c>
      <c r="V511" s="4" t="s">
        <v>1132</v>
      </c>
      <c r="W511" s="11" t="s">
        <v>1015</v>
      </c>
      <c r="X511" s="11" t="s">
        <v>42</v>
      </c>
      <c r="Y511" s="11" t="s">
        <v>1133</v>
      </c>
      <c r="Z511" s="11">
        <v>0.5</v>
      </c>
      <c r="AA511" s="11"/>
      <c r="AB511" s="12" t="s">
        <v>1017</v>
      </c>
      <c r="AC511" s="12">
        <v>46639</v>
      </c>
      <c r="AD511" s="12" t="s">
        <v>124</v>
      </c>
      <c r="AE511" s="42"/>
      <c r="AF511" s="43" t="s">
        <v>45</v>
      </c>
    </row>
    <row r="512" spans="1:32" ht="25.5" customHeight="1" x14ac:dyDescent="0.25">
      <c r="A512" s="44"/>
      <c r="B512" s="42"/>
      <c r="C512" s="42"/>
      <c r="D512" s="42"/>
      <c r="E512" s="42"/>
      <c r="F512" s="42"/>
      <c r="G512" s="42"/>
      <c r="H512" s="42"/>
      <c r="I512" s="48"/>
      <c r="J512" s="42"/>
      <c r="K512" s="42"/>
      <c r="L512" s="42"/>
      <c r="M512" s="42"/>
      <c r="N512" s="53"/>
      <c r="O512" s="11" t="s">
        <v>1011</v>
      </c>
      <c r="P512" s="11" t="s">
        <v>59</v>
      </c>
      <c r="Q512" s="11" t="s">
        <v>1134</v>
      </c>
      <c r="R512" s="11">
        <v>0.5</v>
      </c>
      <c r="S512" s="11"/>
      <c r="T512" s="12" t="s">
        <v>1086</v>
      </c>
      <c r="U512" s="12">
        <v>48329</v>
      </c>
      <c r="V512" s="4" t="s">
        <v>1135</v>
      </c>
      <c r="W512" s="11" t="s">
        <v>1015</v>
      </c>
      <c r="X512" s="11" t="s">
        <v>42</v>
      </c>
      <c r="Y512" s="11" t="s">
        <v>1136</v>
      </c>
      <c r="Z512" s="11">
        <v>0.5</v>
      </c>
      <c r="AA512" s="11"/>
      <c r="AB512" s="12" t="s">
        <v>1017</v>
      </c>
      <c r="AC512" s="12">
        <v>46639</v>
      </c>
      <c r="AD512" s="12" t="s">
        <v>124</v>
      </c>
      <c r="AE512" s="42"/>
      <c r="AF512" s="42"/>
    </row>
    <row r="513" spans="1:32" ht="12.75" customHeight="1" x14ac:dyDescent="0.25">
      <c r="A513" s="44"/>
      <c r="B513" s="42"/>
      <c r="C513" s="42"/>
      <c r="D513" s="42"/>
      <c r="E513" s="42"/>
      <c r="F513" s="42"/>
      <c r="G513" s="42"/>
      <c r="H513" s="42"/>
      <c r="I513" s="48"/>
      <c r="J513" s="42"/>
      <c r="K513" s="42"/>
      <c r="L513" s="42"/>
      <c r="M513" s="42"/>
      <c r="N513" s="53"/>
      <c r="O513" s="11" t="s">
        <v>1021</v>
      </c>
      <c r="P513" s="11" t="s">
        <v>59</v>
      </c>
      <c r="Q513" s="11" t="s">
        <v>1137</v>
      </c>
      <c r="R513" s="11">
        <v>0.5</v>
      </c>
      <c r="S513" s="11"/>
      <c r="T513" s="12" t="s">
        <v>1086</v>
      </c>
      <c r="U513" s="12">
        <v>48329</v>
      </c>
      <c r="V513" s="4" t="s">
        <v>1138</v>
      </c>
      <c r="W513" s="11" t="s">
        <v>1024</v>
      </c>
      <c r="X513" s="11" t="s">
        <v>42</v>
      </c>
      <c r="Y513" s="11" t="s">
        <v>1139</v>
      </c>
      <c r="Z513" s="11">
        <v>0.5</v>
      </c>
      <c r="AA513" s="11"/>
      <c r="AB513" s="12" t="s">
        <v>1017</v>
      </c>
      <c r="AC513" s="12">
        <v>46639</v>
      </c>
      <c r="AD513" s="12" t="s">
        <v>124</v>
      </c>
      <c r="AE513" s="42"/>
      <c r="AF513" s="42"/>
    </row>
    <row r="514" spans="1:32" ht="22.9" customHeight="1" x14ac:dyDescent="0.25">
      <c r="A514" s="44">
        <v>169</v>
      </c>
      <c r="B514" s="42" t="s">
        <v>28</v>
      </c>
      <c r="C514" s="42" t="s">
        <v>1006</v>
      </c>
      <c r="D514" s="42">
        <v>366616</v>
      </c>
      <c r="E514" s="42" t="s">
        <v>1140</v>
      </c>
      <c r="F514" s="42" t="s">
        <v>31</v>
      </c>
      <c r="G514" s="42" t="s">
        <v>32</v>
      </c>
      <c r="H514" s="42" t="s">
        <v>1008</v>
      </c>
      <c r="I514" s="48" t="s">
        <v>1141</v>
      </c>
      <c r="J514" s="42" t="s">
        <v>71</v>
      </c>
      <c r="K514" s="42"/>
      <c r="L514" s="52">
        <v>45092</v>
      </c>
      <c r="M514" s="52">
        <v>49475</v>
      </c>
      <c r="N514" s="53" t="s">
        <v>1142</v>
      </c>
      <c r="O514" s="11" t="s">
        <v>1011</v>
      </c>
      <c r="P514" s="11" t="s">
        <v>156</v>
      </c>
      <c r="Q514" s="11" t="s">
        <v>1143</v>
      </c>
      <c r="R514" s="11">
        <v>0.5</v>
      </c>
      <c r="S514" s="11"/>
      <c r="T514" s="12" t="s">
        <v>1086</v>
      </c>
      <c r="U514" s="12">
        <v>48329</v>
      </c>
      <c r="V514" s="4" t="s">
        <v>1144</v>
      </c>
      <c r="W514" s="11" t="s">
        <v>1015</v>
      </c>
      <c r="X514" s="11" t="s">
        <v>42</v>
      </c>
      <c r="Y514" s="11" t="s">
        <v>1133</v>
      </c>
      <c r="Z514" s="11">
        <v>0.5</v>
      </c>
      <c r="AA514" s="11"/>
      <c r="AB514" s="12" t="s">
        <v>1017</v>
      </c>
      <c r="AC514" s="12">
        <v>46639</v>
      </c>
      <c r="AD514" s="12" t="s">
        <v>124</v>
      </c>
      <c r="AE514" s="42"/>
      <c r="AF514" s="43" t="s">
        <v>45</v>
      </c>
    </row>
    <row r="515" spans="1:32" ht="25.5" customHeight="1" x14ac:dyDescent="0.25">
      <c r="A515" s="44"/>
      <c r="B515" s="42"/>
      <c r="C515" s="42"/>
      <c r="D515" s="42"/>
      <c r="E515" s="42"/>
      <c r="F515" s="42"/>
      <c r="G515" s="42"/>
      <c r="H515" s="42"/>
      <c r="I515" s="48"/>
      <c r="J515" s="42"/>
      <c r="K515" s="42"/>
      <c r="L515" s="42"/>
      <c r="M515" s="42"/>
      <c r="N515" s="53"/>
      <c r="O515" s="11" t="s">
        <v>1011</v>
      </c>
      <c r="P515" s="11" t="s">
        <v>156</v>
      </c>
      <c r="Q515" s="11" t="s">
        <v>1145</v>
      </c>
      <c r="R515" s="11">
        <v>0.5</v>
      </c>
      <c r="S515" s="11"/>
      <c r="T515" s="12" t="s">
        <v>1086</v>
      </c>
      <c r="U515" s="12">
        <v>48329</v>
      </c>
      <c r="V515" s="4" t="s">
        <v>1146</v>
      </c>
      <c r="W515" s="11" t="s">
        <v>1015</v>
      </c>
      <c r="X515" s="11" t="s">
        <v>42</v>
      </c>
      <c r="Y515" s="11" t="s">
        <v>1136</v>
      </c>
      <c r="Z515" s="11">
        <v>0.5</v>
      </c>
      <c r="AA515" s="11"/>
      <c r="AB515" s="12" t="s">
        <v>1017</v>
      </c>
      <c r="AC515" s="12">
        <v>46639</v>
      </c>
      <c r="AD515" s="12" t="s">
        <v>124</v>
      </c>
      <c r="AE515" s="42"/>
      <c r="AF515" s="42"/>
    </row>
    <row r="516" spans="1:32" ht="12.75" customHeight="1" x14ac:dyDescent="0.25">
      <c r="A516" s="44"/>
      <c r="B516" s="42"/>
      <c r="C516" s="42"/>
      <c r="D516" s="42"/>
      <c r="E516" s="42"/>
      <c r="F516" s="42"/>
      <c r="G516" s="42"/>
      <c r="H516" s="42"/>
      <c r="I516" s="48"/>
      <c r="J516" s="42"/>
      <c r="K516" s="42"/>
      <c r="L516" s="42"/>
      <c r="M516" s="42"/>
      <c r="N516" s="53"/>
      <c r="O516" s="11" t="s">
        <v>1021</v>
      </c>
      <c r="P516" s="11" t="s">
        <v>156</v>
      </c>
      <c r="Q516" s="11" t="s">
        <v>1147</v>
      </c>
      <c r="R516" s="11">
        <v>0.5</v>
      </c>
      <c r="S516" s="11"/>
      <c r="T516" s="12" t="s">
        <v>1086</v>
      </c>
      <c r="U516" s="12">
        <v>48329</v>
      </c>
      <c r="V516" s="4" t="s">
        <v>1148</v>
      </c>
      <c r="W516" s="11" t="s">
        <v>1024</v>
      </c>
      <c r="X516" s="11" t="s">
        <v>42</v>
      </c>
      <c r="Y516" s="11" t="s">
        <v>1139</v>
      </c>
      <c r="Z516" s="11">
        <v>0.5</v>
      </c>
      <c r="AA516" s="11"/>
      <c r="AB516" s="12" t="s">
        <v>1017</v>
      </c>
      <c r="AC516" s="12">
        <v>46639</v>
      </c>
      <c r="AD516" s="12" t="s">
        <v>124</v>
      </c>
      <c r="AE516" s="42"/>
      <c r="AF516" s="42"/>
    </row>
    <row r="517" spans="1:32" ht="90" customHeight="1" x14ac:dyDescent="0.25">
      <c r="A517" s="44">
        <v>170</v>
      </c>
      <c r="B517" s="42" t="s">
        <v>28</v>
      </c>
      <c r="C517" s="42" t="s">
        <v>1006</v>
      </c>
      <c r="D517" s="42">
        <v>366616</v>
      </c>
      <c r="E517" s="42" t="s">
        <v>1149</v>
      </c>
      <c r="F517" s="42" t="s">
        <v>31</v>
      </c>
      <c r="G517" s="42" t="s">
        <v>32</v>
      </c>
      <c r="H517" s="42" t="s">
        <v>1036</v>
      </c>
      <c r="I517" s="48" t="s">
        <v>1150</v>
      </c>
      <c r="J517" s="42" t="s">
        <v>71</v>
      </c>
      <c r="K517" s="42"/>
      <c r="L517" s="42" t="s">
        <v>1038</v>
      </c>
      <c r="M517" s="52">
        <v>49258</v>
      </c>
      <c r="N517" s="53" t="s">
        <v>1151</v>
      </c>
      <c r="O517" s="11" t="s">
        <v>1040</v>
      </c>
      <c r="P517" s="11" t="s">
        <v>38</v>
      </c>
      <c r="Q517" s="11" t="s">
        <v>1152</v>
      </c>
      <c r="R517" s="11">
        <v>0</v>
      </c>
      <c r="S517" s="11"/>
      <c r="T517" s="12">
        <v>45216</v>
      </c>
      <c r="U517" s="12">
        <v>46677</v>
      </c>
      <c r="V517" s="13" t="s">
        <v>1153</v>
      </c>
      <c r="W517" s="11" t="s">
        <v>1015</v>
      </c>
      <c r="X517" s="11" t="s">
        <v>42</v>
      </c>
      <c r="Y517" s="11" t="s">
        <v>1154</v>
      </c>
      <c r="Z517" s="11">
        <v>0.5</v>
      </c>
      <c r="AA517" s="11"/>
      <c r="AB517" s="12" t="s">
        <v>1017</v>
      </c>
      <c r="AC517" s="12">
        <v>46639</v>
      </c>
      <c r="AD517" s="12" t="s">
        <v>124</v>
      </c>
      <c r="AE517" s="42"/>
      <c r="AF517" s="43" t="s">
        <v>45</v>
      </c>
    </row>
    <row r="518" spans="1:32" ht="90" customHeight="1" x14ac:dyDescent="0.25">
      <c r="A518" s="44"/>
      <c r="B518" s="42"/>
      <c r="C518" s="42"/>
      <c r="D518" s="42"/>
      <c r="E518" s="42"/>
      <c r="F518" s="42"/>
      <c r="G518" s="42"/>
      <c r="H518" s="42"/>
      <c r="I518" s="48"/>
      <c r="J518" s="42"/>
      <c r="K518" s="42"/>
      <c r="L518" s="42"/>
      <c r="M518" s="42"/>
      <c r="N518" s="53"/>
      <c r="O518" s="11" t="s">
        <v>1040</v>
      </c>
      <c r="P518" s="11" t="s">
        <v>38</v>
      </c>
      <c r="Q518" s="11" t="s">
        <v>1155</v>
      </c>
      <c r="R518" s="11">
        <v>0</v>
      </c>
      <c r="S518" s="11"/>
      <c r="T518" s="12">
        <v>45216</v>
      </c>
      <c r="U518" s="12">
        <v>46677</v>
      </c>
      <c r="V518" s="13" t="s">
        <v>1156</v>
      </c>
      <c r="W518" s="11" t="s">
        <v>1015</v>
      </c>
      <c r="X518" s="11" t="s">
        <v>42</v>
      </c>
      <c r="Y518" s="11" t="s">
        <v>1157</v>
      </c>
      <c r="Z518" s="11">
        <v>0.5</v>
      </c>
      <c r="AA518" s="11"/>
      <c r="AB518" s="12" t="s">
        <v>1017</v>
      </c>
      <c r="AC518" s="12">
        <v>46639</v>
      </c>
      <c r="AD518" s="12" t="s">
        <v>124</v>
      </c>
      <c r="AE518" s="42"/>
      <c r="AF518" s="42"/>
    </row>
    <row r="519" spans="1:32" ht="90" customHeight="1" x14ac:dyDescent="0.25">
      <c r="A519" s="44"/>
      <c r="B519" s="42"/>
      <c r="C519" s="42"/>
      <c r="D519" s="42"/>
      <c r="E519" s="42"/>
      <c r="F519" s="42"/>
      <c r="G519" s="42"/>
      <c r="H519" s="42"/>
      <c r="I519" s="48"/>
      <c r="J519" s="42"/>
      <c r="K519" s="42"/>
      <c r="L519" s="42"/>
      <c r="M519" s="42"/>
      <c r="N519" s="53"/>
      <c r="O519" s="11" t="s">
        <v>1047</v>
      </c>
      <c r="P519" s="11" t="s">
        <v>38</v>
      </c>
      <c r="Q519" s="11" t="s">
        <v>1158</v>
      </c>
      <c r="R519" s="11">
        <v>0</v>
      </c>
      <c r="S519" s="11"/>
      <c r="T519" s="12">
        <v>45216</v>
      </c>
      <c r="U519" s="12">
        <v>46677</v>
      </c>
      <c r="V519" s="13" t="s">
        <v>1159</v>
      </c>
      <c r="W519" s="11" t="s">
        <v>1024</v>
      </c>
      <c r="X519" s="11" t="s">
        <v>42</v>
      </c>
      <c r="Y519" s="11" t="s">
        <v>1160</v>
      </c>
      <c r="Z519" s="11">
        <v>0.5</v>
      </c>
      <c r="AA519" s="11"/>
      <c r="AB519" s="12" t="s">
        <v>1017</v>
      </c>
      <c r="AC519" s="12">
        <v>46639</v>
      </c>
      <c r="AD519" s="12" t="s">
        <v>124</v>
      </c>
      <c r="AE519" s="42"/>
      <c r="AF519" s="42"/>
    </row>
    <row r="520" spans="1:32" ht="22.9" customHeight="1" x14ac:dyDescent="0.25">
      <c r="A520" s="44">
        <v>171</v>
      </c>
      <c r="B520" s="42" t="s">
        <v>28</v>
      </c>
      <c r="C520" s="42" t="s">
        <v>1006</v>
      </c>
      <c r="D520" s="42">
        <v>366616</v>
      </c>
      <c r="E520" s="42" t="s">
        <v>1161</v>
      </c>
      <c r="F520" s="42" t="s">
        <v>31</v>
      </c>
      <c r="G520" s="42" t="s">
        <v>32</v>
      </c>
      <c r="H520" s="42" t="s">
        <v>1008</v>
      </c>
      <c r="I520" s="48" t="s">
        <v>1162</v>
      </c>
      <c r="J520" s="42" t="s">
        <v>71</v>
      </c>
      <c r="K520" s="42"/>
      <c r="L520" s="52">
        <v>45092</v>
      </c>
      <c r="M520" s="52">
        <v>49475</v>
      </c>
      <c r="N520" s="53" t="s">
        <v>1163</v>
      </c>
      <c r="O520" s="11" t="s">
        <v>1011</v>
      </c>
      <c r="P520" s="11" t="s">
        <v>93</v>
      </c>
      <c r="Q520" s="11" t="s">
        <v>1164</v>
      </c>
      <c r="R520" s="11">
        <v>0.5</v>
      </c>
      <c r="S520" s="11"/>
      <c r="T520" s="12" t="s">
        <v>1086</v>
      </c>
      <c r="U520" s="12">
        <v>48329</v>
      </c>
      <c r="V520" s="4" t="s">
        <v>1165</v>
      </c>
      <c r="W520" s="11" t="s">
        <v>1015</v>
      </c>
      <c r="X520" s="11" t="s">
        <v>42</v>
      </c>
      <c r="Y520" s="11" t="s">
        <v>1133</v>
      </c>
      <c r="Z520" s="11">
        <v>0.5</v>
      </c>
      <c r="AA520" s="11"/>
      <c r="AB520" s="12" t="s">
        <v>1017</v>
      </c>
      <c r="AC520" s="12">
        <v>46639</v>
      </c>
      <c r="AD520" s="12" t="s">
        <v>124</v>
      </c>
      <c r="AE520" s="42"/>
      <c r="AF520" s="43" t="s">
        <v>45</v>
      </c>
    </row>
    <row r="521" spans="1:32" ht="25.5" customHeight="1" x14ac:dyDescent="0.25">
      <c r="A521" s="44"/>
      <c r="B521" s="42"/>
      <c r="C521" s="42"/>
      <c r="D521" s="42"/>
      <c r="E521" s="42"/>
      <c r="F521" s="42"/>
      <c r="G521" s="42"/>
      <c r="H521" s="42"/>
      <c r="I521" s="48"/>
      <c r="J521" s="42"/>
      <c r="K521" s="42"/>
      <c r="L521" s="42"/>
      <c r="M521" s="42"/>
      <c r="N521" s="53"/>
      <c r="O521" s="11" t="s">
        <v>1011</v>
      </c>
      <c r="P521" s="11" t="s">
        <v>93</v>
      </c>
      <c r="Q521" s="11" t="s">
        <v>1166</v>
      </c>
      <c r="R521" s="11">
        <v>0.5</v>
      </c>
      <c r="S521" s="11"/>
      <c r="T521" s="12" t="s">
        <v>1086</v>
      </c>
      <c r="U521" s="12">
        <v>48329</v>
      </c>
      <c r="V521" s="4" t="s">
        <v>1167</v>
      </c>
      <c r="W521" s="11" t="s">
        <v>1015</v>
      </c>
      <c r="X521" s="11" t="s">
        <v>42</v>
      </c>
      <c r="Y521" s="11" t="s">
        <v>1136</v>
      </c>
      <c r="Z521" s="11">
        <v>0.5</v>
      </c>
      <c r="AA521" s="11"/>
      <c r="AB521" s="12" t="s">
        <v>1017</v>
      </c>
      <c r="AC521" s="12">
        <v>46639</v>
      </c>
      <c r="AD521" s="12" t="s">
        <v>124</v>
      </c>
      <c r="AE521" s="42"/>
      <c r="AF521" s="42"/>
    </row>
    <row r="522" spans="1:32" ht="12.75" customHeight="1" x14ac:dyDescent="0.25">
      <c r="A522" s="44"/>
      <c r="B522" s="42"/>
      <c r="C522" s="42"/>
      <c r="D522" s="42"/>
      <c r="E522" s="42"/>
      <c r="F522" s="42"/>
      <c r="G522" s="42"/>
      <c r="H522" s="42"/>
      <c r="I522" s="48"/>
      <c r="J522" s="42"/>
      <c r="K522" s="42"/>
      <c r="L522" s="42"/>
      <c r="M522" s="42"/>
      <c r="N522" s="53"/>
      <c r="O522" s="11" t="s">
        <v>1021</v>
      </c>
      <c r="P522" s="11" t="s">
        <v>93</v>
      </c>
      <c r="Q522" s="11" t="s">
        <v>1168</v>
      </c>
      <c r="R522" s="11">
        <v>0.5</v>
      </c>
      <c r="S522" s="11"/>
      <c r="T522" s="12" t="s">
        <v>1086</v>
      </c>
      <c r="U522" s="12">
        <v>48329</v>
      </c>
      <c r="V522" s="4" t="s">
        <v>1169</v>
      </c>
      <c r="W522" s="11" t="s">
        <v>1024</v>
      </c>
      <c r="X522" s="11" t="s">
        <v>42</v>
      </c>
      <c r="Y522" s="11" t="s">
        <v>1139</v>
      </c>
      <c r="Z522" s="11">
        <v>0.5</v>
      </c>
      <c r="AA522" s="11"/>
      <c r="AB522" s="12" t="s">
        <v>1017</v>
      </c>
      <c r="AC522" s="12">
        <v>46639</v>
      </c>
      <c r="AD522" s="12" t="s">
        <v>124</v>
      </c>
      <c r="AE522" s="42"/>
      <c r="AF522" s="42"/>
    </row>
    <row r="523" spans="1:32" ht="22.9" customHeight="1" x14ac:dyDescent="0.25">
      <c r="A523" s="44">
        <v>172</v>
      </c>
      <c r="B523" s="42" t="s">
        <v>28</v>
      </c>
      <c r="C523" s="42" t="s">
        <v>1006</v>
      </c>
      <c r="D523" s="42">
        <v>366616</v>
      </c>
      <c r="E523" s="42" t="s">
        <v>1170</v>
      </c>
      <c r="F523" s="42" t="s">
        <v>31</v>
      </c>
      <c r="G523" s="42" t="s">
        <v>32</v>
      </c>
      <c r="H523" s="42" t="s">
        <v>1008</v>
      </c>
      <c r="I523" s="48" t="s">
        <v>1171</v>
      </c>
      <c r="J523" s="42" t="s">
        <v>71</v>
      </c>
      <c r="K523" s="42"/>
      <c r="L523" s="52">
        <v>45092</v>
      </c>
      <c r="M523" s="52">
        <v>49475</v>
      </c>
      <c r="N523" s="53" t="s">
        <v>1172</v>
      </c>
      <c r="O523" s="11" t="s">
        <v>1011</v>
      </c>
      <c r="P523" s="11" t="s">
        <v>156</v>
      </c>
      <c r="Q523" s="11" t="s">
        <v>1173</v>
      </c>
      <c r="R523" s="11">
        <v>0.5</v>
      </c>
      <c r="S523" s="11"/>
      <c r="T523" s="12" t="s">
        <v>1086</v>
      </c>
      <c r="U523" s="12">
        <v>48329</v>
      </c>
      <c r="V523" s="4" t="s">
        <v>1174</v>
      </c>
      <c r="W523" s="11" t="s">
        <v>1015</v>
      </c>
      <c r="X523" s="11" t="s">
        <v>42</v>
      </c>
      <c r="Y523" s="11" t="s">
        <v>1133</v>
      </c>
      <c r="Z523" s="11">
        <v>0.5</v>
      </c>
      <c r="AA523" s="11"/>
      <c r="AB523" s="12" t="s">
        <v>1017</v>
      </c>
      <c r="AC523" s="12">
        <v>46639</v>
      </c>
      <c r="AD523" s="12" t="s">
        <v>124</v>
      </c>
      <c r="AE523" s="42"/>
      <c r="AF523" s="43" t="s">
        <v>45</v>
      </c>
    </row>
    <row r="524" spans="1:32" ht="25.5" customHeight="1" x14ac:dyDescent="0.25">
      <c r="A524" s="44"/>
      <c r="B524" s="42"/>
      <c r="C524" s="42"/>
      <c r="D524" s="42"/>
      <c r="E524" s="42"/>
      <c r="F524" s="42"/>
      <c r="G524" s="42"/>
      <c r="H524" s="42"/>
      <c r="I524" s="48"/>
      <c r="J524" s="42"/>
      <c r="K524" s="42"/>
      <c r="L524" s="42"/>
      <c r="M524" s="42"/>
      <c r="N524" s="53"/>
      <c r="O524" s="11" t="s">
        <v>1011</v>
      </c>
      <c r="P524" s="11" t="s">
        <v>156</v>
      </c>
      <c r="Q524" s="11" t="s">
        <v>1175</v>
      </c>
      <c r="R524" s="11">
        <v>0.5</v>
      </c>
      <c r="S524" s="11"/>
      <c r="T524" s="12" t="s">
        <v>1086</v>
      </c>
      <c r="U524" s="12">
        <v>48329</v>
      </c>
      <c r="V524" s="4" t="s">
        <v>1176</v>
      </c>
      <c r="W524" s="11" t="s">
        <v>1015</v>
      </c>
      <c r="X524" s="11" t="s">
        <v>42</v>
      </c>
      <c r="Y524" s="11" t="s">
        <v>1136</v>
      </c>
      <c r="Z524" s="11">
        <v>0.5</v>
      </c>
      <c r="AA524" s="11"/>
      <c r="AB524" s="12" t="s">
        <v>1017</v>
      </c>
      <c r="AC524" s="12">
        <v>46639</v>
      </c>
      <c r="AD524" s="12" t="s">
        <v>124</v>
      </c>
      <c r="AE524" s="42"/>
      <c r="AF524" s="42"/>
    </row>
    <row r="525" spans="1:32" ht="12.75" customHeight="1" x14ac:dyDescent="0.25">
      <c r="A525" s="44"/>
      <c r="B525" s="42"/>
      <c r="C525" s="42"/>
      <c r="D525" s="42"/>
      <c r="E525" s="42"/>
      <c r="F525" s="42"/>
      <c r="G525" s="42"/>
      <c r="H525" s="42"/>
      <c r="I525" s="48"/>
      <c r="J525" s="42"/>
      <c r="K525" s="42"/>
      <c r="L525" s="42"/>
      <c r="M525" s="42"/>
      <c r="N525" s="53"/>
      <c r="O525" s="11" t="s">
        <v>1021</v>
      </c>
      <c r="P525" s="11" t="s">
        <v>156</v>
      </c>
      <c r="Q525" s="11" t="s">
        <v>1177</v>
      </c>
      <c r="R525" s="11">
        <v>0.5</v>
      </c>
      <c r="S525" s="11"/>
      <c r="T525" s="12" t="s">
        <v>1086</v>
      </c>
      <c r="U525" s="12">
        <v>48329</v>
      </c>
      <c r="V525" s="4" t="s">
        <v>1178</v>
      </c>
      <c r="W525" s="11" t="s">
        <v>1024</v>
      </c>
      <c r="X525" s="11" t="s">
        <v>42</v>
      </c>
      <c r="Y525" s="11" t="s">
        <v>1139</v>
      </c>
      <c r="Z525" s="11">
        <v>0.5</v>
      </c>
      <c r="AA525" s="11"/>
      <c r="AB525" s="12" t="s">
        <v>1017</v>
      </c>
      <c r="AC525" s="12">
        <v>46639</v>
      </c>
      <c r="AD525" s="12" t="s">
        <v>124</v>
      </c>
      <c r="AE525" s="42"/>
      <c r="AF525" s="42"/>
    </row>
    <row r="526" spans="1:32" ht="22.9" customHeight="1" x14ac:dyDescent="0.25">
      <c r="A526" s="44">
        <v>173</v>
      </c>
      <c r="B526" s="42" t="s">
        <v>28</v>
      </c>
      <c r="C526" s="42" t="s">
        <v>1006</v>
      </c>
      <c r="D526" s="42">
        <v>366616</v>
      </c>
      <c r="E526" s="42" t="s">
        <v>1179</v>
      </c>
      <c r="F526" s="42" t="s">
        <v>31</v>
      </c>
      <c r="G526" s="42" t="s">
        <v>32</v>
      </c>
      <c r="H526" s="42" t="s">
        <v>1008</v>
      </c>
      <c r="I526" s="48" t="s">
        <v>1180</v>
      </c>
      <c r="J526" s="42" t="s">
        <v>71</v>
      </c>
      <c r="K526" s="42"/>
      <c r="L526" s="52">
        <v>45092</v>
      </c>
      <c r="M526" s="52">
        <v>49475</v>
      </c>
      <c r="N526" s="53" t="s">
        <v>1181</v>
      </c>
      <c r="O526" s="11" t="s">
        <v>1011</v>
      </c>
      <c r="P526" s="11" t="s">
        <v>93</v>
      </c>
      <c r="Q526" s="11" t="s">
        <v>1182</v>
      </c>
      <c r="R526" s="11">
        <v>0.5</v>
      </c>
      <c r="S526" s="11"/>
      <c r="T526" s="12" t="s">
        <v>1183</v>
      </c>
      <c r="U526" s="12">
        <v>48342</v>
      </c>
      <c r="V526" s="4" t="s">
        <v>1184</v>
      </c>
      <c r="W526" s="11" t="s">
        <v>1015</v>
      </c>
      <c r="X526" s="11" t="s">
        <v>42</v>
      </c>
      <c r="Y526" s="11" t="s">
        <v>1133</v>
      </c>
      <c r="Z526" s="11">
        <v>0.5</v>
      </c>
      <c r="AA526" s="11"/>
      <c r="AB526" s="12" t="s">
        <v>1017</v>
      </c>
      <c r="AC526" s="12">
        <v>46639</v>
      </c>
      <c r="AD526" s="12" t="s">
        <v>124</v>
      </c>
      <c r="AE526" s="42"/>
      <c r="AF526" s="43" t="s">
        <v>45</v>
      </c>
    </row>
    <row r="527" spans="1:32" ht="25.5" customHeight="1" x14ac:dyDescent="0.25">
      <c r="A527" s="44"/>
      <c r="B527" s="42"/>
      <c r="C527" s="42"/>
      <c r="D527" s="42"/>
      <c r="E527" s="42"/>
      <c r="F527" s="42"/>
      <c r="G527" s="42"/>
      <c r="H527" s="42"/>
      <c r="I527" s="48"/>
      <c r="J527" s="42"/>
      <c r="K527" s="42"/>
      <c r="L527" s="42"/>
      <c r="M527" s="42"/>
      <c r="N527" s="53"/>
      <c r="O527" s="11" t="s">
        <v>1011</v>
      </c>
      <c r="P527" s="11" t="s">
        <v>93</v>
      </c>
      <c r="Q527" s="11" t="s">
        <v>1185</v>
      </c>
      <c r="R527" s="11">
        <v>0.5</v>
      </c>
      <c r="S527" s="11"/>
      <c r="T527" s="12" t="s">
        <v>1086</v>
      </c>
      <c r="U527" s="12">
        <v>48329</v>
      </c>
      <c r="V527" s="4" t="s">
        <v>1186</v>
      </c>
      <c r="W527" s="11" t="s">
        <v>1015</v>
      </c>
      <c r="X527" s="11" t="s">
        <v>42</v>
      </c>
      <c r="Y527" s="11" t="s">
        <v>1136</v>
      </c>
      <c r="Z527" s="11">
        <v>0.5</v>
      </c>
      <c r="AA527" s="11"/>
      <c r="AB527" s="12" t="s">
        <v>1017</v>
      </c>
      <c r="AC527" s="12">
        <v>46639</v>
      </c>
      <c r="AD527" s="12" t="s">
        <v>124</v>
      </c>
      <c r="AE527" s="42"/>
      <c r="AF527" s="42"/>
    </row>
    <row r="528" spans="1:32" ht="12.75" customHeight="1" x14ac:dyDescent="0.25">
      <c r="A528" s="44"/>
      <c r="B528" s="42"/>
      <c r="C528" s="42"/>
      <c r="D528" s="42"/>
      <c r="E528" s="42"/>
      <c r="F528" s="42"/>
      <c r="G528" s="42"/>
      <c r="H528" s="42"/>
      <c r="I528" s="48"/>
      <c r="J528" s="42"/>
      <c r="K528" s="42"/>
      <c r="L528" s="42"/>
      <c r="M528" s="42"/>
      <c r="N528" s="53"/>
      <c r="O528" s="11" t="s">
        <v>1021</v>
      </c>
      <c r="P528" s="11" t="s">
        <v>93</v>
      </c>
      <c r="Q528" s="11" t="s">
        <v>1187</v>
      </c>
      <c r="R528" s="11">
        <v>0.5</v>
      </c>
      <c r="S528" s="11"/>
      <c r="T528" s="12" t="s">
        <v>1086</v>
      </c>
      <c r="U528" s="12">
        <v>48329</v>
      </c>
      <c r="V528" s="4" t="s">
        <v>1188</v>
      </c>
      <c r="W528" s="11" t="s">
        <v>1024</v>
      </c>
      <c r="X528" s="11" t="s">
        <v>42</v>
      </c>
      <c r="Y528" s="11" t="s">
        <v>1139</v>
      </c>
      <c r="Z528" s="11">
        <v>0.5</v>
      </c>
      <c r="AA528" s="11"/>
      <c r="AB528" s="12" t="s">
        <v>1017</v>
      </c>
      <c r="AC528" s="12">
        <v>46639</v>
      </c>
      <c r="AD528" s="12" t="s">
        <v>124</v>
      </c>
      <c r="AE528" s="42"/>
      <c r="AF528" s="42"/>
    </row>
    <row r="529" spans="1:32" ht="25.5" customHeight="1" x14ac:dyDescent="0.25">
      <c r="A529" s="44">
        <v>174</v>
      </c>
      <c r="B529" s="42" t="s">
        <v>28</v>
      </c>
      <c r="C529" s="42" t="s">
        <v>1006</v>
      </c>
      <c r="D529" s="42">
        <v>366616</v>
      </c>
      <c r="E529" s="42" t="s">
        <v>1189</v>
      </c>
      <c r="F529" s="42" t="s">
        <v>31</v>
      </c>
      <c r="G529" s="42" t="s">
        <v>68</v>
      </c>
      <c r="H529" s="42" t="s">
        <v>1190</v>
      </c>
      <c r="I529" s="48" t="s">
        <v>1191</v>
      </c>
      <c r="J529" s="42" t="s">
        <v>71</v>
      </c>
      <c r="K529" s="42"/>
      <c r="L529" s="52">
        <v>44771</v>
      </c>
      <c r="M529" s="52">
        <v>49154</v>
      </c>
      <c r="N529" s="53" t="s">
        <v>1192</v>
      </c>
      <c r="O529" s="11" t="s">
        <v>1193</v>
      </c>
      <c r="P529" s="11" t="s">
        <v>93</v>
      </c>
      <c r="Q529" s="11" t="s">
        <v>1194</v>
      </c>
      <c r="R529" s="11">
        <v>0.5</v>
      </c>
      <c r="S529" s="11"/>
      <c r="T529" s="12" t="s">
        <v>1195</v>
      </c>
      <c r="U529" s="12">
        <v>49597</v>
      </c>
      <c r="V529" s="4" t="s">
        <v>124</v>
      </c>
      <c r="W529" s="11" t="s">
        <v>77</v>
      </c>
      <c r="X529" s="11" t="s">
        <v>77</v>
      </c>
      <c r="Y529" s="11" t="s">
        <v>77</v>
      </c>
      <c r="Z529" s="11">
        <v>0</v>
      </c>
      <c r="AA529" s="11"/>
      <c r="AB529" s="12" t="s">
        <v>77</v>
      </c>
      <c r="AC529" s="12" t="s">
        <v>77</v>
      </c>
      <c r="AD529" s="12"/>
      <c r="AE529" s="42"/>
      <c r="AF529" s="43" t="s">
        <v>995</v>
      </c>
    </row>
    <row r="530" spans="1:32" ht="25.5" customHeight="1" x14ac:dyDescent="0.25">
      <c r="A530" s="44"/>
      <c r="B530" s="42"/>
      <c r="C530" s="42"/>
      <c r="D530" s="42"/>
      <c r="E530" s="42"/>
      <c r="F530" s="42"/>
      <c r="G530" s="42"/>
      <c r="H530" s="42"/>
      <c r="I530" s="48"/>
      <c r="J530" s="42"/>
      <c r="K530" s="42"/>
      <c r="L530" s="42"/>
      <c r="M530" s="42"/>
      <c r="N530" s="53"/>
      <c r="O530" s="11" t="s">
        <v>1193</v>
      </c>
      <c r="P530" s="11" t="s">
        <v>93</v>
      </c>
      <c r="Q530" s="11" t="s">
        <v>1196</v>
      </c>
      <c r="R530" s="11">
        <v>0.5</v>
      </c>
      <c r="S530" s="11"/>
      <c r="T530" s="12" t="s">
        <v>1195</v>
      </c>
      <c r="U530" s="12">
        <v>49597</v>
      </c>
      <c r="V530" s="4" t="s">
        <v>124</v>
      </c>
      <c r="W530" s="11" t="s">
        <v>77</v>
      </c>
      <c r="X530" s="11" t="s">
        <v>77</v>
      </c>
      <c r="Y530" s="11" t="s">
        <v>77</v>
      </c>
      <c r="Z530" s="11" t="s">
        <v>77</v>
      </c>
      <c r="AA530" s="11"/>
      <c r="AB530" s="12" t="s">
        <v>77</v>
      </c>
      <c r="AC530" s="12" t="s">
        <v>77</v>
      </c>
      <c r="AD530" s="12"/>
      <c r="AE530" s="42"/>
      <c r="AF530" s="42"/>
    </row>
    <row r="531" spans="1:32" ht="12.75" customHeight="1" x14ac:dyDescent="0.25">
      <c r="A531" s="44"/>
      <c r="B531" s="42"/>
      <c r="C531" s="42"/>
      <c r="D531" s="42"/>
      <c r="E531" s="42"/>
      <c r="F531" s="42"/>
      <c r="G531" s="42"/>
      <c r="H531" s="42"/>
      <c r="I531" s="48"/>
      <c r="J531" s="42"/>
      <c r="K531" s="42"/>
      <c r="L531" s="42"/>
      <c r="M531" s="42"/>
      <c r="N531" s="53"/>
      <c r="O531" s="11" t="s">
        <v>1197</v>
      </c>
      <c r="P531" s="11" t="s">
        <v>93</v>
      </c>
      <c r="Q531" s="11" t="s">
        <v>1198</v>
      </c>
      <c r="R531" s="11">
        <v>0.5</v>
      </c>
      <c r="S531" s="11"/>
      <c r="T531" s="12" t="s">
        <v>1195</v>
      </c>
      <c r="U531" s="12">
        <v>49597</v>
      </c>
      <c r="V531" s="4" t="s">
        <v>124</v>
      </c>
      <c r="W531" s="11" t="s">
        <v>77</v>
      </c>
      <c r="X531" s="11" t="s">
        <v>77</v>
      </c>
      <c r="Y531" s="11" t="s">
        <v>77</v>
      </c>
      <c r="Z531" s="11" t="s">
        <v>77</v>
      </c>
      <c r="AA531" s="11"/>
      <c r="AB531" s="12" t="s">
        <v>77</v>
      </c>
      <c r="AC531" s="12" t="s">
        <v>77</v>
      </c>
      <c r="AD531" s="12"/>
      <c r="AE531" s="42"/>
      <c r="AF531" s="42"/>
    </row>
    <row r="532" spans="1:32" ht="22.9" customHeight="1" x14ac:dyDescent="0.25">
      <c r="A532" s="44">
        <v>175</v>
      </c>
      <c r="B532" s="42" t="s">
        <v>28</v>
      </c>
      <c r="C532" s="42" t="s">
        <v>1006</v>
      </c>
      <c r="D532" s="42">
        <v>366616</v>
      </c>
      <c r="E532" s="42" t="s">
        <v>1199</v>
      </c>
      <c r="F532" s="42" t="s">
        <v>31</v>
      </c>
      <c r="G532" s="42" t="s">
        <v>32</v>
      </c>
      <c r="H532" s="42" t="s">
        <v>1008</v>
      </c>
      <c r="I532" s="48" t="s">
        <v>1200</v>
      </c>
      <c r="J532" s="42" t="s">
        <v>71</v>
      </c>
      <c r="K532" s="42"/>
      <c r="L532" s="52">
        <v>45092</v>
      </c>
      <c r="M532" s="52">
        <v>49475</v>
      </c>
      <c r="N532" s="53" t="s">
        <v>1181</v>
      </c>
      <c r="O532" s="11" t="s">
        <v>1011</v>
      </c>
      <c r="P532" s="11" t="s">
        <v>163</v>
      </c>
      <c r="Q532" s="11" t="s">
        <v>1201</v>
      </c>
      <c r="R532" s="11">
        <v>0.5</v>
      </c>
      <c r="S532" s="11"/>
      <c r="T532" s="12" t="s">
        <v>1202</v>
      </c>
      <c r="U532" s="12">
        <v>48336</v>
      </c>
      <c r="V532" s="4" t="s">
        <v>1203</v>
      </c>
      <c r="W532" s="11" t="s">
        <v>1015</v>
      </c>
      <c r="X532" s="11" t="s">
        <v>42</v>
      </c>
      <c r="Y532" s="11" t="s">
        <v>1133</v>
      </c>
      <c r="Z532" s="11">
        <v>0.5</v>
      </c>
      <c r="AA532" s="11"/>
      <c r="AB532" s="12" t="s">
        <v>1017</v>
      </c>
      <c r="AC532" s="12">
        <v>46639</v>
      </c>
      <c r="AD532" s="12" t="s">
        <v>124</v>
      </c>
      <c r="AE532" s="42"/>
      <c r="AF532" s="43" t="s">
        <v>45</v>
      </c>
    </row>
    <row r="533" spans="1:32" ht="38.25" x14ac:dyDescent="0.25">
      <c r="A533" s="44"/>
      <c r="B533" s="42"/>
      <c r="C533" s="42"/>
      <c r="D533" s="42"/>
      <c r="E533" s="42"/>
      <c r="F533" s="42"/>
      <c r="G533" s="42"/>
      <c r="H533" s="42"/>
      <c r="I533" s="48"/>
      <c r="J533" s="42"/>
      <c r="K533" s="42"/>
      <c r="L533" s="42"/>
      <c r="M533" s="42"/>
      <c r="N533" s="53"/>
      <c r="O533" s="11" t="s">
        <v>1011</v>
      </c>
      <c r="P533" s="11" t="s">
        <v>163</v>
      </c>
      <c r="Q533" s="11" t="s">
        <v>1204</v>
      </c>
      <c r="R533" s="11">
        <v>0.5</v>
      </c>
      <c r="S533" s="11"/>
      <c r="T533" s="12" t="s">
        <v>1202</v>
      </c>
      <c r="U533" s="12">
        <v>48336</v>
      </c>
      <c r="V533" s="4" t="s">
        <v>1205</v>
      </c>
      <c r="W533" s="11" t="s">
        <v>1015</v>
      </c>
      <c r="X533" s="11" t="s">
        <v>42</v>
      </c>
      <c r="Y533" s="11" t="s">
        <v>1136</v>
      </c>
      <c r="Z533" s="11">
        <v>0.5</v>
      </c>
      <c r="AA533" s="11"/>
      <c r="AB533" s="12" t="s">
        <v>1017</v>
      </c>
      <c r="AC533" s="12">
        <v>46639</v>
      </c>
      <c r="AD533" s="12" t="s">
        <v>124</v>
      </c>
      <c r="AE533" s="42"/>
      <c r="AF533" s="42"/>
    </row>
    <row r="534" spans="1:32" ht="38.25" x14ac:dyDescent="0.25">
      <c r="A534" s="44"/>
      <c r="B534" s="42"/>
      <c r="C534" s="42"/>
      <c r="D534" s="42"/>
      <c r="E534" s="42"/>
      <c r="F534" s="42"/>
      <c r="G534" s="42"/>
      <c r="H534" s="42"/>
      <c r="I534" s="48"/>
      <c r="J534" s="42"/>
      <c r="K534" s="42"/>
      <c r="L534" s="42"/>
      <c r="M534" s="42"/>
      <c r="N534" s="53"/>
      <c r="O534" s="11" t="s">
        <v>1021</v>
      </c>
      <c r="P534" s="11" t="s">
        <v>163</v>
      </c>
      <c r="Q534" s="11" t="s">
        <v>1206</v>
      </c>
      <c r="R534" s="11">
        <v>0.5</v>
      </c>
      <c r="S534" s="11"/>
      <c r="T534" s="12" t="s">
        <v>1202</v>
      </c>
      <c r="U534" s="12">
        <v>48336</v>
      </c>
      <c r="V534" s="4" t="s">
        <v>1207</v>
      </c>
      <c r="W534" s="11" t="s">
        <v>1024</v>
      </c>
      <c r="X534" s="11" t="s">
        <v>42</v>
      </c>
      <c r="Y534" s="11" t="s">
        <v>1139</v>
      </c>
      <c r="Z534" s="11">
        <v>0.5</v>
      </c>
      <c r="AA534" s="11"/>
      <c r="AB534" s="12" t="s">
        <v>1017</v>
      </c>
      <c r="AC534" s="12">
        <v>46639</v>
      </c>
      <c r="AD534" s="12" t="s">
        <v>124</v>
      </c>
      <c r="AE534" s="42"/>
      <c r="AF534" s="42"/>
    </row>
    <row r="535" spans="1:32" ht="22.9" customHeight="1" x14ac:dyDescent="0.25">
      <c r="A535" s="44">
        <v>176</v>
      </c>
      <c r="B535" s="42" t="s">
        <v>28</v>
      </c>
      <c r="C535" s="42" t="s">
        <v>1006</v>
      </c>
      <c r="D535" s="42">
        <v>366616</v>
      </c>
      <c r="E535" s="42" t="s">
        <v>1208</v>
      </c>
      <c r="F535" s="42" t="s">
        <v>31</v>
      </c>
      <c r="G535" s="42" t="s">
        <v>90</v>
      </c>
      <c r="H535" s="42" t="s">
        <v>1008</v>
      </c>
      <c r="I535" s="48" t="s">
        <v>1209</v>
      </c>
      <c r="J535" s="42" t="s">
        <v>71</v>
      </c>
      <c r="K535" s="42"/>
      <c r="L535" s="52">
        <v>45092</v>
      </c>
      <c r="M535" s="52">
        <v>49475</v>
      </c>
      <c r="N535" s="53" t="s">
        <v>1210</v>
      </c>
      <c r="O535" s="11" t="s">
        <v>1011</v>
      </c>
      <c r="P535" s="11" t="s">
        <v>93</v>
      </c>
      <c r="Q535" s="11" t="s">
        <v>1211</v>
      </c>
      <c r="R535" s="11">
        <v>0.5</v>
      </c>
      <c r="S535" s="11"/>
      <c r="T535" s="12" t="s">
        <v>1202</v>
      </c>
      <c r="U535" s="12">
        <v>48336</v>
      </c>
      <c r="V535" s="4" t="s">
        <v>1212</v>
      </c>
      <c r="W535" s="11" t="s">
        <v>1015</v>
      </c>
      <c r="X535" s="11" t="s">
        <v>42</v>
      </c>
      <c r="Y535" s="11" t="s">
        <v>1133</v>
      </c>
      <c r="Z535" s="11">
        <v>0.5</v>
      </c>
      <c r="AA535" s="11"/>
      <c r="AB535" s="12" t="s">
        <v>1017</v>
      </c>
      <c r="AC535" s="12">
        <v>46639</v>
      </c>
      <c r="AD535" s="12" t="s">
        <v>124</v>
      </c>
      <c r="AE535" s="42"/>
      <c r="AF535" s="43" t="s">
        <v>45</v>
      </c>
    </row>
    <row r="536" spans="1:32" ht="38.25" x14ac:dyDescent="0.25">
      <c r="A536" s="44"/>
      <c r="B536" s="42"/>
      <c r="C536" s="42"/>
      <c r="D536" s="42"/>
      <c r="E536" s="42"/>
      <c r="F536" s="42"/>
      <c r="G536" s="42"/>
      <c r="H536" s="42"/>
      <c r="I536" s="48"/>
      <c r="J536" s="42"/>
      <c r="K536" s="42"/>
      <c r="L536" s="42"/>
      <c r="M536" s="42"/>
      <c r="N536" s="53"/>
      <c r="O536" s="11" t="s">
        <v>1011</v>
      </c>
      <c r="P536" s="11" t="s">
        <v>93</v>
      </c>
      <c r="Q536" s="11" t="s">
        <v>1182</v>
      </c>
      <c r="R536" s="11">
        <v>0.5</v>
      </c>
      <c r="S536" s="11"/>
      <c r="T536" s="12" t="s">
        <v>1183</v>
      </c>
      <c r="U536" s="12">
        <v>48342</v>
      </c>
      <c r="V536" s="4" t="s">
        <v>1184</v>
      </c>
      <c r="W536" s="11" t="s">
        <v>1015</v>
      </c>
      <c r="X536" s="11" t="s">
        <v>42</v>
      </c>
      <c r="Y536" s="11" t="s">
        <v>1136</v>
      </c>
      <c r="Z536" s="11">
        <v>0.5</v>
      </c>
      <c r="AA536" s="11"/>
      <c r="AB536" s="12" t="s">
        <v>1017</v>
      </c>
      <c r="AC536" s="12">
        <v>46639</v>
      </c>
      <c r="AD536" s="12" t="s">
        <v>124</v>
      </c>
      <c r="AE536" s="42"/>
      <c r="AF536" s="42"/>
    </row>
    <row r="537" spans="1:32" ht="38.25" x14ac:dyDescent="0.25">
      <c r="A537" s="44"/>
      <c r="B537" s="42"/>
      <c r="C537" s="42"/>
      <c r="D537" s="42"/>
      <c r="E537" s="42"/>
      <c r="F537" s="42"/>
      <c r="G537" s="42"/>
      <c r="H537" s="42"/>
      <c r="I537" s="48"/>
      <c r="J537" s="42"/>
      <c r="K537" s="42"/>
      <c r="L537" s="42"/>
      <c r="M537" s="42"/>
      <c r="N537" s="53"/>
      <c r="O537" s="11" t="s">
        <v>1021</v>
      </c>
      <c r="P537" s="11" t="s">
        <v>93</v>
      </c>
      <c r="Q537" s="11" t="s">
        <v>1213</v>
      </c>
      <c r="R537" s="11">
        <v>0.5</v>
      </c>
      <c r="S537" s="11"/>
      <c r="T537" s="12" t="s">
        <v>1202</v>
      </c>
      <c r="U537" s="12">
        <v>48336</v>
      </c>
      <c r="V537" s="4" t="s">
        <v>1214</v>
      </c>
      <c r="W537" s="11" t="s">
        <v>1024</v>
      </c>
      <c r="X537" s="11" t="s">
        <v>42</v>
      </c>
      <c r="Y537" s="11" t="s">
        <v>1139</v>
      </c>
      <c r="Z537" s="11">
        <v>0.5</v>
      </c>
      <c r="AA537" s="11"/>
      <c r="AB537" s="12" t="s">
        <v>1017</v>
      </c>
      <c r="AC537" s="12">
        <v>46639</v>
      </c>
      <c r="AD537" s="12" t="s">
        <v>124</v>
      </c>
      <c r="AE537" s="42"/>
      <c r="AF537" s="42"/>
    </row>
    <row r="538" spans="1:32" ht="22.9" customHeight="1" x14ac:dyDescent="0.25">
      <c r="A538" s="44">
        <v>177</v>
      </c>
      <c r="B538" s="42" t="s">
        <v>28</v>
      </c>
      <c r="C538" s="42" t="s">
        <v>1006</v>
      </c>
      <c r="D538" s="42">
        <v>366616</v>
      </c>
      <c r="E538" s="42" t="s">
        <v>1215</v>
      </c>
      <c r="F538" s="42" t="s">
        <v>31</v>
      </c>
      <c r="G538" s="42" t="s">
        <v>32</v>
      </c>
      <c r="H538" s="42" t="s">
        <v>1008</v>
      </c>
      <c r="I538" s="48" t="s">
        <v>1216</v>
      </c>
      <c r="J538" s="42" t="s">
        <v>71</v>
      </c>
      <c r="K538" s="42"/>
      <c r="L538" s="52">
        <v>45092</v>
      </c>
      <c r="M538" s="52">
        <v>49475</v>
      </c>
      <c r="N538" s="53" t="s">
        <v>1217</v>
      </c>
      <c r="O538" s="11" t="s">
        <v>1011</v>
      </c>
      <c r="P538" s="11" t="s">
        <v>156</v>
      </c>
      <c r="Q538" s="11" t="s">
        <v>1218</v>
      </c>
      <c r="R538" s="11">
        <v>0.5</v>
      </c>
      <c r="S538" s="11"/>
      <c r="T538" s="12" t="s">
        <v>1202</v>
      </c>
      <c r="U538" s="12">
        <v>48336</v>
      </c>
      <c r="V538" s="4" t="s">
        <v>1219</v>
      </c>
      <c r="W538" s="11" t="s">
        <v>1015</v>
      </c>
      <c r="X538" s="11" t="s">
        <v>42</v>
      </c>
      <c r="Y538" s="11" t="s">
        <v>1133</v>
      </c>
      <c r="Z538" s="11">
        <v>0.5</v>
      </c>
      <c r="AA538" s="11"/>
      <c r="AB538" s="12" t="s">
        <v>1017</v>
      </c>
      <c r="AC538" s="12">
        <v>46639</v>
      </c>
      <c r="AD538" s="12" t="s">
        <v>124</v>
      </c>
      <c r="AE538" s="42"/>
      <c r="AF538" s="43" t="s">
        <v>45</v>
      </c>
    </row>
    <row r="539" spans="1:32" ht="38.25" x14ac:dyDescent="0.25">
      <c r="A539" s="44"/>
      <c r="B539" s="42"/>
      <c r="C539" s="42"/>
      <c r="D539" s="42"/>
      <c r="E539" s="42"/>
      <c r="F539" s="42"/>
      <c r="G539" s="42"/>
      <c r="H539" s="42"/>
      <c r="I539" s="48"/>
      <c r="J539" s="42"/>
      <c r="K539" s="42"/>
      <c r="L539" s="42"/>
      <c r="M539" s="42"/>
      <c r="N539" s="53"/>
      <c r="O539" s="11" t="s">
        <v>1011</v>
      </c>
      <c r="P539" s="11" t="s">
        <v>156</v>
      </c>
      <c r="Q539" s="11" t="s">
        <v>1220</v>
      </c>
      <c r="R539" s="11">
        <v>0.5</v>
      </c>
      <c r="S539" s="11"/>
      <c r="T539" s="12" t="s">
        <v>1202</v>
      </c>
      <c r="U539" s="12">
        <v>48336</v>
      </c>
      <c r="V539" s="4" t="s">
        <v>1221</v>
      </c>
      <c r="W539" s="11" t="s">
        <v>1015</v>
      </c>
      <c r="X539" s="11" t="s">
        <v>42</v>
      </c>
      <c r="Y539" s="11" t="s">
        <v>1136</v>
      </c>
      <c r="Z539" s="11">
        <v>0.5</v>
      </c>
      <c r="AA539" s="11"/>
      <c r="AB539" s="12" t="s">
        <v>1017</v>
      </c>
      <c r="AC539" s="12">
        <v>46639</v>
      </c>
      <c r="AD539" s="12" t="s">
        <v>124</v>
      </c>
      <c r="AE539" s="42"/>
      <c r="AF539" s="42"/>
    </row>
    <row r="540" spans="1:32" ht="38.25" x14ac:dyDescent="0.25">
      <c r="A540" s="44"/>
      <c r="B540" s="42"/>
      <c r="C540" s="42"/>
      <c r="D540" s="42"/>
      <c r="E540" s="42"/>
      <c r="F540" s="42"/>
      <c r="G540" s="42"/>
      <c r="H540" s="42"/>
      <c r="I540" s="48"/>
      <c r="J540" s="42"/>
      <c r="K540" s="42"/>
      <c r="L540" s="42"/>
      <c r="M540" s="42"/>
      <c r="N540" s="53"/>
      <c r="O540" s="11" t="s">
        <v>1021</v>
      </c>
      <c r="P540" s="11" t="s">
        <v>156</v>
      </c>
      <c r="Q540" s="11" t="s">
        <v>1222</v>
      </c>
      <c r="R540" s="11">
        <v>0.5</v>
      </c>
      <c r="S540" s="11"/>
      <c r="T540" s="12" t="s">
        <v>1223</v>
      </c>
      <c r="U540" s="12">
        <v>48340</v>
      </c>
      <c r="V540" s="4" t="s">
        <v>1224</v>
      </c>
      <c r="W540" s="11" t="s">
        <v>1024</v>
      </c>
      <c r="X540" s="11" t="s">
        <v>42</v>
      </c>
      <c r="Y540" s="11" t="s">
        <v>1139</v>
      </c>
      <c r="Z540" s="11">
        <v>0.5</v>
      </c>
      <c r="AA540" s="11"/>
      <c r="AB540" s="12" t="s">
        <v>1017</v>
      </c>
      <c r="AC540" s="12">
        <v>46639</v>
      </c>
      <c r="AD540" s="12" t="s">
        <v>124</v>
      </c>
      <c r="AE540" s="42"/>
      <c r="AF540" s="42"/>
    </row>
    <row r="541" spans="1:32" ht="22.9" customHeight="1" x14ac:dyDescent="0.25">
      <c r="A541" s="44">
        <v>178</v>
      </c>
      <c r="B541" s="42" t="s">
        <v>28</v>
      </c>
      <c r="C541" s="42" t="s">
        <v>1006</v>
      </c>
      <c r="D541" s="42">
        <v>366616</v>
      </c>
      <c r="E541" s="42" t="s">
        <v>1225</v>
      </c>
      <c r="F541" s="42" t="s">
        <v>31</v>
      </c>
      <c r="G541" s="42" t="s">
        <v>32</v>
      </c>
      <c r="H541" s="42" t="s">
        <v>1008</v>
      </c>
      <c r="I541" s="48" t="s">
        <v>1226</v>
      </c>
      <c r="J541" s="42" t="s">
        <v>71</v>
      </c>
      <c r="K541" s="42"/>
      <c r="L541" s="52">
        <v>45092</v>
      </c>
      <c r="M541" s="52">
        <v>49475</v>
      </c>
      <c r="N541" s="53" t="s">
        <v>1227</v>
      </c>
      <c r="O541" s="11" t="s">
        <v>1011</v>
      </c>
      <c r="P541" s="11" t="s">
        <v>93</v>
      </c>
      <c r="Q541" s="11" t="s">
        <v>1228</v>
      </c>
      <c r="R541" s="11">
        <v>0.5</v>
      </c>
      <c r="S541" s="11"/>
      <c r="T541" s="12" t="s">
        <v>1202</v>
      </c>
      <c r="U541" s="12">
        <v>48336</v>
      </c>
      <c r="V541" s="4" t="s">
        <v>1229</v>
      </c>
      <c r="W541" s="11" t="s">
        <v>1015</v>
      </c>
      <c r="X541" s="11" t="s">
        <v>42</v>
      </c>
      <c r="Y541" s="11" t="s">
        <v>1133</v>
      </c>
      <c r="Z541" s="11">
        <v>0.5</v>
      </c>
      <c r="AA541" s="11"/>
      <c r="AB541" s="12" t="s">
        <v>1017</v>
      </c>
      <c r="AC541" s="12">
        <v>46639</v>
      </c>
      <c r="AD541" s="12" t="s">
        <v>124</v>
      </c>
      <c r="AE541" s="42"/>
      <c r="AF541" s="43" t="s">
        <v>45</v>
      </c>
    </row>
    <row r="542" spans="1:32" ht="38.25" x14ac:dyDescent="0.25">
      <c r="A542" s="44"/>
      <c r="B542" s="42"/>
      <c r="C542" s="42"/>
      <c r="D542" s="42"/>
      <c r="E542" s="42"/>
      <c r="F542" s="42"/>
      <c r="G542" s="42"/>
      <c r="H542" s="42"/>
      <c r="I542" s="48"/>
      <c r="J542" s="42"/>
      <c r="K542" s="42"/>
      <c r="L542" s="42"/>
      <c r="M542" s="42"/>
      <c r="N542" s="53"/>
      <c r="O542" s="11" t="s">
        <v>1011</v>
      </c>
      <c r="P542" s="11" t="s">
        <v>93</v>
      </c>
      <c r="Q542" s="11" t="s">
        <v>1230</v>
      </c>
      <c r="R542" s="11">
        <v>0.5</v>
      </c>
      <c r="S542" s="11"/>
      <c r="T542" s="12" t="s">
        <v>1202</v>
      </c>
      <c r="U542" s="12">
        <v>48336</v>
      </c>
      <c r="V542" s="4" t="s">
        <v>1231</v>
      </c>
      <c r="W542" s="11" t="s">
        <v>1015</v>
      </c>
      <c r="X542" s="11" t="s">
        <v>42</v>
      </c>
      <c r="Y542" s="11" t="s">
        <v>1136</v>
      </c>
      <c r="Z542" s="11">
        <v>0.5</v>
      </c>
      <c r="AA542" s="11"/>
      <c r="AB542" s="12" t="s">
        <v>1017</v>
      </c>
      <c r="AC542" s="12">
        <v>46639</v>
      </c>
      <c r="AD542" s="12" t="s">
        <v>124</v>
      </c>
      <c r="AE542" s="42"/>
      <c r="AF542" s="42"/>
    </row>
    <row r="543" spans="1:32" ht="38.25" x14ac:dyDescent="0.25">
      <c r="A543" s="44"/>
      <c r="B543" s="42"/>
      <c r="C543" s="42"/>
      <c r="D543" s="42"/>
      <c r="E543" s="42"/>
      <c r="F543" s="42"/>
      <c r="G543" s="42"/>
      <c r="H543" s="42"/>
      <c r="I543" s="48"/>
      <c r="J543" s="42"/>
      <c r="K543" s="42"/>
      <c r="L543" s="42"/>
      <c r="M543" s="42"/>
      <c r="N543" s="53"/>
      <c r="O543" s="11" t="s">
        <v>1021</v>
      </c>
      <c r="P543" s="11" t="s">
        <v>93</v>
      </c>
      <c r="Q543" s="11" t="s">
        <v>1232</v>
      </c>
      <c r="R543" s="11">
        <v>0.5</v>
      </c>
      <c r="S543" s="11"/>
      <c r="T543" s="12" t="s">
        <v>1202</v>
      </c>
      <c r="U543" s="12">
        <v>48336</v>
      </c>
      <c r="V543" s="4" t="s">
        <v>1233</v>
      </c>
      <c r="W543" s="11" t="s">
        <v>1024</v>
      </c>
      <c r="X543" s="11" t="s">
        <v>42</v>
      </c>
      <c r="Y543" s="11" t="s">
        <v>1139</v>
      </c>
      <c r="Z543" s="11">
        <v>0.5</v>
      </c>
      <c r="AA543" s="11"/>
      <c r="AB543" s="12" t="s">
        <v>1017</v>
      </c>
      <c r="AC543" s="12">
        <v>46639</v>
      </c>
      <c r="AD543" s="12" t="s">
        <v>124</v>
      </c>
      <c r="AE543" s="42"/>
      <c r="AF543" s="42"/>
    </row>
    <row r="544" spans="1:32" ht="22.9" customHeight="1" x14ac:dyDescent="0.25">
      <c r="A544" s="44">
        <v>179</v>
      </c>
      <c r="B544" s="42" t="s">
        <v>28</v>
      </c>
      <c r="C544" s="42" t="s">
        <v>1006</v>
      </c>
      <c r="D544" s="42">
        <v>366616</v>
      </c>
      <c r="E544" s="42" t="s">
        <v>1234</v>
      </c>
      <c r="F544" s="42" t="s">
        <v>31</v>
      </c>
      <c r="G544" s="42" t="s">
        <v>32</v>
      </c>
      <c r="H544" s="42" t="s">
        <v>1036</v>
      </c>
      <c r="I544" s="48" t="s">
        <v>1235</v>
      </c>
      <c r="J544" s="42" t="s">
        <v>71</v>
      </c>
      <c r="K544" s="42"/>
      <c r="L544" s="42" t="s">
        <v>1236</v>
      </c>
      <c r="M544" s="52">
        <v>49273</v>
      </c>
      <c r="N544" s="53" t="s">
        <v>1237</v>
      </c>
      <c r="O544" s="11" t="s">
        <v>1238</v>
      </c>
      <c r="P544" s="11" t="s">
        <v>156</v>
      </c>
      <c r="Q544" s="11" t="s">
        <v>1239</v>
      </c>
      <c r="R544" s="11">
        <v>0.2</v>
      </c>
      <c r="S544" s="11"/>
      <c r="T544" s="12" t="s">
        <v>1202</v>
      </c>
      <c r="U544" s="12">
        <v>48336</v>
      </c>
      <c r="V544" s="4" t="s">
        <v>1240</v>
      </c>
      <c r="W544" s="11" t="s">
        <v>1015</v>
      </c>
      <c r="X544" s="11" t="s">
        <v>42</v>
      </c>
      <c r="Y544" s="11" t="s">
        <v>1241</v>
      </c>
      <c r="Z544" s="11">
        <v>0.5</v>
      </c>
      <c r="AA544" s="11"/>
      <c r="AB544" s="12" t="s">
        <v>1017</v>
      </c>
      <c r="AC544" s="12">
        <v>46639</v>
      </c>
      <c r="AD544" s="12" t="s">
        <v>124</v>
      </c>
      <c r="AE544" s="42"/>
      <c r="AF544" s="43" t="s">
        <v>45</v>
      </c>
    </row>
    <row r="545" spans="1:32" ht="38.25" x14ac:dyDescent="0.25">
      <c r="A545" s="44"/>
      <c r="B545" s="42"/>
      <c r="C545" s="42"/>
      <c r="D545" s="42"/>
      <c r="E545" s="42"/>
      <c r="F545" s="42"/>
      <c r="G545" s="42"/>
      <c r="H545" s="42"/>
      <c r="I545" s="48"/>
      <c r="J545" s="42"/>
      <c r="K545" s="42"/>
      <c r="L545" s="42"/>
      <c r="M545" s="42"/>
      <c r="N545" s="53"/>
      <c r="O545" s="11" t="s">
        <v>1238</v>
      </c>
      <c r="P545" s="11" t="s">
        <v>156</v>
      </c>
      <c r="Q545" s="11" t="s">
        <v>1242</v>
      </c>
      <c r="R545" s="11">
        <v>0.2</v>
      </c>
      <c r="S545" s="11"/>
      <c r="T545" s="12" t="s">
        <v>1202</v>
      </c>
      <c r="U545" s="12">
        <v>48336</v>
      </c>
      <c r="V545" s="4" t="s">
        <v>1243</v>
      </c>
      <c r="W545" s="11" t="s">
        <v>1015</v>
      </c>
      <c r="X545" s="11" t="s">
        <v>42</v>
      </c>
      <c r="Y545" s="11" t="s">
        <v>1244</v>
      </c>
      <c r="Z545" s="11">
        <v>0.5</v>
      </c>
      <c r="AA545" s="11"/>
      <c r="AB545" s="12" t="s">
        <v>1017</v>
      </c>
      <c r="AC545" s="12">
        <v>46639</v>
      </c>
      <c r="AD545" s="12" t="s">
        <v>124</v>
      </c>
      <c r="AE545" s="42"/>
      <c r="AF545" s="42"/>
    </row>
    <row r="546" spans="1:32" ht="38.25" x14ac:dyDescent="0.25">
      <c r="A546" s="44"/>
      <c r="B546" s="42"/>
      <c r="C546" s="42"/>
      <c r="D546" s="42"/>
      <c r="E546" s="42"/>
      <c r="F546" s="42"/>
      <c r="G546" s="42"/>
      <c r="H546" s="42"/>
      <c r="I546" s="48"/>
      <c r="J546" s="42"/>
      <c r="K546" s="42"/>
      <c r="L546" s="42"/>
      <c r="M546" s="42"/>
      <c r="N546" s="53"/>
      <c r="O546" s="11" t="s">
        <v>1245</v>
      </c>
      <c r="P546" s="11" t="s">
        <v>156</v>
      </c>
      <c r="Q546" s="11" t="s">
        <v>1246</v>
      </c>
      <c r="R546" s="11">
        <v>0.2</v>
      </c>
      <c r="S546" s="11"/>
      <c r="T546" s="12" t="s">
        <v>1202</v>
      </c>
      <c r="U546" s="12">
        <v>48336</v>
      </c>
      <c r="V546" s="4" t="s">
        <v>1247</v>
      </c>
      <c r="W546" s="11" t="s">
        <v>1024</v>
      </c>
      <c r="X546" s="11" t="s">
        <v>42</v>
      </c>
      <c r="Y546" s="11" t="s">
        <v>1248</v>
      </c>
      <c r="Z546" s="11">
        <v>0.5</v>
      </c>
      <c r="AA546" s="11"/>
      <c r="AB546" s="12" t="s">
        <v>1017</v>
      </c>
      <c r="AC546" s="12">
        <v>46639</v>
      </c>
      <c r="AD546" s="12" t="s">
        <v>124</v>
      </c>
      <c r="AE546" s="42"/>
      <c r="AF546" s="42"/>
    </row>
    <row r="547" spans="1:32" ht="22.9" customHeight="1" x14ac:dyDescent="0.25">
      <c r="A547" s="44">
        <v>180</v>
      </c>
      <c r="B547" s="42" t="s">
        <v>28</v>
      </c>
      <c r="C547" s="42" t="s">
        <v>1006</v>
      </c>
      <c r="D547" s="42">
        <v>366616</v>
      </c>
      <c r="E547" s="42" t="s">
        <v>1249</v>
      </c>
      <c r="F547" s="42" t="s">
        <v>31</v>
      </c>
      <c r="G547" s="42" t="s">
        <v>90</v>
      </c>
      <c r="H547" s="42" t="s">
        <v>1036</v>
      </c>
      <c r="I547" s="48" t="s">
        <v>1250</v>
      </c>
      <c r="J547" s="42" t="s">
        <v>71</v>
      </c>
      <c r="K547" s="42"/>
      <c r="L547" s="42" t="s">
        <v>1038</v>
      </c>
      <c r="M547" s="52">
        <v>49258</v>
      </c>
      <c r="N547" s="53" t="s">
        <v>1251</v>
      </c>
      <c r="O547" s="11" t="s">
        <v>1238</v>
      </c>
      <c r="P547" s="11" t="s">
        <v>93</v>
      </c>
      <c r="Q547" s="11" t="s">
        <v>1252</v>
      </c>
      <c r="R547" s="11">
        <v>0.2</v>
      </c>
      <c r="S547" s="11"/>
      <c r="T547" s="12" t="s">
        <v>1202</v>
      </c>
      <c r="U547" s="12">
        <v>48336</v>
      </c>
      <c r="V547" s="4" t="s">
        <v>1253</v>
      </c>
      <c r="W547" s="11" t="s">
        <v>1015</v>
      </c>
      <c r="X547" s="11" t="s">
        <v>42</v>
      </c>
      <c r="Y547" s="11" t="s">
        <v>1241</v>
      </c>
      <c r="Z547" s="11">
        <v>0.5</v>
      </c>
      <c r="AA547" s="11"/>
      <c r="AB547" s="12" t="s">
        <v>1017</v>
      </c>
      <c r="AC547" s="12">
        <v>46639</v>
      </c>
      <c r="AD547" s="12" t="s">
        <v>124</v>
      </c>
      <c r="AE547" s="42"/>
      <c r="AF547" s="43" t="s">
        <v>45</v>
      </c>
    </row>
    <row r="548" spans="1:32" ht="38.25" x14ac:dyDescent="0.25">
      <c r="A548" s="44"/>
      <c r="B548" s="42"/>
      <c r="C548" s="42"/>
      <c r="D548" s="42"/>
      <c r="E548" s="42"/>
      <c r="F548" s="42"/>
      <c r="G548" s="42"/>
      <c r="H548" s="42"/>
      <c r="I548" s="48"/>
      <c r="J548" s="42"/>
      <c r="K548" s="42"/>
      <c r="L548" s="42"/>
      <c r="M548" s="42"/>
      <c r="N548" s="53"/>
      <c r="O548" s="11" t="s">
        <v>1238</v>
      </c>
      <c r="P548" s="11" t="s">
        <v>93</v>
      </c>
      <c r="Q548" s="11" t="s">
        <v>1254</v>
      </c>
      <c r="R548" s="11">
        <v>0.2</v>
      </c>
      <c r="S548" s="11"/>
      <c r="T548" s="12" t="s">
        <v>1202</v>
      </c>
      <c r="U548" s="12">
        <v>48336</v>
      </c>
      <c r="V548" s="4" t="s">
        <v>1255</v>
      </c>
      <c r="W548" s="11" t="s">
        <v>1015</v>
      </c>
      <c r="X548" s="11" t="s">
        <v>42</v>
      </c>
      <c r="Y548" s="11" t="s">
        <v>1244</v>
      </c>
      <c r="Z548" s="11">
        <v>0.5</v>
      </c>
      <c r="AA548" s="11"/>
      <c r="AB548" s="12" t="s">
        <v>1017</v>
      </c>
      <c r="AC548" s="12">
        <v>46639</v>
      </c>
      <c r="AD548" s="12" t="s">
        <v>124</v>
      </c>
      <c r="AE548" s="42"/>
      <c r="AF548" s="42"/>
    </row>
    <row r="549" spans="1:32" ht="38.25" x14ac:dyDescent="0.25">
      <c r="A549" s="44"/>
      <c r="B549" s="42"/>
      <c r="C549" s="42"/>
      <c r="D549" s="42"/>
      <c r="E549" s="42"/>
      <c r="F549" s="42"/>
      <c r="G549" s="42"/>
      <c r="H549" s="42"/>
      <c r="I549" s="48"/>
      <c r="J549" s="42"/>
      <c r="K549" s="42"/>
      <c r="L549" s="42"/>
      <c r="M549" s="42"/>
      <c r="N549" s="53"/>
      <c r="O549" s="11" t="s">
        <v>1245</v>
      </c>
      <c r="P549" s="11" t="s">
        <v>93</v>
      </c>
      <c r="Q549" s="11" t="s">
        <v>1256</v>
      </c>
      <c r="R549" s="11">
        <v>0.2</v>
      </c>
      <c r="S549" s="11"/>
      <c r="T549" s="12" t="s">
        <v>1202</v>
      </c>
      <c r="U549" s="12">
        <v>48336</v>
      </c>
      <c r="V549" s="4" t="s">
        <v>1257</v>
      </c>
      <c r="W549" s="11" t="s">
        <v>1024</v>
      </c>
      <c r="X549" s="11" t="s">
        <v>42</v>
      </c>
      <c r="Y549" s="11" t="s">
        <v>1248</v>
      </c>
      <c r="Z549" s="11">
        <v>0.5</v>
      </c>
      <c r="AA549" s="11"/>
      <c r="AB549" s="12" t="s">
        <v>1017</v>
      </c>
      <c r="AC549" s="12">
        <v>46639</v>
      </c>
      <c r="AD549" s="12" t="s">
        <v>124</v>
      </c>
      <c r="AE549" s="42"/>
      <c r="AF549" s="42"/>
    </row>
    <row r="550" spans="1:32" ht="22.9" customHeight="1" x14ac:dyDescent="0.25">
      <c r="A550" s="44">
        <v>181</v>
      </c>
      <c r="B550" s="42" t="s">
        <v>28</v>
      </c>
      <c r="C550" s="42" t="s">
        <v>1006</v>
      </c>
      <c r="D550" s="42">
        <v>366616</v>
      </c>
      <c r="E550" s="42" t="s">
        <v>1258</v>
      </c>
      <c r="F550" s="42" t="s">
        <v>31</v>
      </c>
      <c r="G550" s="42" t="s">
        <v>32</v>
      </c>
      <c r="H550" s="42" t="s">
        <v>1036</v>
      </c>
      <c r="I550" s="48" t="s">
        <v>1259</v>
      </c>
      <c r="J550" s="42" t="s">
        <v>71</v>
      </c>
      <c r="K550" s="42"/>
      <c r="L550" s="42" t="s">
        <v>1038</v>
      </c>
      <c r="M550" s="52">
        <v>49258</v>
      </c>
      <c r="N550" s="53" t="s">
        <v>1260</v>
      </c>
      <c r="O550" s="11" t="s">
        <v>1261</v>
      </c>
      <c r="P550" s="11" t="s">
        <v>38</v>
      </c>
      <c r="Q550" s="11" t="s">
        <v>1262</v>
      </c>
      <c r="R550" s="11">
        <v>0</v>
      </c>
      <c r="S550" s="11"/>
      <c r="T550" s="12">
        <v>45216</v>
      </c>
      <c r="U550" s="12">
        <v>46677</v>
      </c>
      <c r="V550" s="13" t="s">
        <v>1263</v>
      </c>
      <c r="W550" s="11" t="s">
        <v>1015</v>
      </c>
      <c r="X550" s="11" t="s">
        <v>42</v>
      </c>
      <c r="Y550" s="11" t="s">
        <v>1264</v>
      </c>
      <c r="Z550" s="11">
        <v>0.5</v>
      </c>
      <c r="AA550" s="11"/>
      <c r="AB550" s="12" t="s">
        <v>1017</v>
      </c>
      <c r="AC550" s="12">
        <v>46639</v>
      </c>
      <c r="AD550" s="12" t="s">
        <v>124</v>
      </c>
      <c r="AE550" s="42"/>
      <c r="AF550" s="43" t="s">
        <v>45</v>
      </c>
    </row>
    <row r="551" spans="1:32" ht="45" x14ac:dyDescent="0.25">
      <c r="A551" s="44"/>
      <c r="B551" s="42"/>
      <c r="C551" s="42"/>
      <c r="D551" s="42"/>
      <c r="E551" s="42"/>
      <c r="F551" s="42"/>
      <c r="G551" s="42"/>
      <c r="H551" s="42"/>
      <c r="I551" s="48"/>
      <c r="J551" s="42"/>
      <c r="K551" s="42"/>
      <c r="L551" s="42"/>
      <c r="M551" s="42"/>
      <c r="N551" s="53"/>
      <c r="O551" s="11" t="s">
        <v>1040</v>
      </c>
      <c r="P551" s="11" t="s">
        <v>38</v>
      </c>
      <c r="Q551" s="11" t="s">
        <v>1265</v>
      </c>
      <c r="R551" s="11">
        <v>0</v>
      </c>
      <c r="S551" s="11"/>
      <c r="T551" s="12">
        <v>45216</v>
      </c>
      <c r="U551" s="12">
        <v>46677</v>
      </c>
      <c r="V551" s="13" t="s">
        <v>1266</v>
      </c>
      <c r="W551" s="11" t="s">
        <v>1015</v>
      </c>
      <c r="X551" s="11" t="s">
        <v>42</v>
      </c>
      <c r="Y551" s="11" t="s">
        <v>1267</v>
      </c>
      <c r="Z551" s="11">
        <v>0.5</v>
      </c>
      <c r="AA551" s="11"/>
      <c r="AB551" s="12" t="s">
        <v>1017</v>
      </c>
      <c r="AC551" s="12">
        <v>46639</v>
      </c>
      <c r="AD551" s="12" t="s">
        <v>124</v>
      </c>
      <c r="AE551" s="42"/>
      <c r="AF551" s="42"/>
    </row>
    <row r="552" spans="1:32" ht="45" x14ac:dyDescent="0.25">
      <c r="A552" s="44"/>
      <c r="B552" s="42"/>
      <c r="C552" s="42"/>
      <c r="D552" s="42"/>
      <c r="E552" s="42"/>
      <c r="F552" s="42"/>
      <c r="G552" s="42"/>
      <c r="H552" s="42"/>
      <c r="I552" s="48"/>
      <c r="J552" s="42"/>
      <c r="K552" s="42"/>
      <c r="L552" s="42"/>
      <c r="M552" s="42"/>
      <c r="N552" s="53"/>
      <c r="O552" s="11" t="s">
        <v>1047</v>
      </c>
      <c r="P552" s="11" t="s">
        <v>38</v>
      </c>
      <c r="Q552" s="11">
        <v>19306</v>
      </c>
      <c r="R552" s="11">
        <v>0</v>
      </c>
      <c r="S552" s="11"/>
      <c r="T552" s="12">
        <v>45216</v>
      </c>
      <c r="U552" s="12">
        <v>46677</v>
      </c>
      <c r="V552" s="13" t="s">
        <v>1268</v>
      </c>
      <c r="W552" s="11" t="s">
        <v>1024</v>
      </c>
      <c r="X552" s="11" t="s">
        <v>42</v>
      </c>
      <c r="Y552" s="11" t="s">
        <v>1269</v>
      </c>
      <c r="Z552" s="11">
        <v>0.5</v>
      </c>
      <c r="AA552" s="11"/>
      <c r="AB552" s="12" t="s">
        <v>1017</v>
      </c>
      <c r="AC552" s="12">
        <v>46639</v>
      </c>
      <c r="AD552" s="12" t="s">
        <v>124</v>
      </c>
      <c r="AE552" s="42"/>
      <c r="AF552" s="42"/>
    </row>
    <row r="553" spans="1:32" ht="22.9" customHeight="1" x14ac:dyDescent="0.25">
      <c r="A553" s="44">
        <v>182</v>
      </c>
      <c r="B553" s="42" t="s">
        <v>28</v>
      </c>
      <c r="C553" s="42" t="s">
        <v>1006</v>
      </c>
      <c r="D553" s="42">
        <v>366616</v>
      </c>
      <c r="E553" s="42" t="s">
        <v>1270</v>
      </c>
      <c r="F553" s="42" t="s">
        <v>31</v>
      </c>
      <c r="G553" s="42" t="s">
        <v>32</v>
      </c>
      <c r="H553" s="42" t="s">
        <v>1008</v>
      </c>
      <c r="I553" s="48" t="s">
        <v>1271</v>
      </c>
      <c r="J553" s="42" t="s">
        <v>71</v>
      </c>
      <c r="K553" s="42"/>
      <c r="L553" s="52">
        <v>45092</v>
      </c>
      <c r="M553" s="52">
        <v>49475</v>
      </c>
      <c r="N553" s="53" t="s">
        <v>1272</v>
      </c>
      <c r="O553" s="11" t="s">
        <v>1011</v>
      </c>
      <c r="P553" s="11" t="s">
        <v>93</v>
      </c>
      <c r="Q553" s="11" t="s">
        <v>1273</v>
      </c>
      <c r="R553" s="11">
        <v>0.5</v>
      </c>
      <c r="S553" s="11"/>
      <c r="T553" s="12" t="s">
        <v>1202</v>
      </c>
      <c r="U553" s="12">
        <v>48336</v>
      </c>
      <c r="V553" s="4" t="s">
        <v>1274</v>
      </c>
      <c r="W553" s="11" t="s">
        <v>1015</v>
      </c>
      <c r="X553" s="11" t="s">
        <v>42</v>
      </c>
      <c r="Y553" s="11" t="s">
        <v>1241</v>
      </c>
      <c r="Z553" s="11">
        <v>0.5</v>
      </c>
      <c r="AA553" s="11"/>
      <c r="AB553" s="12" t="s">
        <v>1017</v>
      </c>
      <c r="AC553" s="12">
        <v>46639</v>
      </c>
      <c r="AD553" s="12" t="s">
        <v>124</v>
      </c>
      <c r="AE553" s="42"/>
      <c r="AF553" s="43" t="s">
        <v>45</v>
      </c>
    </row>
    <row r="554" spans="1:32" ht="38.25" x14ac:dyDescent="0.25">
      <c r="A554" s="44"/>
      <c r="B554" s="42"/>
      <c r="C554" s="42"/>
      <c r="D554" s="42"/>
      <c r="E554" s="42"/>
      <c r="F554" s="42"/>
      <c r="G554" s="42"/>
      <c r="H554" s="42"/>
      <c r="I554" s="48"/>
      <c r="J554" s="42"/>
      <c r="K554" s="42"/>
      <c r="L554" s="42"/>
      <c r="M554" s="42"/>
      <c r="N554" s="53"/>
      <c r="O554" s="11" t="s">
        <v>1011</v>
      </c>
      <c r="P554" s="11" t="s">
        <v>93</v>
      </c>
      <c r="Q554" s="11" t="s">
        <v>1275</v>
      </c>
      <c r="R554" s="11">
        <v>0.5</v>
      </c>
      <c r="S554" s="11"/>
      <c r="T554" s="12" t="s">
        <v>1202</v>
      </c>
      <c r="U554" s="12">
        <v>48336</v>
      </c>
      <c r="V554" s="4" t="s">
        <v>1276</v>
      </c>
      <c r="W554" s="11" t="s">
        <v>1015</v>
      </c>
      <c r="X554" s="11" t="s">
        <v>42</v>
      </c>
      <c r="Y554" s="11" t="s">
        <v>1244</v>
      </c>
      <c r="Z554" s="11">
        <v>0.5</v>
      </c>
      <c r="AA554" s="11"/>
      <c r="AB554" s="12" t="s">
        <v>1017</v>
      </c>
      <c r="AC554" s="12">
        <v>46639</v>
      </c>
      <c r="AD554" s="12" t="s">
        <v>124</v>
      </c>
      <c r="AE554" s="42"/>
      <c r="AF554" s="42"/>
    </row>
    <row r="555" spans="1:32" ht="38.25" x14ac:dyDescent="0.25">
      <c r="A555" s="44"/>
      <c r="B555" s="42"/>
      <c r="C555" s="42"/>
      <c r="D555" s="42"/>
      <c r="E555" s="42"/>
      <c r="F555" s="42"/>
      <c r="G555" s="42"/>
      <c r="H555" s="42"/>
      <c r="I555" s="48"/>
      <c r="J555" s="42"/>
      <c r="K555" s="42"/>
      <c r="L555" s="42"/>
      <c r="M555" s="42"/>
      <c r="N555" s="53"/>
      <c r="O555" s="11" t="s">
        <v>1021</v>
      </c>
      <c r="P555" s="11" t="s">
        <v>93</v>
      </c>
      <c r="Q555" s="11" t="s">
        <v>1277</v>
      </c>
      <c r="R555" s="11">
        <v>0.5</v>
      </c>
      <c r="S555" s="11"/>
      <c r="T555" s="12" t="s">
        <v>1202</v>
      </c>
      <c r="U555" s="12">
        <v>48336</v>
      </c>
      <c r="V555" s="4" t="s">
        <v>1278</v>
      </c>
      <c r="W555" s="11" t="s">
        <v>1024</v>
      </c>
      <c r="X555" s="11" t="s">
        <v>42</v>
      </c>
      <c r="Y555" s="11" t="s">
        <v>1248</v>
      </c>
      <c r="Z555" s="11">
        <v>0.5</v>
      </c>
      <c r="AA555" s="11"/>
      <c r="AB555" s="12" t="s">
        <v>1017</v>
      </c>
      <c r="AC555" s="12">
        <v>46639</v>
      </c>
      <c r="AD555" s="12" t="s">
        <v>124</v>
      </c>
      <c r="AE555" s="42"/>
      <c r="AF555" s="42"/>
    </row>
    <row r="556" spans="1:32" ht="22.9" customHeight="1" x14ac:dyDescent="0.25">
      <c r="A556" s="44">
        <v>183</v>
      </c>
      <c r="B556" s="42" t="s">
        <v>28</v>
      </c>
      <c r="C556" s="42" t="s">
        <v>1006</v>
      </c>
      <c r="D556" s="42">
        <v>366616</v>
      </c>
      <c r="E556" s="42" t="s">
        <v>1279</v>
      </c>
      <c r="F556" s="42" t="s">
        <v>31</v>
      </c>
      <c r="G556" s="42" t="s">
        <v>68</v>
      </c>
      <c r="H556" s="42" t="s">
        <v>1008</v>
      </c>
      <c r="I556" s="48" t="s">
        <v>1280</v>
      </c>
      <c r="J556" s="42" t="s">
        <v>71</v>
      </c>
      <c r="K556" s="42"/>
      <c r="L556" s="52">
        <v>45092</v>
      </c>
      <c r="M556" s="52">
        <v>49475</v>
      </c>
      <c r="N556" s="53" t="s">
        <v>1281</v>
      </c>
      <c r="O556" s="11" t="s">
        <v>1011</v>
      </c>
      <c r="P556" s="11" t="s">
        <v>163</v>
      </c>
      <c r="Q556" s="11" t="s">
        <v>1282</v>
      </c>
      <c r="R556" s="11">
        <v>0.5</v>
      </c>
      <c r="S556" s="11"/>
      <c r="T556" s="12" t="s">
        <v>1202</v>
      </c>
      <c r="U556" s="12">
        <v>48336</v>
      </c>
      <c r="V556" s="4" t="s">
        <v>1283</v>
      </c>
      <c r="W556" s="11" t="s">
        <v>1015</v>
      </c>
      <c r="X556" s="11" t="s">
        <v>42</v>
      </c>
      <c r="Y556" s="11" t="s">
        <v>1241</v>
      </c>
      <c r="Z556" s="11">
        <v>0.5</v>
      </c>
      <c r="AA556" s="11"/>
      <c r="AB556" s="12" t="s">
        <v>1017</v>
      </c>
      <c r="AC556" s="12">
        <v>46639</v>
      </c>
      <c r="AD556" s="12" t="s">
        <v>124</v>
      </c>
      <c r="AE556" s="42"/>
      <c r="AF556" s="43" t="s">
        <v>45</v>
      </c>
    </row>
    <row r="557" spans="1:32" ht="38.25" x14ac:dyDescent="0.25">
      <c r="A557" s="44"/>
      <c r="B557" s="42"/>
      <c r="C557" s="42"/>
      <c r="D557" s="42"/>
      <c r="E557" s="42"/>
      <c r="F557" s="42"/>
      <c r="G557" s="42"/>
      <c r="H557" s="42"/>
      <c r="I557" s="48"/>
      <c r="J557" s="42"/>
      <c r="K557" s="42"/>
      <c r="L557" s="42"/>
      <c r="M557" s="42"/>
      <c r="N557" s="53"/>
      <c r="O557" s="11" t="s">
        <v>1011</v>
      </c>
      <c r="P557" s="11" t="s">
        <v>163</v>
      </c>
      <c r="Q557" s="11" t="s">
        <v>1284</v>
      </c>
      <c r="R557" s="11">
        <v>0.5</v>
      </c>
      <c r="S557" s="11"/>
      <c r="T557" s="12" t="s">
        <v>1202</v>
      </c>
      <c r="U557" s="12">
        <v>48336</v>
      </c>
      <c r="V557" s="4" t="s">
        <v>1285</v>
      </c>
      <c r="W557" s="11" t="s">
        <v>1015</v>
      </c>
      <c r="X557" s="11" t="s">
        <v>42</v>
      </c>
      <c r="Y557" s="11" t="s">
        <v>1244</v>
      </c>
      <c r="Z557" s="11">
        <v>0.5</v>
      </c>
      <c r="AA557" s="11"/>
      <c r="AB557" s="12" t="s">
        <v>1017</v>
      </c>
      <c r="AC557" s="12">
        <v>46639</v>
      </c>
      <c r="AD557" s="12" t="s">
        <v>124</v>
      </c>
      <c r="AE557" s="42"/>
      <c r="AF557" s="42"/>
    </row>
    <row r="558" spans="1:32" ht="38.25" x14ac:dyDescent="0.25">
      <c r="A558" s="44"/>
      <c r="B558" s="42"/>
      <c r="C558" s="42"/>
      <c r="D558" s="42"/>
      <c r="E558" s="42"/>
      <c r="F558" s="42"/>
      <c r="G558" s="42"/>
      <c r="H558" s="42"/>
      <c r="I558" s="48"/>
      <c r="J558" s="42"/>
      <c r="K558" s="42"/>
      <c r="L558" s="42"/>
      <c r="M558" s="42"/>
      <c r="N558" s="53"/>
      <c r="O558" s="11" t="s">
        <v>1021</v>
      </c>
      <c r="P558" s="11" t="s">
        <v>163</v>
      </c>
      <c r="Q558" s="11" t="s">
        <v>1286</v>
      </c>
      <c r="R558" s="11">
        <v>0.5</v>
      </c>
      <c r="S558" s="11"/>
      <c r="T558" s="12" t="s">
        <v>1202</v>
      </c>
      <c r="U558" s="12">
        <v>48336</v>
      </c>
      <c r="V558" s="4" t="s">
        <v>1287</v>
      </c>
      <c r="W558" s="11" t="s">
        <v>1024</v>
      </c>
      <c r="X558" s="11" t="s">
        <v>42</v>
      </c>
      <c r="Y558" s="11" t="s">
        <v>1248</v>
      </c>
      <c r="Z558" s="11">
        <v>0.5</v>
      </c>
      <c r="AA558" s="11"/>
      <c r="AB558" s="12" t="s">
        <v>1017</v>
      </c>
      <c r="AC558" s="12">
        <v>46639</v>
      </c>
      <c r="AD558" s="12" t="s">
        <v>124</v>
      </c>
      <c r="AE558" s="42"/>
      <c r="AF558" s="42"/>
    </row>
    <row r="559" spans="1:32" ht="22.9" customHeight="1" x14ac:dyDescent="0.25">
      <c r="A559" s="44">
        <v>184</v>
      </c>
      <c r="B559" s="42" t="s">
        <v>28</v>
      </c>
      <c r="C559" s="42" t="s">
        <v>1006</v>
      </c>
      <c r="D559" s="42">
        <v>366616</v>
      </c>
      <c r="E559" s="42" t="s">
        <v>1288</v>
      </c>
      <c r="F559" s="42" t="s">
        <v>31</v>
      </c>
      <c r="G559" s="42" t="s">
        <v>68</v>
      </c>
      <c r="H559" s="42" t="s">
        <v>1008</v>
      </c>
      <c r="I559" s="48" t="s">
        <v>1289</v>
      </c>
      <c r="J559" s="42" t="s">
        <v>71</v>
      </c>
      <c r="K559" s="42"/>
      <c r="L559" s="52">
        <v>45092</v>
      </c>
      <c r="M559" s="52">
        <v>49475</v>
      </c>
      <c r="N559" s="53" t="s">
        <v>1290</v>
      </c>
      <c r="O559" s="11" t="s">
        <v>1011</v>
      </c>
      <c r="P559" s="11" t="s">
        <v>156</v>
      </c>
      <c r="Q559" s="11" t="s">
        <v>1291</v>
      </c>
      <c r="R559" s="11">
        <v>0.5</v>
      </c>
      <c r="S559" s="11"/>
      <c r="T559" s="12" t="s">
        <v>1202</v>
      </c>
      <c r="U559" s="12">
        <v>48336</v>
      </c>
      <c r="V559" s="4" t="s">
        <v>1292</v>
      </c>
      <c r="W559" s="11" t="s">
        <v>1015</v>
      </c>
      <c r="X559" s="11" t="s">
        <v>42</v>
      </c>
      <c r="Y559" s="11" t="s">
        <v>1241</v>
      </c>
      <c r="Z559" s="11">
        <v>0.5</v>
      </c>
      <c r="AA559" s="11"/>
      <c r="AB559" s="12" t="s">
        <v>1017</v>
      </c>
      <c r="AC559" s="12">
        <v>46639</v>
      </c>
      <c r="AD559" s="12" t="s">
        <v>124</v>
      </c>
      <c r="AE559" s="42"/>
      <c r="AF559" s="43" t="s">
        <v>45</v>
      </c>
    </row>
    <row r="560" spans="1:32" ht="38.25" x14ac:dyDescent="0.25">
      <c r="A560" s="44"/>
      <c r="B560" s="42"/>
      <c r="C560" s="42"/>
      <c r="D560" s="42"/>
      <c r="E560" s="42"/>
      <c r="F560" s="42"/>
      <c r="G560" s="42"/>
      <c r="H560" s="42"/>
      <c r="I560" s="48"/>
      <c r="J560" s="42"/>
      <c r="K560" s="42"/>
      <c r="L560" s="42"/>
      <c r="M560" s="42"/>
      <c r="N560" s="53"/>
      <c r="O560" s="11" t="s">
        <v>1011</v>
      </c>
      <c r="P560" s="11" t="s">
        <v>156</v>
      </c>
      <c r="Q560" s="11" t="s">
        <v>1293</v>
      </c>
      <c r="R560" s="11">
        <v>0.5</v>
      </c>
      <c r="S560" s="11"/>
      <c r="T560" s="12" t="s">
        <v>1202</v>
      </c>
      <c r="U560" s="12">
        <v>48336</v>
      </c>
      <c r="V560" s="4" t="s">
        <v>1294</v>
      </c>
      <c r="W560" s="11" t="s">
        <v>1015</v>
      </c>
      <c r="X560" s="11" t="s">
        <v>42</v>
      </c>
      <c r="Y560" s="11" t="s">
        <v>1244</v>
      </c>
      <c r="Z560" s="11">
        <v>0.5</v>
      </c>
      <c r="AA560" s="11"/>
      <c r="AB560" s="12" t="s">
        <v>1017</v>
      </c>
      <c r="AC560" s="12">
        <v>46639</v>
      </c>
      <c r="AD560" s="12" t="s">
        <v>124</v>
      </c>
      <c r="AE560" s="42"/>
      <c r="AF560" s="42"/>
    </row>
    <row r="561" spans="1:32" ht="38.25" x14ac:dyDescent="0.25">
      <c r="A561" s="44"/>
      <c r="B561" s="42"/>
      <c r="C561" s="42"/>
      <c r="D561" s="42"/>
      <c r="E561" s="42"/>
      <c r="F561" s="42"/>
      <c r="G561" s="42"/>
      <c r="H561" s="42"/>
      <c r="I561" s="48"/>
      <c r="J561" s="42"/>
      <c r="K561" s="42"/>
      <c r="L561" s="42"/>
      <c r="M561" s="42"/>
      <c r="N561" s="53"/>
      <c r="O561" s="11" t="s">
        <v>1021</v>
      </c>
      <c r="P561" s="11" t="s">
        <v>156</v>
      </c>
      <c r="Q561" s="11" t="s">
        <v>1295</v>
      </c>
      <c r="R561" s="11">
        <v>0.5</v>
      </c>
      <c r="S561" s="11"/>
      <c r="T561" s="12" t="s">
        <v>1202</v>
      </c>
      <c r="U561" s="12">
        <v>48336</v>
      </c>
      <c r="V561" s="4" t="s">
        <v>1296</v>
      </c>
      <c r="W561" s="11" t="s">
        <v>1024</v>
      </c>
      <c r="X561" s="11" t="s">
        <v>42</v>
      </c>
      <c r="Y561" s="11" t="s">
        <v>1248</v>
      </c>
      <c r="Z561" s="11">
        <v>0.5</v>
      </c>
      <c r="AA561" s="11"/>
      <c r="AB561" s="12" t="s">
        <v>1017</v>
      </c>
      <c r="AC561" s="12">
        <v>46639</v>
      </c>
      <c r="AD561" s="12" t="s">
        <v>124</v>
      </c>
      <c r="AE561" s="42"/>
      <c r="AF561" s="42"/>
    </row>
    <row r="562" spans="1:32" ht="22.9" customHeight="1" x14ac:dyDescent="0.25">
      <c r="A562" s="44">
        <v>185</v>
      </c>
      <c r="B562" s="42" t="s">
        <v>28</v>
      </c>
      <c r="C562" s="42" t="s">
        <v>1006</v>
      </c>
      <c r="D562" s="42">
        <v>366616</v>
      </c>
      <c r="E562" s="42" t="s">
        <v>1297</v>
      </c>
      <c r="F562" s="42" t="s">
        <v>31</v>
      </c>
      <c r="G562" s="42" t="s">
        <v>90</v>
      </c>
      <c r="H562" s="42" t="s">
        <v>1036</v>
      </c>
      <c r="I562" s="48" t="s">
        <v>1298</v>
      </c>
      <c r="J562" s="42" t="s">
        <v>71</v>
      </c>
      <c r="K562" s="42"/>
      <c r="L562" s="42" t="s">
        <v>1038</v>
      </c>
      <c r="M562" s="52">
        <v>49258</v>
      </c>
      <c r="N562" s="53" t="s">
        <v>1299</v>
      </c>
      <c r="O562" s="11" t="s">
        <v>1238</v>
      </c>
      <c r="P562" s="11" t="s">
        <v>156</v>
      </c>
      <c r="Q562" s="11" t="s">
        <v>1300</v>
      </c>
      <c r="R562" s="11">
        <v>0.2</v>
      </c>
      <c r="S562" s="11"/>
      <c r="T562" s="12" t="s">
        <v>1202</v>
      </c>
      <c r="U562" s="12">
        <v>48336</v>
      </c>
      <c r="V562" s="4" t="s">
        <v>1301</v>
      </c>
      <c r="W562" s="11" t="s">
        <v>1015</v>
      </c>
      <c r="X562" s="11" t="s">
        <v>42</v>
      </c>
      <c r="Y562" s="11" t="s">
        <v>1241</v>
      </c>
      <c r="Z562" s="11">
        <v>0.5</v>
      </c>
      <c r="AA562" s="11"/>
      <c r="AB562" s="12" t="s">
        <v>1017</v>
      </c>
      <c r="AC562" s="12">
        <v>46639</v>
      </c>
      <c r="AD562" s="12" t="s">
        <v>124</v>
      </c>
      <c r="AE562" s="42"/>
      <c r="AF562" s="43" t="s">
        <v>45</v>
      </c>
    </row>
    <row r="563" spans="1:32" ht="38.25" x14ac:dyDescent="0.25">
      <c r="A563" s="44"/>
      <c r="B563" s="42"/>
      <c r="C563" s="42"/>
      <c r="D563" s="42"/>
      <c r="E563" s="42"/>
      <c r="F563" s="42"/>
      <c r="G563" s="42"/>
      <c r="H563" s="42"/>
      <c r="I563" s="48"/>
      <c r="J563" s="42"/>
      <c r="K563" s="42"/>
      <c r="L563" s="42"/>
      <c r="M563" s="42"/>
      <c r="N563" s="53"/>
      <c r="O563" s="11" t="s">
        <v>1238</v>
      </c>
      <c r="P563" s="11" t="s">
        <v>156</v>
      </c>
      <c r="Q563" s="11" t="s">
        <v>1302</v>
      </c>
      <c r="R563" s="11">
        <v>0.2</v>
      </c>
      <c r="S563" s="11"/>
      <c r="T563" s="12" t="s">
        <v>1202</v>
      </c>
      <c r="U563" s="12">
        <v>48336</v>
      </c>
      <c r="V563" s="4" t="s">
        <v>1303</v>
      </c>
      <c r="W563" s="11" t="s">
        <v>1015</v>
      </c>
      <c r="X563" s="11" t="s">
        <v>42</v>
      </c>
      <c r="Y563" s="11" t="s">
        <v>1244</v>
      </c>
      <c r="Z563" s="11">
        <v>0.5</v>
      </c>
      <c r="AA563" s="11"/>
      <c r="AB563" s="12" t="s">
        <v>1017</v>
      </c>
      <c r="AC563" s="12">
        <v>46639</v>
      </c>
      <c r="AD563" s="12" t="s">
        <v>124</v>
      </c>
      <c r="AE563" s="42"/>
      <c r="AF563" s="42"/>
    </row>
    <row r="564" spans="1:32" ht="38.25" x14ac:dyDescent="0.25">
      <c r="A564" s="44"/>
      <c r="B564" s="42"/>
      <c r="C564" s="42"/>
      <c r="D564" s="42"/>
      <c r="E564" s="42"/>
      <c r="F564" s="42"/>
      <c r="G564" s="42"/>
      <c r="H564" s="42"/>
      <c r="I564" s="48"/>
      <c r="J564" s="42"/>
      <c r="K564" s="42"/>
      <c r="L564" s="42"/>
      <c r="M564" s="42"/>
      <c r="N564" s="53"/>
      <c r="O564" s="11" t="s">
        <v>1245</v>
      </c>
      <c r="P564" s="11" t="s">
        <v>156</v>
      </c>
      <c r="Q564" s="11" t="s">
        <v>1304</v>
      </c>
      <c r="R564" s="11">
        <v>0.2</v>
      </c>
      <c r="S564" s="11"/>
      <c r="T564" s="12" t="s">
        <v>1202</v>
      </c>
      <c r="U564" s="12">
        <v>48336</v>
      </c>
      <c r="V564" s="4" t="s">
        <v>1305</v>
      </c>
      <c r="W564" s="11" t="s">
        <v>1024</v>
      </c>
      <c r="X564" s="11" t="s">
        <v>42</v>
      </c>
      <c r="Y564" s="11" t="s">
        <v>1248</v>
      </c>
      <c r="Z564" s="11">
        <v>0.5</v>
      </c>
      <c r="AA564" s="11"/>
      <c r="AB564" s="12" t="s">
        <v>1017</v>
      </c>
      <c r="AC564" s="12">
        <v>46639</v>
      </c>
      <c r="AD564" s="12" t="s">
        <v>124</v>
      </c>
      <c r="AE564" s="42"/>
      <c r="AF564" s="42"/>
    </row>
    <row r="565" spans="1:32" ht="22.9" customHeight="1" x14ac:dyDescent="0.25">
      <c r="A565" s="44">
        <v>186</v>
      </c>
      <c r="B565" s="42" t="s">
        <v>28</v>
      </c>
      <c r="C565" s="42" t="s">
        <v>1006</v>
      </c>
      <c r="D565" s="42">
        <v>366616</v>
      </c>
      <c r="E565" s="42" t="s">
        <v>1306</v>
      </c>
      <c r="F565" s="42" t="s">
        <v>31</v>
      </c>
      <c r="G565" s="42" t="s">
        <v>32</v>
      </c>
      <c r="H565" s="42" t="s">
        <v>1036</v>
      </c>
      <c r="I565" s="48" t="s">
        <v>1307</v>
      </c>
      <c r="J565" s="42" t="s">
        <v>71</v>
      </c>
      <c r="K565" s="42"/>
      <c r="L565" s="42" t="s">
        <v>1038</v>
      </c>
      <c r="M565" s="52">
        <v>49258</v>
      </c>
      <c r="N565" s="53" t="s">
        <v>1308</v>
      </c>
      <c r="O565" s="11" t="s">
        <v>1238</v>
      </c>
      <c r="P565" s="11" t="s">
        <v>156</v>
      </c>
      <c r="Q565" s="11" t="s">
        <v>1309</v>
      </c>
      <c r="R565" s="11">
        <v>0.2</v>
      </c>
      <c r="S565" s="11"/>
      <c r="T565" s="12" t="s">
        <v>1202</v>
      </c>
      <c r="U565" s="12">
        <v>48336</v>
      </c>
      <c r="V565" s="4" t="s">
        <v>1310</v>
      </c>
      <c r="W565" s="11" t="s">
        <v>1015</v>
      </c>
      <c r="X565" s="11" t="s">
        <v>42</v>
      </c>
      <c r="Y565" s="11" t="s">
        <v>1241</v>
      </c>
      <c r="Z565" s="11">
        <v>0.5</v>
      </c>
      <c r="AA565" s="11"/>
      <c r="AB565" s="12" t="s">
        <v>1017</v>
      </c>
      <c r="AC565" s="12">
        <v>46639</v>
      </c>
      <c r="AD565" s="12" t="s">
        <v>124</v>
      </c>
      <c r="AE565" s="42"/>
      <c r="AF565" s="43" t="s">
        <v>45</v>
      </c>
    </row>
    <row r="566" spans="1:32" ht="38.25" x14ac:dyDescent="0.25">
      <c r="A566" s="44"/>
      <c r="B566" s="42"/>
      <c r="C566" s="42"/>
      <c r="D566" s="42"/>
      <c r="E566" s="42"/>
      <c r="F566" s="42"/>
      <c r="G566" s="42"/>
      <c r="H566" s="42"/>
      <c r="I566" s="48"/>
      <c r="J566" s="42"/>
      <c r="K566" s="42"/>
      <c r="L566" s="42"/>
      <c r="M566" s="42"/>
      <c r="N566" s="53"/>
      <c r="O566" s="11" t="s">
        <v>1238</v>
      </c>
      <c r="P566" s="11" t="s">
        <v>156</v>
      </c>
      <c r="Q566" s="11" t="s">
        <v>1311</v>
      </c>
      <c r="R566" s="11">
        <v>0.2</v>
      </c>
      <c r="S566" s="11"/>
      <c r="T566" s="12" t="s">
        <v>1223</v>
      </c>
      <c r="U566" s="12">
        <v>48340</v>
      </c>
      <c r="V566" s="4" t="s">
        <v>1312</v>
      </c>
      <c r="W566" s="11" t="s">
        <v>1015</v>
      </c>
      <c r="X566" s="11" t="s">
        <v>42</v>
      </c>
      <c r="Y566" s="11" t="s">
        <v>1244</v>
      </c>
      <c r="Z566" s="11">
        <v>0.5</v>
      </c>
      <c r="AA566" s="11"/>
      <c r="AB566" s="12" t="s">
        <v>1017</v>
      </c>
      <c r="AC566" s="12">
        <v>46639</v>
      </c>
      <c r="AD566" s="12" t="s">
        <v>124</v>
      </c>
      <c r="AE566" s="42"/>
      <c r="AF566" s="42"/>
    </row>
    <row r="567" spans="1:32" ht="38.25" x14ac:dyDescent="0.25">
      <c r="A567" s="44"/>
      <c r="B567" s="42"/>
      <c r="C567" s="42"/>
      <c r="D567" s="42"/>
      <c r="E567" s="42"/>
      <c r="F567" s="42"/>
      <c r="G567" s="42"/>
      <c r="H567" s="42"/>
      <c r="I567" s="48"/>
      <c r="J567" s="42"/>
      <c r="K567" s="42"/>
      <c r="L567" s="42"/>
      <c r="M567" s="42"/>
      <c r="N567" s="53"/>
      <c r="O567" s="11" t="s">
        <v>1245</v>
      </c>
      <c r="P567" s="11" t="s">
        <v>156</v>
      </c>
      <c r="Q567" s="11" t="s">
        <v>1313</v>
      </c>
      <c r="R567" s="11">
        <v>0.2</v>
      </c>
      <c r="S567" s="11"/>
      <c r="T567" s="12" t="s">
        <v>1202</v>
      </c>
      <c r="U567" s="12">
        <v>48336</v>
      </c>
      <c r="V567" s="4" t="s">
        <v>1314</v>
      </c>
      <c r="W567" s="11" t="s">
        <v>1024</v>
      </c>
      <c r="X567" s="11" t="s">
        <v>42</v>
      </c>
      <c r="Y567" s="11" t="s">
        <v>1248</v>
      </c>
      <c r="Z567" s="11">
        <v>0.5</v>
      </c>
      <c r="AA567" s="11"/>
      <c r="AB567" s="12" t="s">
        <v>1017</v>
      </c>
      <c r="AC567" s="12">
        <v>46639</v>
      </c>
      <c r="AD567" s="12" t="s">
        <v>124</v>
      </c>
      <c r="AE567" s="42"/>
      <c r="AF567" s="42"/>
    </row>
    <row r="568" spans="1:32" ht="22.9" customHeight="1" x14ac:dyDescent="0.25">
      <c r="A568" s="44">
        <v>187</v>
      </c>
      <c r="B568" s="42" t="s">
        <v>28</v>
      </c>
      <c r="C568" s="42" t="s">
        <v>1006</v>
      </c>
      <c r="D568" s="42">
        <v>366616</v>
      </c>
      <c r="E568" s="42" t="s">
        <v>1315</v>
      </c>
      <c r="F568" s="42" t="s">
        <v>31</v>
      </c>
      <c r="G568" s="42" t="s">
        <v>68</v>
      </c>
      <c r="H568" s="42" t="s">
        <v>1008</v>
      </c>
      <c r="I568" s="48" t="s">
        <v>1316</v>
      </c>
      <c r="J568" s="42" t="s">
        <v>71</v>
      </c>
      <c r="K568" s="42"/>
      <c r="L568" s="52">
        <v>45092</v>
      </c>
      <c r="M568" s="52">
        <v>49475</v>
      </c>
      <c r="N568" s="53" t="s">
        <v>1317</v>
      </c>
      <c r="O568" s="11" t="s">
        <v>1011</v>
      </c>
      <c r="P568" s="11" t="s">
        <v>163</v>
      </c>
      <c r="Q568" s="11" t="s">
        <v>1318</v>
      </c>
      <c r="R568" s="11">
        <v>0.5</v>
      </c>
      <c r="S568" s="11"/>
      <c r="T568" s="12" t="s">
        <v>1223</v>
      </c>
      <c r="U568" s="12">
        <v>48340</v>
      </c>
      <c r="V568" s="4" t="s">
        <v>1319</v>
      </c>
      <c r="W568" s="11" t="s">
        <v>1015</v>
      </c>
      <c r="X568" s="11" t="s">
        <v>42</v>
      </c>
      <c r="Y568" s="11" t="s">
        <v>1241</v>
      </c>
      <c r="Z568" s="11">
        <v>0.5</v>
      </c>
      <c r="AA568" s="11"/>
      <c r="AB568" s="12" t="s">
        <v>1017</v>
      </c>
      <c r="AC568" s="12">
        <v>46639</v>
      </c>
      <c r="AD568" s="12" t="s">
        <v>124</v>
      </c>
      <c r="AE568" s="42"/>
      <c r="AF568" s="43" t="s">
        <v>45</v>
      </c>
    </row>
    <row r="569" spans="1:32" ht="38.25" x14ac:dyDescent="0.25">
      <c r="A569" s="44"/>
      <c r="B569" s="42"/>
      <c r="C569" s="42"/>
      <c r="D569" s="42"/>
      <c r="E569" s="42"/>
      <c r="F569" s="42"/>
      <c r="G569" s="42"/>
      <c r="H569" s="42"/>
      <c r="I569" s="48"/>
      <c r="J569" s="42"/>
      <c r="K569" s="42"/>
      <c r="L569" s="42"/>
      <c r="M569" s="42"/>
      <c r="N569" s="53"/>
      <c r="O569" s="11" t="s">
        <v>1011</v>
      </c>
      <c r="P569" s="11" t="s">
        <v>163</v>
      </c>
      <c r="Q569" s="11" t="s">
        <v>1320</v>
      </c>
      <c r="R569" s="11">
        <v>0.5</v>
      </c>
      <c r="S569" s="11"/>
      <c r="T569" s="12" t="s">
        <v>1223</v>
      </c>
      <c r="U569" s="12">
        <v>48340</v>
      </c>
      <c r="V569" s="4" t="s">
        <v>1321</v>
      </c>
      <c r="W569" s="11" t="s">
        <v>1015</v>
      </c>
      <c r="X569" s="11" t="s">
        <v>42</v>
      </c>
      <c r="Y569" s="11" t="s">
        <v>1244</v>
      </c>
      <c r="Z569" s="11">
        <v>0.5</v>
      </c>
      <c r="AA569" s="11"/>
      <c r="AB569" s="12" t="s">
        <v>1017</v>
      </c>
      <c r="AC569" s="12">
        <v>46639</v>
      </c>
      <c r="AD569" s="12" t="s">
        <v>124</v>
      </c>
      <c r="AE569" s="42"/>
      <c r="AF569" s="42"/>
    </row>
    <row r="570" spans="1:32" ht="38.25" x14ac:dyDescent="0.25">
      <c r="A570" s="44"/>
      <c r="B570" s="42"/>
      <c r="C570" s="42"/>
      <c r="D570" s="42"/>
      <c r="E570" s="42"/>
      <c r="F570" s="42"/>
      <c r="G570" s="42"/>
      <c r="H570" s="42"/>
      <c r="I570" s="48"/>
      <c r="J570" s="42"/>
      <c r="K570" s="42"/>
      <c r="L570" s="42"/>
      <c r="M570" s="42"/>
      <c r="N570" s="53"/>
      <c r="O570" s="11" t="s">
        <v>1021</v>
      </c>
      <c r="P570" s="11" t="s">
        <v>163</v>
      </c>
      <c r="Q570" s="11" t="s">
        <v>1322</v>
      </c>
      <c r="R570" s="11">
        <v>0.5</v>
      </c>
      <c r="S570" s="11"/>
      <c r="T570" s="12" t="s">
        <v>1223</v>
      </c>
      <c r="U570" s="12">
        <v>48340</v>
      </c>
      <c r="V570" s="4" t="s">
        <v>1323</v>
      </c>
      <c r="W570" s="11" t="s">
        <v>1024</v>
      </c>
      <c r="X570" s="11" t="s">
        <v>42</v>
      </c>
      <c r="Y570" s="11" t="s">
        <v>1248</v>
      </c>
      <c r="Z570" s="11">
        <v>0.5</v>
      </c>
      <c r="AA570" s="11"/>
      <c r="AB570" s="12" t="s">
        <v>1017</v>
      </c>
      <c r="AC570" s="12">
        <v>46639</v>
      </c>
      <c r="AD570" s="12" t="s">
        <v>124</v>
      </c>
      <c r="AE570" s="42"/>
      <c r="AF570" s="42"/>
    </row>
    <row r="571" spans="1:32" ht="22.9" customHeight="1" x14ac:dyDescent="0.25">
      <c r="A571" s="44">
        <v>188</v>
      </c>
      <c r="B571" s="42" t="s">
        <v>28</v>
      </c>
      <c r="C571" s="42" t="s">
        <v>1006</v>
      </c>
      <c r="D571" s="42">
        <v>366616</v>
      </c>
      <c r="E571" s="42" t="s">
        <v>1324</v>
      </c>
      <c r="F571" s="42" t="s">
        <v>31</v>
      </c>
      <c r="G571" s="42" t="s">
        <v>32</v>
      </c>
      <c r="H571" s="42"/>
      <c r="I571" s="48"/>
      <c r="J571" s="42" t="s">
        <v>71</v>
      </c>
      <c r="K571" s="42"/>
      <c r="L571" s="42">
        <v>0</v>
      </c>
      <c r="M571" s="52">
        <v>0</v>
      </c>
      <c r="N571" s="42"/>
      <c r="O571" s="11" t="s">
        <v>624</v>
      </c>
      <c r="P571" s="11" t="s">
        <v>625</v>
      </c>
      <c r="Q571" s="11" t="s">
        <v>1325</v>
      </c>
      <c r="R571" s="11">
        <v>0.5</v>
      </c>
      <c r="S571" s="11"/>
      <c r="T571" s="12" t="s">
        <v>1070</v>
      </c>
      <c r="U571" s="12">
        <v>46683</v>
      </c>
      <c r="V571" s="4" t="s">
        <v>124</v>
      </c>
      <c r="W571" s="11" t="s">
        <v>1015</v>
      </c>
      <c r="X571" s="11" t="s">
        <v>42</v>
      </c>
      <c r="Y571" s="11" t="s">
        <v>1241</v>
      </c>
      <c r="Z571" s="11">
        <v>0.5</v>
      </c>
      <c r="AA571" s="11"/>
      <c r="AB571" s="12" t="s">
        <v>1017</v>
      </c>
      <c r="AC571" s="12">
        <v>46639</v>
      </c>
      <c r="AD571" s="12" t="s">
        <v>124</v>
      </c>
      <c r="AE571" s="42"/>
      <c r="AF571" s="43" t="s">
        <v>45</v>
      </c>
    </row>
    <row r="572" spans="1:32" ht="25.5" x14ac:dyDescent="0.25">
      <c r="A572" s="44"/>
      <c r="B572" s="42"/>
      <c r="C572" s="42"/>
      <c r="D572" s="42"/>
      <c r="E572" s="42"/>
      <c r="F572" s="42"/>
      <c r="G572" s="42"/>
      <c r="H572" s="42"/>
      <c r="I572" s="48"/>
      <c r="J572" s="42"/>
      <c r="K572" s="42"/>
      <c r="L572" s="42"/>
      <c r="M572" s="42"/>
      <c r="N572" s="42"/>
      <c r="O572" s="11" t="s">
        <v>624</v>
      </c>
      <c r="P572" s="11" t="s">
        <v>625</v>
      </c>
      <c r="Q572" s="11" t="s">
        <v>1326</v>
      </c>
      <c r="R572" s="11">
        <v>0.5</v>
      </c>
      <c r="S572" s="11"/>
      <c r="T572" s="12" t="s">
        <v>1070</v>
      </c>
      <c r="U572" s="12">
        <v>46683</v>
      </c>
      <c r="V572" s="4" t="s">
        <v>124</v>
      </c>
      <c r="W572" s="11" t="s">
        <v>1015</v>
      </c>
      <c r="X572" s="11" t="s">
        <v>42</v>
      </c>
      <c r="Y572" s="11" t="s">
        <v>1244</v>
      </c>
      <c r="Z572" s="11">
        <v>0.5</v>
      </c>
      <c r="AA572" s="11"/>
      <c r="AB572" s="12" t="s">
        <v>1017</v>
      </c>
      <c r="AC572" s="12">
        <v>46639</v>
      </c>
      <c r="AD572" s="12" t="s">
        <v>124</v>
      </c>
      <c r="AE572" s="42"/>
      <c r="AF572" s="42"/>
    </row>
    <row r="573" spans="1:32" x14ac:dyDescent="0.25">
      <c r="A573" s="44"/>
      <c r="B573" s="42"/>
      <c r="C573" s="42"/>
      <c r="D573" s="42"/>
      <c r="E573" s="42"/>
      <c r="F573" s="42"/>
      <c r="G573" s="42"/>
      <c r="H573" s="42"/>
      <c r="I573" s="48"/>
      <c r="J573" s="42"/>
      <c r="K573" s="42"/>
      <c r="L573" s="42"/>
      <c r="M573" s="42"/>
      <c r="N573" s="42"/>
      <c r="O573" s="11" t="s">
        <v>635</v>
      </c>
      <c r="P573" s="11" t="s">
        <v>625</v>
      </c>
      <c r="Q573" s="11" t="s">
        <v>1327</v>
      </c>
      <c r="R573" s="11">
        <v>0.5</v>
      </c>
      <c r="S573" s="11"/>
      <c r="T573" s="12" t="s">
        <v>1070</v>
      </c>
      <c r="U573" s="12">
        <v>46683</v>
      </c>
      <c r="V573" s="4" t="s">
        <v>124</v>
      </c>
      <c r="W573" s="11" t="s">
        <v>1024</v>
      </c>
      <c r="X573" s="11" t="s">
        <v>42</v>
      </c>
      <c r="Y573" s="11" t="s">
        <v>1248</v>
      </c>
      <c r="Z573" s="11">
        <v>0.5</v>
      </c>
      <c r="AA573" s="11"/>
      <c r="AB573" s="12" t="s">
        <v>1017</v>
      </c>
      <c r="AC573" s="12">
        <v>46639</v>
      </c>
      <c r="AD573" s="12" t="s">
        <v>124</v>
      </c>
      <c r="AE573" s="42"/>
      <c r="AF573" s="42"/>
    </row>
    <row r="574" spans="1:32" ht="22.9" customHeight="1" x14ac:dyDescent="0.25">
      <c r="A574" s="44">
        <v>189</v>
      </c>
      <c r="B574" s="42" t="s">
        <v>28</v>
      </c>
      <c r="C574" s="42" t="s">
        <v>1006</v>
      </c>
      <c r="D574" s="42">
        <v>366616</v>
      </c>
      <c r="E574" s="42" t="s">
        <v>1328</v>
      </c>
      <c r="F574" s="42" t="s">
        <v>31</v>
      </c>
      <c r="G574" s="42" t="s">
        <v>68</v>
      </c>
      <c r="H574" s="42" t="s">
        <v>1190</v>
      </c>
      <c r="I574" s="48" t="s">
        <v>1329</v>
      </c>
      <c r="J574" s="42" t="s">
        <v>71</v>
      </c>
      <c r="K574" s="42"/>
      <c r="L574" s="42" t="s">
        <v>1330</v>
      </c>
      <c r="M574" s="52">
        <v>49154</v>
      </c>
      <c r="N574" s="53" t="s">
        <v>1331</v>
      </c>
      <c r="O574" s="11" t="s">
        <v>1193</v>
      </c>
      <c r="P574" s="11" t="s">
        <v>93</v>
      </c>
      <c r="Q574" s="11" t="s">
        <v>1332</v>
      </c>
      <c r="R574" s="11">
        <v>0.5</v>
      </c>
      <c r="S574" s="11"/>
      <c r="T574" s="12" t="s">
        <v>1195</v>
      </c>
      <c r="U574" s="12">
        <v>49597</v>
      </c>
      <c r="V574" s="4" t="s">
        <v>124</v>
      </c>
      <c r="W574" s="11" t="s">
        <v>77</v>
      </c>
      <c r="X574" s="11" t="s">
        <v>77</v>
      </c>
      <c r="Y574" s="11" t="s">
        <v>77</v>
      </c>
      <c r="Z574" s="11">
        <v>0</v>
      </c>
      <c r="AA574" s="11"/>
      <c r="AB574" s="12" t="s">
        <v>77</v>
      </c>
      <c r="AC574" s="12" t="s">
        <v>77</v>
      </c>
      <c r="AD574" s="12"/>
      <c r="AE574" s="42"/>
      <c r="AF574" s="43" t="s">
        <v>995</v>
      </c>
    </row>
    <row r="575" spans="1:32" ht="25.5" x14ac:dyDescent="0.25">
      <c r="A575" s="44"/>
      <c r="B575" s="42"/>
      <c r="C575" s="42"/>
      <c r="D575" s="42"/>
      <c r="E575" s="42"/>
      <c r="F575" s="42"/>
      <c r="G575" s="42"/>
      <c r="H575" s="42"/>
      <c r="I575" s="48"/>
      <c r="J575" s="42"/>
      <c r="K575" s="42"/>
      <c r="L575" s="42"/>
      <c r="M575" s="42"/>
      <c r="N575" s="53"/>
      <c r="O575" s="11" t="s">
        <v>1193</v>
      </c>
      <c r="P575" s="11" t="s">
        <v>93</v>
      </c>
      <c r="Q575" s="11" t="s">
        <v>1333</v>
      </c>
      <c r="R575" s="11">
        <v>0.5</v>
      </c>
      <c r="S575" s="11"/>
      <c r="T575" s="12" t="s">
        <v>1195</v>
      </c>
      <c r="U575" s="12">
        <v>49597</v>
      </c>
      <c r="V575" s="4" t="s">
        <v>124</v>
      </c>
      <c r="W575" s="11" t="s">
        <v>77</v>
      </c>
      <c r="X575" s="11" t="s">
        <v>77</v>
      </c>
      <c r="Y575" s="11" t="s">
        <v>77</v>
      </c>
      <c r="Z575" s="11" t="s">
        <v>77</v>
      </c>
      <c r="AA575" s="11"/>
      <c r="AB575" s="12" t="s">
        <v>77</v>
      </c>
      <c r="AC575" s="12" t="s">
        <v>77</v>
      </c>
      <c r="AD575" s="12"/>
      <c r="AE575" s="42"/>
      <c r="AF575" s="42"/>
    </row>
    <row r="576" spans="1:32" x14ac:dyDescent="0.25">
      <c r="A576" s="44"/>
      <c r="B576" s="42"/>
      <c r="C576" s="42"/>
      <c r="D576" s="42"/>
      <c r="E576" s="42"/>
      <c r="F576" s="42"/>
      <c r="G576" s="42"/>
      <c r="H576" s="42"/>
      <c r="I576" s="48"/>
      <c r="J576" s="42"/>
      <c r="K576" s="42"/>
      <c r="L576" s="42"/>
      <c r="M576" s="42"/>
      <c r="N576" s="53"/>
      <c r="O576" s="11" t="s">
        <v>1197</v>
      </c>
      <c r="P576" s="11" t="s">
        <v>93</v>
      </c>
      <c r="Q576" s="11" t="s">
        <v>1334</v>
      </c>
      <c r="R576" s="11">
        <v>0.5</v>
      </c>
      <c r="S576" s="11"/>
      <c r="T576" s="12" t="s">
        <v>1195</v>
      </c>
      <c r="U576" s="12">
        <v>49597</v>
      </c>
      <c r="V576" s="4" t="s">
        <v>124</v>
      </c>
      <c r="W576" s="11" t="s">
        <v>77</v>
      </c>
      <c r="X576" s="11" t="s">
        <v>77</v>
      </c>
      <c r="Y576" s="11" t="s">
        <v>77</v>
      </c>
      <c r="Z576" s="11" t="s">
        <v>77</v>
      </c>
      <c r="AA576" s="11"/>
      <c r="AB576" s="12" t="s">
        <v>77</v>
      </c>
      <c r="AC576" s="12" t="s">
        <v>77</v>
      </c>
      <c r="AD576" s="12"/>
      <c r="AE576" s="42"/>
      <c r="AF576" s="42"/>
    </row>
    <row r="577" spans="1:32" ht="22.9" customHeight="1" x14ac:dyDescent="0.25">
      <c r="A577" s="44">
        <v>190</v>
      </c>
      <c r="B577" s="42" t="s">
        <v>28</v>
      </c>
      <c r="C577" s="42" t="s">
        <v>1006</v>
      </c>
      <c r="D577" s="42">
        <v>366616</v>
      </c>
      <c r="E577" s="42" t="s">
        <v>1335</v>
      </c>
      <c r="F577" s="42" t="s">
        <v>31</v>
      </c>
      <c r="G577" s="42" t="s">
        <v>32</v>
      </c>
      <c r="H577" s="42" t="s">
        <v>1036</v>
      </c>
      <c r="I577" s="48" t="s">
        <v>1336</v>
      </c>
      <c r="J577" s="42" t="s">
        <v>71</v>
      </c>
      <c r="K577" s="42"/>
      <c r="L577" s="42" t="s">
        <v>1038</v>
      </c>
      <c r="M577" s="52">
        <v>49258</v>
      </c>
      <c r="N577" s="53" t="s">
        <v>1337</v>
      </c>
      <c r="O577" s="11" t="s">
        <v>1238</v>
      </c>
      <c r="P577" s="11" t="s">
        <v>93</v>
      </c>
      <c r="Q577" s="11" t="s">
        <v>1338</v>
      </c>
      <c r="R577" s="11">
        <v>0.2</v>
      </c>
      <c r="S577" s="11"/>
      <c r="T577" s="12" t="s">
        <v>1070</v>
      </c>
      <c r="U577" s="12">
        <v>46683</v>
      </c>
      <c r="V577" s="4" t="s">
        <v>124</v>
      </c>
      <c r="W577" s="11" t="s">
        <v>1015</v>
      </c>
      <c r="X577" s="11" t="s">
        <v>42</v>
      </c>
      <c r="Y577" s="11" t="s">
        <v>1241</v>
      </c>
      <c r="Z577" s="11">
        <v>0.5</v>
      </c>
      <c r="AA577" s="11"/>
      <c r="AB577" s="12" t="s">
        <v>1017</v>
      </c>
      <c r="AC577" s="12">
        <v>46639</v>
      </c>
      <c r="AD577" s="12" t="s">
        <v>124</v>
      </c>
      <c r="AE577" s="42"/>
      <c r="AF577" s="43" t="s">
        <v>45</v>
      </c>
    </row>
    <row r="578" spans="1:32" ht="25.5" x14ac:dyDescent="0.25">
      <c r="A578" s="44"/>
      <c r="B578" s="42"/>
      <c r="C578" s="42"/>
      <c r="D578" s="42"/>
      <c r="E578" s="42"/>
      <c r="F578" s="42"/>
      <c r="G578" s="42"/>
      <c r="H578" s="42"/>
      <c r="I578" s="48"/>
      <c r="J578" s="42"/>
      <c r="K578" s="42"/>
      <c r="L578" s="42"/>
      <c r="M578" s="42"/>
      <c r="N578" s="53"/>
      <c r="O578" s="11" t="s">
        <v>1238</v>
      </c>
      <c r="P578" s="11" t="s">
        <v>93</v>
      </c>
      <c r="Q578" s="11" t="s">
        <v>1339</v>
      </c>
      <c r="R578" s="11">
        <v>0.2</v>
      </c>
      <c r="S578" s="11"/>
      <c r="T578" s="12" t="s">
        <v>1070</v>
      </c>
      <c r="U578" s="12">
        <v>46683</v>
      </c>
      <c r="V578" s="4" t="s">
        <v>124</v>
      </c>
      <c r="W578" s="11" t="s">
        <v>1015</v>
      </c>
      <c r="X578" s="11" t="s">
        <v>42</v>
      </c>
      <c r="Y578" s="11" t="s">
        <v>1244</v>
      </c>
      <c r="Z578" s="11">
        <v>0.5</v>
      </c>
      <c r="AA578" s="11"/>
      <c r="AB578" s="12" t="s">
        <v>1017</v>
      </c>
      <c r="AC578" s="12">
        <v>46639</v>
      </c>
      <c r="AD578" s="12" t="s">
        <v>124</v>
      </c>
      <c r="AE578" s="42"/>
      <c r="AF578" s="42"/>
    </row>
    <row r="579" spans="1:32" x14ac:dyDescent="0.25">
      <c r="A579" s="44"/>
      <c r="B579" s="42"/>
      <c r="C579" s="42"/>
      <c r="D579" s="42"/>
      <c r="E579" s="42"/>
      <c r="F579" s="42"/>
      <c r="G579" s="42"/>
      <c r="H579" s="42"/>
      <c r="I579" s="48"/>
      <c r="J579" s="42"/>
      <c r="K579" s="42"/>
      <c r="L579" s="42"/>
      <c r="M579" s="42"/>
      <c r="N579" s="53"/>
      <c r="O579" s="11" t="s">
        <v>1245</v>
      </c>
      <c r="P579" s="11" t="s">
        <v>93</v>
      </c>
      <c r="Q579" s="11" t="s">
        <v>1340</v>
      </c>
      <c r="R579" s="11">
        <v>0.2</v>
      </c>
      <c r="S579" s="11"/>
      <c r="T579" s="12" t="s">
        <v>1070</v>
      </c>
      <c r="U579" s="12">
        <v>46683</v>
      </c>
      <c r="V579" s="4" t="s">
        <v>124</v>
      </c>
      <c r="W579" s="11" t="s">
        <v>1024</v>
      </c>
      <c r="X579" s="11" t="s">
        <v>42</v>
      </c>
      <c r="Y579" s="11" t="s">
        <v>1248</v>
      </c>
      <c r="Z579" s="11">
        <v>0.5</v>
      </c>
      <c r="AA579" s="11"/>
      <c r="AB579" s="12" t="s">
        <v>1017</v>
      </c>
      <c r="AC579" s="12">
        <v>46639</v>
      </c>
      <c r="AD579" s="12" t="s">
        <v>124</v>
      </c>
      <c r="AE579" s="42"/>
      <c r="AF579" s="42"/>
    </row>
    <row r="580" spans="1:32" ht="22.9" customHeight="1" x14ac:dyDescent="0.25">
      <c r="A580" s="44">
        <v>191</v>
      </c>
      <c r="B580" s="42" t="s">
        <v>28</v>
      </c>
      <c r="C580" s="42" t="s">
        <v>1006</v>
      </c>
      <c r="D580" s="42">
        <v>366616</v>
      </c>
      <c r="E580" s="42" t="s">
        <v>1341</v>
      </c>
      <c r="F580" s="42" t="s">
        <v>31</v>
      </c>
      <c r="G580" s="42" t="s">
        <v>90</v>
      </c>
      <c r="H580" s="42" t="s">
        <v>1008</v>
      </c>
      <c r="I580" s="48" t="s">
        <v>1342</v>
      </c>
      <c r="J580" s="42" t="s">
        <v>71</v>
      </c>
      <c r="K580" s="42"/>
      <c r="L580" s="52">
        <v>45092</v>
      </c>
      <c r="M580" s="52">
        <v>49475</v>
      </c>
      <c r="N580" s="53" t="s">
        <v>1343</v>
      </c>
      <c r="O580" s="11" t="s">
        <v>1011</v>
      </c>
      <c r="P580" s="11" t="s">
        <v>156</v>
      </c>
      <c r="Q580" s="11" t="s">
        <v>1344</v>
      </c>
      <c r="R580" s="11">
        <v>0.5</v>
      </c>
      <c r="S580" s="11"/>
      <c r="T580" s="12" t="s">
        <v>1223</v>
      </c>
      <c r="U580" s="12">
        <v>48340</v>
      </c>
      <c r="V580" s="4" t="s">
        <v>1345</v>
      </c>
      <c r="W580" s="11" t="s">
        <v>1015</v>
      </c>
      <c r="X580" s="11" t="s">
        <v>42</v>
      </c>
      <c r="Y580" s="11" t="s">
        <v>1241</v>
      </c>
      <c r="Z580" s="11">
        <v>0.5</v>
      </c>
      <c r="AA580" s="11"/>
      <c r="AB580" s="12" t="s">
        <v>1017</v>
      </c>
      <c r="AC580" s="12">
        <v>46639</v>
      </c>
      <c r="AD580" s="12" t="s">
        <v>124</v>
      </c>
      <c r="AE580" s="42"/>
      <c r="AF580" s="43" t="s">
        <v>45</v>
      </c>
    </row>
    <row r="581" spans="1:32" ht="38.25" x14ac:dyDescent="0.25">
      <c r="A581" s="44"/>
      <c r="B581" s="42"/>
      <c r="C581" s="42"/>
      <c r="D581" s="42"/>
      <c r="E581" s="42"/>
      <c r="F581" s="42"/>
      <c r="G581" s="42"/>
      <c r="H581" s="42"/>
      <c r="I581" s="48"/>
      <c r="J581" s="42"/>
      <c r="K581" s="42"/>
      <c r="L581" s="42"/>
      <c r="M581" s="42"/>
      <c r="N581" s="53"/>
      <c r="O581" s="11" t="s">
        <v>1011</v>
      </c>
      <c r="P581" s="11" t="s">
        <v>156</v>
      </c>
      <c r="Q581" s="11" t="s">
        <v>1346</v>
      </c>
      <c r="R581" s="11">
        <v>0.5</v>
      </c>
      <c r="S581" s="11"/>
      <c r="T581" s="12" t="s">
        <v>1223</v>
      </c>
      <c r="U581" s="12">
        <v>48340</v>
      </c>
      <c r="V581" s="4" t="s">
        <v>1347</v>
      </c>
      <c r="W581" s="11" t="s">
        <v>1015</v>
      </c>
      <c r="X581" s="11" t="s">
        <v>42</v>
      </c>
      <c r="Y581" s="11" t="s">
        <v>1244</v>
      </c>
      <c r="Z581" s="11">
        <v>0.5</v>
      </c>
      <c r="AA581" s="11"/>
      <c r="AB581" s="12" t="s">
        <v>1017</v>
      </c>
      <c r="AC581" s="12">
        <v>46639</v>
      </c>
      <c r="AD581" s="12" t="s">
        <v>124</v>
      </c>
      <c r="AE581" s="42"/>
      <c r="AF581" s="42"/>
    </row>
    <row r="582" spans="1:32" ht="38.25" x14ac:dyDescent="0.25">
      <c r="A582" s="44"/>
      <c r="B582" s="42"/>
      <c r="C582" s="42"/>
      <c r="D582" s="42"/>
      <c r="E582" s="42"/>
      <c r="F582" s="42"/>
      <c r="G582" s="42"/>
      <c r="H582" s="42"/>
      <c r="I582" s="48"/>
      <c r="J582" s="42"/>
      <c r="K582" s="42"/>
      <c r="L582" s="42"/>
      <c r="M582" s="42"/>
      <c r="N582" s="53"/>
      <c r="O582" s="11" t="s">
        <v>1021</v>
      </c>
      <c r="P582" s="11" t="s">
        <v>156</v>
      </c>
      <c r="Q582" s="11" t="s">
        <v>1348</v>
      </c>
      <c r="R582" s="11">
        <v>0.5</v>
      </c>
      <c r="S582" s="11"/>
      <c r="T582" s="12" t="s">
        <v>1223</v>
      </c>
      <c r="U582" s="12">
        <v>48340</v>
      </c>
      <c r="V582" s="4" t="s">
        <v>1349</v>
      </c>
      <c r="W582" s="11" t="s">
        <v>1024</v>
      </c>
      <c r="X582" s="11" t="s">
        <v>42</v>
      </c>
      <c r="Y582" s="11" t="s">
        <v>1248</v>
      </c>
      <c r="Z582" s="11">
        <v>0.5</v>
      </c>
      <c r="AA582" s="11"/>
      <c r="AB582" s="12" t="s">
        <v>1017</v>
      </c>
      <c r="AC582" s="12">
        <v>46639</v>
      </c>
      <c r="AD582" s="12" t="s">
        <v>124</v>
      </c>
      <c r="AE582" s="42"/>
      <c r="AF582" s="42"/>
    </row>
    <row r="583" spans="1:32" ht="22.9" customHeight="1" x14ac:dyDescent="0.25">
      <c r="A583" s="44">
        <v>192</v>
      </c>
      <c r="B583" s="42" t="s">
        <v>28</v>
      </c>
      <c r="C583" s="42" t="s">
        <v>1006</v>
      </c>
      <c r="D583" s="42">
        <v>366616</v>
      </c>
      <c r="E583" s="42" t="s">
        <v>1350</v>
      </c>
      <c r="F583" s="42" t="s">
        <v>31</v>
      </c>
      <c r="G583" s="42" t="s">
        <v>32</v>
      </c>
      <c r="H583" s="42" t="s">
        <v>1036</v>
      </c>
      <c r="I583" s="48" t="s">
        <v>1351</v>
      </c>
      <c r="J583" s="42" t="s">
        <v>71</v>
      </c>
      <c r="K583" s="42"/>
      <c r="L583" s="42" t="s">
        <v>1038</v>
      </c>
      <c r="M583" s="52">
        <v>49258</v>
      </c>
      <c r="N583" s="53" t="s">
        <v>1352</v>
      </c>
      <c r="O583" s="11" t="s">
        <v>1238</v>
      </c>
      <c r="P583" s="11" t="s">
        <v>156</v>
      </c>
      <c r="Q583" s="11" t="s">
        <v>1353</v>
      </c>
      <c r="R583" s="11">
        <v>0.2</v>
      </c>
      <c r="S583" s="11"/>
      <c r="T583" s="12" t="s">
        <v>1223</v>
      </c>
      <c r="U583" s="12">
        <v>48340</v>
      </c>
      <c r="V583" s="4" t="s">
        <v>1354</v>
      </c>
      <c r="W583" s="11" t="s">
        <v>1015</v>
      </c>
      <c r="X583" s="11" t="s">
        <v>42</v>
      </c>
      <c r="Y583" s="11" t="s">
        <v>1355</v>
      </c>
      <c r="Z583" s="11">
        <v>0.5</v>
      </c>
      <c r="AA583" s="11"/>
      <c r="AB583" s="12" t="s">
        <v>1017</v>
      </c>
      <c r="AC583" s="12">
        <v>46639</v>
      </c>
      <c r="AD583" s="12" t="s">
        <v>124</v>
      </c>
      <c r="AE583" s="42"/>
      <c r="AF583" s="43" t="s">
        <v>45</v>
      </c>
    </row>
    <row r="584" spans="1:32" ht="38.25" x14ac:dyDescent="0.25">
      <c r="A584" s="44"/>
      <c r="B584" s="42"/>
      <c r="C584" s="42"/>
      <c r="D584" s="42"/>
      <c r="E584" s="42"/>
      <c r="F584" s="42"/>
      <c r="G584" s="42"/>
      <c r="H584" s="42"/>
      <c r="I584" s="48"/>
      <c r="J584" s="42"/>
      <c r="K584" s="42"/>
      <c r="L584" s="42"/>
      <c r="M584" s="42"/>
      <c r="N584" s="53"/>
      <c r="O584" s="11" t="s">
        <v>1238</v>
      </c>
      <c r="P584" s="11" t="s">
        <v>156</v>
      </c>
      <c r="Q584" s="11" t="s">
        <v>1356</v>
      </c>
      <c r="R584" s="11">
        <v>0.2</v>
      </c>
      <c r="S584" s="11"/>
      <c r="T584" s="12" t="s">
        <v>1223</v>
      </c>
      <c r="U584" s="12">
        <v>48340</v>
      </c>
      <c r="V584" s="4" t="s">
        <v>1357</v>
      </c>
      <c r="W584" s="11" t="s">
        <v>1015</v>
      </c>
      <c r="X584" s="11" t="s">
        <v>42</v>
      </c>
      <c r="Y584" s="11" t="s">
        <v>1358</v>
      </c>
      <c r="Z584" s="11">
        <v>0.5</v>
      </c>
      <c r="AA584" s="11"/>
      <c r="AB584" s="12" t="s">
        <v>1017</v>
      </c>
      <c r="AC584" s="12">
        <v>46639</v>
      </c>
      <c r="AD584" s="12" t="s">
        <v>124</v>
      </c>
      <c r="AE584" s="42"/>
      <c r="AF584" s="42"/>
    </row>
    <row r="585" spans="1:32" ht="38.25" x14ac:dyDescent="0.25">
      <c r="A585" s="44"/>
      <c r="B585" s="42"/>
      <c r="C585" s="42"/>
      <c r="D585" s="42"/>
      <c r="E585" s="42"/>
      <c r="F585" s="42"/>
      <c r="G585" s="42"/>
      <c r="H585" s="42"/>
      <c r="I585" s="48"/>
      <c r="J585" s="42"/>
      <c r="K585" s="42"/>
      <c r="L585" s="42"/>
      <c r="M585" s="42"/>
      <c r="N585" s="53"/>
      <c r="O585" s="11" t="s">
        <v>1245</v>
      </c>
      <c r="P585" s="11" t="s">
        <v>156</v>
      </c>
      <c r="Q585" s="11" t="s">
        <v>1359</v>
      </c>
      <c r="R585" s="11">
        <v>0.2</v>
      </c>
      <c r="S585" s="11"/>
      <c r="T585" s="12" t="s">
        <v>1223</v>
      </c>
      <c r="U585" s="12">
        <v>48340</v>
      </c>
      <c r="V585" s="4" t="s">
        <v>1360</v>
      </c>
      <c r="W585" s="11" t="s">
        <v>1024</v>
      </c>
      <c r="X585" s="11" t="s">
        <v>42</v>
      </c>
      <c r="Y585" s="11" t="s">
        <v>1361</v>
      </c>
      <c r="Z585" s="11">
        <v>0.5</v>
      </c>
      <c r="AA585" s="11"/>
      <c r="AB585" s="12" t="s">
        <v>1017</v>
      </c>
      <c r="AC585" s="12">
        <v>46639</v>
      </c>
      <c r="AD585" s="12" t="s">
        <v>124</v>
      </c>
      <c r="AE585" s="42"/>
      <c r="AF585" s="42"/>
    </row>
    <row r="586" spans="1:32" ht="22.9" customHeight="1" x14ac:dyDescent="0.25">
      <c r="A586" s="44">
        <v>193</v>
      </c>
      <c r="B586" s="42" t="s">
        <v>28</v>
      </c>
      <c r="C586" s="42" t="s">
        <v>1006</v>
      </c>
      <c r="D586" s="42">
        <v>366616</v>
      </c>
      <c r="E586" s="42" t="s">
        <v>1362</v>
      </c>
      <c r="F586" s="42" t="s">
        <v>31</v>
      </c>
      <c r="G586" s="42" t="s">
        <v>90</v>
      </c>
      <c r="H586" s="42" t="s">
        <v>1036</v>
      </c>
      <c r="I586" s="48" t="s">
        <v>1363</v>
      </c>
      <c r="J586" s="42" t="s">
        <v>71</v>
      </c>
      <c r="K586" s="42"/>
      <c r="L586" s="42" t="s">
        <v>1038</v>
      </c>
      <c r="M586" s="52">
        <v>49258</v>
      </c>
      <c r="N586" s="53" t="s">
        <v>1364</v>
      </c>
      <c r="O586" s="11" t="s">
        <v>1238</v>
      </c>
      <c r="P586" s="11" t="s">
        <v>93</v>
      </c>
      <c r="Q586" s="11" t="s">
        <v>1365</v>
      </c>
      <c r="R586" s="11">
        <v>0.2</v>
      </c>
      <c r="S586" s="11"/>
      <c r="T586" s="12" t="s">
        <v>1223</v>
      </c>
      <c r="U586" s="12">
        <v>48340</v>
      </c>
      <c r="V586" s="4" t="s">
        <v>1366</v>
      </c>
      <c r="W586" s="11" t="s">
        <v>1015</v>
      </c>
      <c r="X586" s="11" t="s">
        <v>42</v>
      </c>
      <c r="Y586" s="11" t="s">
        <v>1355</v>
      </c>
      <c r="Z586" s="11">
        <v>0.5</v>
      </c>
      <c r="AA586" s="11"/>
      <c r="AB586" s="12" t="s">
        <v>1017</v>
      </c>
      <c r="AC586" s="12">
        <v>46639</v>
      </c>
      <c r="AD586" s="12" t="s">
        <v>124</v>
      </c>
      <c r="AE586" s="42"/>
      <c r="AF586" s="43" t="s">
        <v>45</v>
      </c>
    </row>
    <row r="587" spans="1:32" ht="38.25" x14ac:dyDescent="0.25">
      <c r="A587" s="44"/>
      <c r="B587" s="42"/>
      <c r="C587" s="42"/>
      <c r="D587" s="42"/>
      <c r="E587" s="42"/>
      <c r="F587" s="42"/>
      <c r="G587" s="42"/>
      <c r="H587" s="42"/>
      <c r="I587" s="48"/>
      <c r="J587" s="42"/>
      <c r="K587" s="42"/>
      <c r="L587" s="42"/>
      <c r="M587" s="42"/>
      <c r="N587" s="53"/>
      <c r="O587" s="11" t="s">
        <v>1238</v>
      </c>
      <c r="P587" s="11" t="s">
        <v>93</v>
      </c>
      <c r="Q587" s="11" t="s">
        <v>1166</v>
      </c>
      <c r="R587" s="11">
        <v>0.2</v>
      </c>
      <c r="S587" s="11"/>
      <c r="T587" s="12" t="s">
        <v>1223</v>
      </c>
      <c r="U587" s="12">
        <v>48340</v>
      </c>
      <c r="V587" s="4" t="s">
        <v>1367</v>
      </c>
      <c r="W587" s="11" t="s">
        <v>1015</v>
      </c>
      <c r="X587" s="11" t="s">
        <v>42</v>
      </c>
      <c r="Y587" s="11" t="s">
        <v>1358</v>
      </c>
      <c r="Z587" s="11">
        <v>0.5</v>
      </c>
      <c r="AA587" s="11"/>
      <c r="AB587" s="12" t="s">
        <v>1017</v>
      </c>
      <c r="AC587" s="12">
        <v>46639</v>
      </c>
      <c r="AD587" s="12" t="s">
        <v>124</v>
      </c>
      <c r="AE587" s="42"/>
      <c r="AF587" s="42"/>
    </row>
    <row r="588" spans="1:32" ht="38.25" x14ac:dyDescent="0.25">
      <c r="A588" s="44"/>
      <c r="B588" s="42"/>
      <c r="C588" s="42"/>
      <c r="D588" s="42"/>
      <c r="E588" s="42"/>
      <c r="F588" s="42"/>
      <c r="G588" s="42"/>
      <c r="H588" s="42"/>
      <c r="I588" s="48"/>
      <c r="J588" s="42"/>
      <c r="K588" s="42"/>
      <c r="L588" s="42"/>
      <c r="M588" s="42"/>
      <c r="N588" s="53"/>
      <c r="O588" s="11" t="s">
        <v>1245</v>
      </c>
      <c r="P588" s="11" t="s">
        <v>93</v>
      </c>
      <c r="Q588" s="11" t="s">
        <v>1368</v>
      </c>
      <c r="R588" s="11">
        <v>0.2</v>
      </c>
      <c r="S588" s="11"/>
      <c r="T588" s="12" t="s">
        <v>1223</v>
      </c>
      <c r="U588" s="12">
        <v>48340</v>
      </c>
      <c r="V588" s="4" t="s">
        <v>1369</v>
      </c>
      <c r="W588" s="11" t="s">
        <v>1024</v>
      </c>
      <c r="X588" s="11" t="s">
        <v>42</v>
      </c>
      <c r="Y588" s="11" t="s">
        <v>1361</v>
      </c>
      <c r="Z588" s="11">
        <v>0.5</v>
      </c>
      <c r="AA588" s="11"/>
      <c r="AB588" s="12" t="s">
        <v>1017</v>
      </c>
      <c r="AC588" s="12">
        <v>46639</v>
      </c>
      <c r="AD588" s="12" t="s">
        <v>124</v>
      </c>
      <c r="AE588" s="42"/>
      <c r="AF588" s="42"/>
    </row>
    <row r="589" spans="1:32" ht="22.9" customHeight="1" x14ac:dyDescent="0.25">
      <c r="A589" s="44">
        <v>194</v>
      </c>
      <c r="B589" s="42" t="s">
        <v>28</v>
      </c>
      <c r="C589" s="42" t="s">
        <v>1006</v>
      </c>
      <c r="D589" s="42">
        <v>366616</v>
      </c>
      <c r="E589" s="42" t="s">
        <v>1370</v>
      </c>
      <c r="F589" s="42" t="s">
        <v>31</v>
      </c>
      <c r="G589" s="42" t="s">
        <v>32</v>
      </c>
      <c r="H589" s="42" t="s">
        <v>1036</v>
      </c>
      <c r="I589" s="48" t="s">
        <v>1371</v>
      </c>
      <c r="J589" s="42" t="s">
        <v>71</v>
      </c>
      <c r="K589" s="42"/>
      <c r="L589" s="42" t="s">
        <v>1038</v>
      </c>
      <c r="M589" s="52">
        <v>49258</v>
      </c>
      <c r="N589" s="53" t="s">
        <v>1372</v>
      </c>
      <c r="O589" s="11" t="s">
        <v>1040</v>
      </c>
      <c r="P589" s="11" t="s">
        <v>38</v>
      </c>
      <c r="Q589" s="11" t="s">
        <v>1373</v>
      </c>
      <c r="R589" s="11">
        <v>0</v>
      </c>
      <c r="S589" s="11"/>
      <c r="T589" s="12">
        <v>45216</v>
      </c>
      <c r="U589" s="12">
        <v>46677</v>
      </c>
      <c r="V589" s="13" t="s">
        <v>1374</v>
      </c>
      <c r="W589" s="11" t="s">
        <v>1015</v>
      </c>
      <c r="X589" s="11" t="s">
        <v>42</v>
      </c>
      <c r="Y589" s="11" t="s">
        <v>1375</v>
      </c>
      <c r="Z589" s="11">
        <v>0.5</v>
      </c>
      <c r="AA589" s="11"/>
      <c r="AB589" s="12" t="s">
        <v>1017</v>
      </c>
      <c r="AC589" s="12">
        <v>46639</v>
      </c>
      <c r="AD589" s="12" t="s">
        <v>124</v>
      </c>
      <c r="AE589" s="42"/>
      <c r="AF589" s="43" t="s">
        <v>45</v>
      </c>
    </row>
    <row r="590" spans="1:32" ht="45" x14ac:dyDescent="0.25">
      <c r="A590" s="44"/>
      <c r="B590" s="42"/>
      <c r="C590" s="42"/>
      <c r="D590" s="42"/>
      <c r="E590" s="42"/>
      <c r="F590" s="42"/>
      <c r="G590" s="42"/>
      <c r="H590" s="42"/>
      <c r="I590" s="48"/>
      <c r="J590" s="42"/>
      <c r="K590" s="42"/>
      <c r="L590" s="42"/>
      <c r="M590" s="42"/>
      <c r="N590" s="53"/>
      <c r="O590" s="11" t="s">
        <v>1040</v>
      </c>
      <c r="P590" s="11" t="s">
        <v>38</v>
      </c>
      <c r="Q590" s="11" t="s">
        <v>1376</v>
      </c>
      <c r="R590" s="11">
        <v>0</v>
      </c>
      <c r="S590" s="11"/>
      <c r="T590" s="12">
        <v>45216</v>
      </c>
      <c r="U590" s="12">
        <v>46677</v>
      </c>
      <c r="V590" s="13" t="s">
        <v>1377</v>
      </c>
      <c r="W590" s="11" t="s">
        <v>1015</v>
      </c>
      <c r="X590" s="11" t="s">
        <v>42</v>
      </c>
      <c r="Y590" s="11" t="s">
        <v>1378</v>
      </c>
      <c r="Z590" s="11">
        <v>0.5</v>
      </c>
      <c r="AA590" s="11"/>
      <c r="AB590" s="12" t="s">
        <v>1017</v>
      </c>
      <c r="AC590" s="12">
        <v>46639</v>
      </c>
      <c r="AD590" s="12" t="s">
        <v>124</v>
      </c>
      <c r="AE590" s="42"/>
      <c r="AF590" s="42"/>
    </row>
    <row r="591" spans="1:32" ht="45" x14ac:dyDescent="0.25">
      <c r="A591" s="44"/>
      <c r="B591" s="42"/>
      <c r="C591" s="42"/>
      <c r="D591" s="42"/>
      <c r="E591" s="42"/>
      <c r="F591" s="42"/>
      <c r="G591" s="42"/>
      <c r="H591" s="42"/>
      <c r="I591" s="48"/>
      <c r="J591" s="42"/>
      <c r="K591" s="42"/>
      <c r="L591" s="42"/>
      <c r="M591" s="42"/>
      <c r="N591" s="53"/>
      <c r="O591" s="11" t="s">
        <v>1047</v>
      </c>
      <c r="P591" s="11" t="s">
        <v>38</v>
      </c>
      <c r="Q591" s="11" t="s">
        <v>1379</v>
      </c>
      <c r="R591" s="11">
        <v>0</v>
      </c>
      <c r="S591" s="11"/>
      <c r="T591" s="12">
        <v>45216</v>
      </c>
      <c r="U591" s="12">
        <v>46677</v>
      </c>
      <c r="V591" s="13" t="s">
        <v>1380</v>
      </c>
      <c r="W591" s="11" t="s">
        <v>1024</v>
      </c>
      <c r="X591" s="11" t="s">
        <v>42</v>
      </c>
      <c r="Y591" s="11" t="s">
        <v>1381</v>
      </c>
      <c r="Z591" s="11">
        <v>0.5</v>
      </c>
      <c r="AA591" s="11"/>
      <c r="AB591" s="12" t="s">
        <v>1017</v>
      </c>
      <c r="AC591" s="12">
        <v>46639</v>
      </c>
      <c r="AD591" s="12" t="s">
        <v>124</v>
      </c>
      <c r="AE591" s="42"/>
      <c r="AF591" s="42"/>
    </row>
    <row r="592" spans="1:32" ht="22.9" customHeight="1" x14ac:dyDescent="0.25">
      <c r="A592" s="44">
        <v>195</v>
      </c>
      <c r="B592" s="42" t="s">
        <v>28</v>
      </c>
      <c r="C592" s="42" t="s">
        <v>1006</v>
      </c>
      <c r="D592" s="42">
        <v>366616</v>
      </c>
      <c r="E592" s="42" t="s">
        <v>1382</v>
      </c>
      <c r="F592" s="42" t="s">
        <v>31</v>
      </c>
      <c r="G592" s="42" t="s">
        <v>32</v>
      </c>
      <c r="H592" s="42" t="s">
        <v>1008</v>
      </c>
      <c r="I592" s="48" t="s">
        <v>1383</v>
      </c>
      <c r="J592" s="42" t="s">
        <v>71</v>
      </c>
      <c r="K592" s="42"/>
      <c r="L592" s="52">
        <v>45092</v>
      </c>
      <c r="M592" s="52">
        <v>49475</v>
      </c>
      <c r="N592" s="53" t="s">
        <v>1384</v>
      </c>
      <c r="O592" s="11" t="s">
        <v>1011</v>
      </c>
      <c r="P592" s="11" t="s">
        <v>93</v>
      </c>
      <c r="Q592" s="11" t="s">
        <v>1385</v>
      </c>
      <c r="R592" s="11">
        <v>0.5</v>
      </c>
      <c r="S592" s="11"/>
      <c r="T592" s="12" t="s">
        <v>1223</v>
      </c>
      <c r="U592" s="12">
        <v>48340</v>
      </c>
      <c r="V592" s="4" t="s">
        <v>1386</v>
      </c>
      <c r="W592" s="11" t="s">
        <v>1015</v>
      </c>
      <c r="X592" s="11" t="s">
        <v>42</v>
      </c>
      <c r="Y592" s="11" t="s">
        <v>1355</v>
      </c>
      <c r="Z592" s="11">
        <v>0.5</v>
      </c>
      <c r="AA592" s="11"/>
      <c r="AB592" s="12" t="s">
        <v>1017</v>
      </c>
      <c r="AC592" s="12">
        <v>46639</v>
      </c>
      <c r="AD592" s="12" t="s">
        <v>124</v>
      </c>
      <c r="AE592" s="42"/>
      <c r="AF592" s="43" t="s">
        <v>45</v>
      </c>
    </row>
    <row r="593" spans="1:32" ht="38.25" x14ac:dyDescent="0.25">
      <c r="A593" s="44"/>
      <c r="B593" s="42"/>
      <c r="C593" s="42"/>
      <c r="D593" s="42"/>
      <c r="E593" s="42"/>
      <c r="F593" s="42"/>
      <c r="G593" s="42"/>
      <c r="H593" s="42"/>
      <c r="I593" s="48"/>
      <c r="J593" s="42"/>
      <c r="K593" s="42"/>
      <c r="L593" s="42"/>
      <c r="M593" s="42"/>
      <c r="N593" s="53"/>
      <c r="O593" s="11" t="s">
        <v>1011</v>
      </c>
      <c r="P593" s="11" t="s">
        <v>93</v>
      </c>
      <c r="Q593" s="11" t="s">
        <v>1387</v>
      </c>
      <c r="R593" s="11">
        <v>0.5</v>
      </c>
      <c r="S593" s="11"/>
      <c r="T593" s="12" t="s">
        <v>1223</v>
      </c>
      <c r="U593" s="12">
        <v>48340</v>
      </c>
      <c r="V593" s="4" t="s">
        <v>1388</v>
      </c>
      <c r="W593" s="11" t="s">
        <v>1015</v>
      </c>
      <c r="X593" s="11" t="s">
        <v>42</v>
      </c>
      <c r="Y593" s="11" t="s">
        <v>1358</v>
      </c>
      <c r="Z593" s="11">
        <v>0.5</v>
      </c>
      <c r="AA593" s="11"/>
      <c r="AB593" s="12" t="s">
        <v>1017</v>
      </c>
      <c r="AC593" s="12">
        <v>46639</v>
      </c>
      <c r="AD593" s="12" t="s">
        <v>124</v>
      </c>
      <c r="AE593" s="42"/>
      <c r="AF593" s="42"/>
    </row>
    <row r="594" spans="1:32" ht="38.25" x14ac:dyDescent="0.25">
      <c r="A594" s="44"/>
      <c r="B594" s="42"/>
      <c r="C594" s="42"/>
      <c r="D594" s="42"/>
      <c r="E594" s="42"/>
      <c r="F594" s="42"/>
      <c r="G594" s="42"/>
      <c r="H594" s="42"/>
      <c r="I594" s="48"/>
      <c r="J594" s="42"/>
      <c r="K594" s="42"/>
      <c r="L594" s="42"/>
      <c r="M594" s="42"/>
      <c r="N594" s="53"/>
      <c r="O594" s="11" t="s">
        <v>1021</v>
      </c>
      <c r="P594" s="11" t="s">
        <v>93</v>
      </c>
      <c r="Q594" s="11" t="s">
        <v>1389</v>
      </c>
      <c r="R594" s="11">
        <v>0.5</v>
      </c>
      <c r="S594" s="11"/>
      <c r="T594" s="12" t="s">
        <v>1223</v>
      </c>
      <c r="U594" s="12">
        <v>48340</v>
      </c>
      <c r="V594" s="4" t="s">
        <v>1390</v>
      </c>
      <c r="W594" s="11" t="s">
        <v>1024</v>
      </c>
      <c r="X594" s="11" t="s">
        <v>42</v>
      </c>
      <c r="Y594" s="11" t="s">
        <v>1361</v>
      </c>
      <c r="Z594" s="11">
        <v>0.5</v>
      </c>
      <c r="AA594" s="11"/>
      <c r="AB594" s="12" t="s">
        <v>1017</v>
      </c>
      <c r="AC594" s="12">
        <v>46639</v>
      </c>
      <c r="AD594" s="12" t="s">
        <v>124</v>
      </c>
      <c r="AE594" s="42"/>
      <c r="AF594" s="42"/>
    </row>
    <row r="595" spans="1:32" ht="22.9" customHeight="1" x14ac:dyDescent="0.25">
      <c r="A595" s="44">
        <v>196</v>
      </c>
      <c r="B595" s="42" t="s">
        <v>28</v>
      </c>
      <c r="C595" s="42" t="s">
        <v>1006</v>
      </c>
      <c r="D595" s="42">
        <v>366616</v>
      </c>
      <c r="E595" s="42" t="s">
        <v>1391</v>
      </c>
      <c r="F595" s="42" t="s">
        <v>31</v>
      </c>
      <c r="G595" s="42" t="s">
        <v>68</v>
      </c>
      <c r="H595" s="42" t="s">
        <v>1008</v>
      </c>
      <c r="I595" s="48" t="s">
        <v>1392</v>
      </c>
      <c r="J595" s="42" t="s">
        <v>71</v>
      </c>
      <c r="K595" s="42"/>
      <c r="L595" s="52">
        <v>45092</v>
      </c>
      <c r="M595" s="52">
        <v>49475</v>
      </c>
      <c r="N595" s="53" t="s">
        <v>1393</v>
      </c>
      <c r="O595" s="11" t="s">
        <v>1011</v>
      </c>
      <c r="P595" s="11" t="s">
        <v>163</v>
      </c>
      <c r="Q595" s="11" t="s">
        <v>1394</v>
      </c>
      <c r="R595" s="11">
        <v>0.5</v>
      </c>
      <c r="S595" s="11"/>
      <c r="T595" s="12" t="s">
        <v>1223</v>
      </c>
      <c r="U595" s="12">
        <v>48340</v>
      </c>
      <c r="V595" s="4" t="s">
        <v>1395</v>
      </c>
      <c r="W595" s="11" t="s">
        <v>1015</v>
      </c>
      <c r="X595" s="11" t="s">
        <v>42</v>
      </c>
      <c r="Y595" s="11" t="s">
        <v>1355</v>
      </c>
      <c r="Z595" s="11">
        <v>0.5</v>
      </c>
      <c r="AA595" s="11"/>
      <c r="AB595" s="12" t="s">
        <v>1017</v>
      </c>
      <c r="AC595" s="12">
        <v>46639</v>
      </c>
      <c r="AD595" s="12" t="s">
        <v>124</v>
      </c>
      <c r="AE595" s="42"/>
      <c r="AF595" s="43" t="s">
        <v>45</v>
      </c>
    </row>
    <row r="596" spans="1:32" ht="38.25" x14ac:dyDescent="0.25">
      <c r="A596" s="44"/>
      <c r="B596" s="42"/>
      <c r="C596" s="42"/>
      <c r="D596" s="42"/>
      <c r="E596" s="42"/>
      <c r="F596" s="42"/>
      <c r="G596" s="42"/>
      <c r="H596" s="42"/>
      <c r="I596" s="48"/>
      <c r="J596" s="42"/>
      <c r="K596" s="42"/>
      <c r="L596" s="42"/>
      <c r="M596" s="42"/>
      <c r="N596" s="53"/>
      <c r="O596" s="11" t="s">
        <v>1011</v>
      </c>
      <c r="P596" s="11" t="s">
        <v>163</v>
      </c>
      <c r="Q596" s="11" t="s">
        <v>1396</v>
      </c>
      <c r="R596" s="11">
        <v>0.5</v>
      </c>
      <c r="S596" s="11"/>
      <c r="T596" s="12" t="s">
        <v>1223</v>
      </c>
      <c r="U596" s="12">
        <v>48340</v>
      </c>
      <c r="V596" s="4" t="s">
        <v>1397</v>
      </c>
      <c r="W596" s="11" t="s">
        <v>1015</v>
      </c>
      <c r="X596" s="11" t="s">
        <v>42</v>
      </c>
      <c r="Y596" s="11" t="s">
        <v>1358</v>
      </c>
      <c r="Z596" s="11">
        <v>0.5</v>
      </c>
      <c r="AA596" s="11"/>
      <c r="AB596" s="12" t="s">
        <v>1017</v>
      </c>
      <c r="AC596" s="12">
        <v>46639</v>
      </c>
      <c r="AD596" s="12" t="s">
        <v>124</v>
      </c>
      <c r="AE596" s="42"/>
      <c r="AF596" s="42"/>
    </row>
    <row r="597" spans="1:32" ht="38.25" x14ac:dyDescent="0.25">
      <c r="A597" s="44"/>
      <c r="B597" s="42"/>
      <c r="C597" s="42"/>
      <c r="D597" s="42"/>
      <c r="E597" s="42"/>
      <c r="F597" s="42"/>
      <c r="G597" s="42"/>
      <c r="H597" s="42"/>
      <c r="I597" s="48"/>
      <c r="J597" s="42"/>
      <c r="K597" s="42"/>
      <c r="L597" s="42"/>
      <c r="M597" s="42"/>
      <c r="N597" s="53"/>
      <c r="O597" s="11" t="s">
        <v>1021</v>
      </c>
      <c r="P597" s="11" t="s">
        <v>163</v>
      </c>
      <c r="Q597" s="11" t="s">
        <v>1398</v>
      </c>
      <c r="R597" s="11">
        <v>0.5</v>
      </c>
      <c r="S597" s="11"/>
      <c r="T597" s="12" t="s">
        <v>1223</v>
      </c>
      <c r="U597" s="12">
        <v>48340</v>
      </c>
      <c r="V597" s="4" t="s">
        <v>1399</v>
      </c>
      <c r="W597" s="11" t="s">
        <v>1024</v>
      </c>
      <c r="X597" s="11" t="s">
        <v>42</v>
      </c>
      <c r="Y597" s="11" t="s">
        <v>1361</v>
      </c>
      <c r="Z597" s="11">
        <v>0.5</v>
      </c>
      <c r="AA597" s="11"/>
      <c r="AB597" s="12" t="s">
        <v>1017</v>
      </c>
      <c r="AC597" s="12">
        <v>46639</v>
      </c>
      <c r="AD597" s="12" t="s">
        <v>124</v>
      </c>
      <c r="AE597" s="42"/>
      <c r="AF597" s="42"/>
    </row>
    <row r="598" spans="1:32" ht="22.9" customHeight="1" x14ac:dyDescent="0.25">
      <c r="A598" s="44">
        <v>197</v>
      </c>
      <c r="B598" s="42" t="s">
        <v>28</v>
      </c>
      <c r="C598" s="42" t="s">
        <v>1006</v>
      </c>
      <c r="D598" s="42">
        <v>366616</v>
      </c>
      <c r="E598" s="42" t="s">
        <v>1400</v>
      </c>
      <c r="F598" s="42" t="s">
        <v>31</v>
      </c>
      <c r="G598" s="42" t="s">
        <v>68</v>
      </c>
      <c r="H598" s="42" t="s">
        <v>1008</v>
      </c>
      <c r="I598" s="48" t="s">
        <v>1401</v>
      </c>
      <c r="J598" s="42" t="s">
        <v>71</v>
      </c>
      <c r="K598" s="42"/>
      <c r="L598" s="52">
        <v>45092</v>
      </c>
      <c r="M598" s="52">
        <v>49475</v>
      </c>
      <c r="N598" s="53" t="s">
        <v>1402</v>
      </c>
      <c r="O598" s="11" t="s">
        <v>1011</v>
      </c>
      <c r="P598" s="11" t="s">
        <v>156</v>
      </c>
      <c r="Q598" s="11" t="s">
        <v>1403</v>
      </c>
      <c r="R598" s="11">
        <v>0.5</v>
      </c>
      <c r="S598" s="11"/>
      <c r="T598" s="12" t="s">
        <v>1223</v>
      </c>
      <c r="U598" s="12">
        <v>48340</v>
      </c>
      <c r="V598" s="4" t="s">
        <v>1404</v>
      </c>
      <c r="W598" s="11" t="s">
        <v>1015</v>
      </c>
      <c r="X598" s="11" t="s">
        <v>42</v>
      </c>
      <c r="Y598" s="11" t="s">
        <v>1355</v>
      </c>
      <c r="Z598" s="11">
        <v>0.5</v>
      </c>
      <c r="AA598" s="11"/>
      <c r="AB598" s="12" t="s">
        <v>1017</v>
      </c>
      <c r="AC598" s="12">
        <v>46639</v>
      </c>
      <c r="AD598" s="12" t="s">
        <v>124</v>
      </c>
      <c r="AE598" s="42"/>
      <c r="AF598" s="43" t="s">
        <v>45</v>
      </c>
    </row>
    <row r="599" spans="1:32" ht="38.25" x14ac:dyDescent="0.25">
      <c r="A599" s="44"/>
      <c r="B599" s="42"/>
      <c r="C599" s="42"/>
      <c r="D599" s="42"/>
      <c r="E599" s="42"/>
      <c r="F599" s="42"/>
      <c r="G599" s="42"/>
      <c r="H599" s="42"/>
      <c r="I599" s="48"/>
      <c r="J599" s="42"/>
      <c r="K599" s="42"/>
      <c r="L599" s="42"/>
      <c r="M599" s="42"/>
      <c r="N599" s="53"/>
      <c r="O599" s="11" t="s">
        <v>1011</v>
      </c>
      <c r="P599" s="11" t="s">
        <v>156</v>
      </c>
      <c r="Q599" s="11" t="s">
        <v>1405</v>
      </c>
      <c r="R599" s="11">
        <v>0.5</v>
      </c>
      <c r="S599" s="11"/>
      <c r="T599" s="12" t="s">
        <v>1223</v>
      </c>
      <c r="U599" s="12">
        <v>48340</v>
      </c>
      <c r="V599" s="4" t="s">
        <v>1406</v>
      </c>
      <c r="W599" s="11" t="s">
        <v>1015</v>
      </c>
      <c r="X599" s="11" t="s">
        <v>42</v>
      </c>
      <c r="Y599" s="11" t="s">
        <v>1358</v>
      </c>
      <c r="Z599" s="11">
        <v>0.5</v>
      </c>
      <c r="AA599" s="11"/>
      <c r="AB599" s="12" t="s">
        <v>1017</v>
      </c>
      <c r="AC599" s="12">
        <v>46639</v>
      </c>
      <c r="AD599" s="12" t="s">
        <v>124</v>
      </c>
      <c r="AE599" s="42"/>
      <c r="AF599" s="42"/>
    </row>
    <row r="600" spans="1:32" ht="38.25" x14ac:dyDescent="0.25">
      <c r="A600" s="44"/>
      <c r="B600" s="42"/>
      <c r="C600" s="42"/>
      <c r="D600" s="42"/>
      <c r="E600" s="42"/>
      <c r="F600" s="42"/>
      <c r="G600" s="42"/>
      <c r="H600" s="42"/>
      <c r="I600" s="48"/>
      <c r="J600" s="42"/>
      <c r="K600" s="42"/>
      <c r="L600" s="42"/>
      <c r="M600" s="42"/>
      <c r="N600" s="53"/>
      <c r="O600" s="11" t="s">
        <v>1021</v>
      </c>
      <c r="P600" s="11" t="s">
        <v>156</v>
      </c>
      <c r="Q600" s="11" t="s">
        <v>1407</v>
      </c>
      <c r="R600" s="11">
        <v>0.5</v>
      </c>
      <c r="S600" s="11"/>
      <c r="T600" s="12" t="s">
        <v>1223</v>
      </c>
      <c r="U600" s="12">
        <v>48340</v>
      </c>
      <c r="V600" s="4" t="s">
        <v>1408</v>
      </c>
      <c r="W600" s="11" t="s">
        <v>1024</v>
      </c>
      <c r="X600" s="11" t="s">
        <v>42</v>
      </c>
      <c r="Y600" s="11" t="s">
        <v>1361</v>
      </c>
      <c r="Z600" s="11">
        <v>0.5</v>
      </c>
      <c r="AA600" s="11"/>
      <c r="AB600" s="12" t="s">
        <v>1017</v>
      </c>
      <c r="AC600" s="12">
        <v>46639</v>
      </c>
      <c r="AD600" s="12" t="s">
        <v>124</v>
      </c>
      <c r="AE600" s="42"/>
      <c r="AF600" s="42"/>
    </row>
    <row r="601" spans="1:32" ht="22.9" customHeight="1" x14ac:dyDescent="0.25">
      <c r="A601" s="44">
        <v>198</v>
      </c>
      <c r="B601" s="42" t="s">
        <v>28</v>
      </c>
      <c r="C601" s="42" t="s">
        <v>1006</v>
      </c>
      <c r="D601" s="42">
        <v>366616</v>
      </c>
      <c r="E601" s="42" t="s">
        <v>1409</v>
      </c>
      <c r="F601" s="42" t="s">
        <v>31</v>
      </c>
      <c r="G601" s="42" t="s">
        <v>90</v>
      </c>
      <c r="H601" s="42" t="s">
        <v>1036</v>
      </c>
      <c r="I601" s="48" t="s">
        <v>1410</v>
      </c>
      <c r="J601" s="42" t="s">
        <v>71</v>
      </c>
      <c r="K601" s="42"/>
      <c r="L601" s="42" t="s">
        <v>1038</v>
      </c>
      <c r="M601" s="52">
        <v>49258</v>
      </c>
      <c r="N601" s="53" t="s">
        <v>1411</v>
      </c>
      <c r="O601" s="11" t="s">
        <v>1238</v>
      </c>
      <c r="P601" s="11" t="s">
        <v>156</v>
      </c>
      <c r="Q601" s="11" t="s">
        <v>1412</v>
      </c>
      <c r="R601" s="11">
        <v>0.2</v>
      </c>
      <c r="S601" s="11"/>
      <c r="T601" s="12" t="s">
        <v>1223</v>
      </c>
      <c r="U601" s="12">
        <v>48340</v>
      </c>
      <c r="V601" s="4" t="s">
        <v>1413</v>
      </c>
      <c r="W601" s="11" t="s">
        <v>1015</v>
      </c>
      <c r="X601" s="11" t="s">
        <v>42</v>
      </c>
      <c r="Y601" s="11" t="s">
        <v>1355</v>
      </c>
      <c r="Z601" s="11">
        <v>0.5</v>
      </c>
      <c r="AA601" s="11"/>
      <c r="AB601" s="12" t="s">
        <v>1017</v>
      </c>
      <c r="AC601" s="12">
        <v>46639</v>
      </c>
      <c r="AD601" s="12" t="s">
        <v>124</v>
      </c>
      <c r="AE601" s="42"/>
      <c r="AF601" s="43" t="s">
        <v>45</v>
      </c>
    </row>
    <row r="602" spans="1:32" ht="38.25" x14ac:dyDescent="0.25">
      <c r="A602" s="44"/>
      <c r="B602" s="42"/>
      <c r="C602" s="42"/>
      <c r="D602" s="42"/>
      <c r="E602" s="42"/>
      <c r="F602" s="42"/>
      <c r="G602" s="42"/>
      <c r="H602" s="42"/>
      <c r="I602" s="48"/>
      <c r="J602" s="42"/>
      <c r="K602" s="42"/>
      <c r="L602" s="42"/>
      <c r="M602" s="42"/>
      <c r="N602" s="53"/>
      <c r="O602" s="11" t="s">
        <v>1238</v>
      </c>
      <c r="P602" s="11" t="s">
        <v>156</v>
      </c>
      <c r="Q602" s="11" t="s">
        <v>1414</v>
      </c>
      <c r="R602" s="11">
        <v>0.2</v>
      </c>
      <c r="S602" s="11"/>
      <c r="T602" s="12" t="s">
        <v>1223</v>
      </c>
      <c r="U602" s="12">
        <v>48340</v>
      </c>
      <c r="V602" s="4" t="s">
        <v>1415</v>
      </c>
      <c r="W602" s="11" t="s">
        <v>1015</v>
      </c>
      <c r="X602" s="11" t="s">
        <v>42</v>
      </c>
      <c r="Y602" s="11" t="s">
        <v>1358</v>
      </c>
      <c r="Z602" s="11">
        <v>0.5</v>
      </c>
      <c r="AA602" s="11"/>
      <c r="AB602" s="12" t="s">
        <v>1017</v>
      </c>
      <c r="AC602" s="12">
        <v>46639</v>
      </c>
      <c r="AD602" s="12" t="s">
        <v>124</v>
      </c>
      <c r="AE602" s="42"/>
      <c r="AF602" s="42"/>
    </row>
    <row r="603" spans="1:32" ht="38.25" x14ac:dyDescent="0.25">
      <c r="A603" s="44"/>
      <c r="B603" s="42"/>
      <c r="C603" s="42"/>
      <c r="D603" s="42"/>
      <c r="E603" s="42"/>
      <c r="F603" s="42"/>
      <c r="G603" s="42"/>
      <c r="H603" s="42"/>
      <c r="I603" s="48"/>
      <c r="J603" s="42"/>
      <c r="K603" s="42"/>
      <c r="L603" s="42"/>
      <c r="M603" s="42"/>
      <c r="N603" s="53"/>
      <c r="O603" s="11" t="s">
        <v>1245</v>
      </c>
      <c r="P603" s="11" t="s">
        <v>156</v>
      </c>
      <c r="Q603" s="11" t="s">
        <v>1416</v>
      </c>
      <c r="R603" s="11">
        <v>0.2</v>
      </c>
      <c r="S603" s="11"/>
      <c r="T603" s="12" t="s">
        <v>1223</v>
      </c>
      <c r="U603" s="12">
        <v>48340</v>
      </c>
      <c r="V603" s="4" t="s">
        <v>1417</v>
      </c>
      <c r="W603" s="11" t="s">
        <v>1024</v>
      </c>
      <c r="X603" s="11" t="s">
        <v>42</v>
      </c>
      <c r="Y603" s="11" t="s">
        <v>1361</v>
      </c>
      <c r="Z603" s="11">
        <v>0.5</v>
      </c>
      <c r="AA603" s="11"/>
      <c r="AB603" s="12" t="s">
        <v>1017</v>
      </c>
      <c r="AC603" s="12">
        <v>46639</v>
      </c>
      <c r="AD603" s="12" t="s">
        <v>124</v>
      </c>
      <c r="AE603" s="42"/>
      <c r="AF603" s="42"/>
    </row>
    <row r="604" spans="1:32" ht="22.9" customHeight="1" x14ac:dyDescent="0.25">
      <c r="A604" s="44">
        <v>199</v>
      </c>
      <c r="B604" s="42" t="s">
        <v>28</v>
      </c>
      <c r="C604" s="42" t="s">
        <v>1006</v>
      </c>
      <c r="D604" s="42">
        <v>366616</v>
      </c>
      <c r="E604" s="42" t="s">
        <v>1418</v>
      </c>
      <c r="F604" s="42" t="s">
        <v>31</v>
      </c>
      <c r="G604" s="42" t="s">
        <v>32</v>
      </c>
      <c r="H604" s="42" t="s">
        <v>1036</v>
      </c>
      <c r="I604" s="48" t="s">
        <v>1419</v>
      </c>
      <c r="J604" s="42" t="s">
        <v>71</v>
      </c>
      <c r="K604" s="42"/>
      <c r="L604" s="42" t="s">
        <v>1038</v>
      </c>
      <c r="M604" s="52">
        <v>49258</v>
      </c>
      <c r="N604" s="53" t="s">
        <v>1420</v>
      </c>
      <c r="O604" s="11" t="s">
        <v>1238</v>
      </c>
      <c r="P604" s="11" t="s">
        <v>156</v>
      </c>
      <c r="Q604" s="11" t="s">
        <v>1421</v>
      </c>
      <c r="R604" s="11">
        <v>0.2</v>
      </c>
      <c r="S604" s="11"/>
      <c r="T604" s="12" t="s">
        <v>1223</v>
      </c>
      <c r="U604" s="12">
        <v>48340</v>
      </c>
      <c r="V604" s="4" t="s">
        <v>1422</v>
      </c>
      <c r="W604" s="11" t="s">
        <v>1015</v>
      </c>
      <c r="X604" s="11" t="s">
        <v>42</v>
      </c>
      <c r="Y604" s="11" t="s">
        <v>1355</v>
      </c>
      <c r="Z604" s="11">
        <v>0.5</v>
      </c>
      <c r="AA604" s="11"/>
      <c r="AB604" s="12" t="s">
        <v>1017</v>
      </c>
      <c r="AC604" s="12">
        <v>46639</v>
      </c>
      <c r="AD604" s="12" t="s">
        <v>124</v>
      </c>
      <c r="AE604" s="42"/>
      <c r="AF604" s="43" t="s">
        <v>45</v>
      </c>
    </row>
    <row r="605" spans="1:32" ht="38.25" x14ac:dyDescent="0.25">
      <c r="A605" s="44"/>
      <c r="B605" s="42"/>
      <c r="C605" s="42"/>
      <c r="D605" s="42"/>
      <c r="E605" s="42"/>
      <c r="F605" s="42"/>
      <c r="G605" s="42"/>
      <c r="H605" s="42"/>
      <c r="I605" s="48"/>
      <c r="J605" s="42"/>
      <c r="K605" s="42"/>
      <c r="L605" s="42"/>
      <c r="M605" s="42"/>
      <c r="N605" s="53"/>
      <c r="O605" s="11" t="s">
        <v>1238</v>
      </c>
      <c r="P605" s="11" t="s">
        <v>156</v>
      </c>
      <c r="Q605" s="11" t="s">
        <v>1423</v>
      </c>
      <c r="R605" s="11">
        <v>0.2</v>
      </c>
      <c r="S605" s="11"/>
      <c r="T605" s="12" t="s">
        <v>1223</v>
      </c>
      <c r="U605" s="12">
        <v>48340</v>
      </c>
      <c r="V605" s="4" t="s">
        <v>1424</v>
      </c>
      <c r="W605" s="11" t="s">
        <v>1015</v>
      </c>
      <c r="X605" s="11" t="s">
        <v>42</v>
      </c>
      <c r="Y605" s="11" t="s">
        <v>1358</v>
      </c>
      <c r="Z605" s="11">
        <v>0.5</v>
      </c>
      <c r="AA605" s="11"/>
      <c r="AB605" s="12" t="s">
        <v>1017</v>
      </c>
      <c r="AC605" s="12">
        <v>46639</v>
      </c>
      <c r="AD605" s="12" t="s">
        <v>124</v>
      </c>
      <c r="AE605" s="42"/>
      <c r="AF605" s="42"/>
    </row>
    <row r="606" spans="1:32" ht="38.25" x14ac:dyDescent="0.25">
      <c r="A606" s="44"/>
      <c r="B606" s="42"/>
      <c r="C606" s="42"/>
      <c r="D606" s="42"/>
      <c r="E606" s="42"/>
      <c r="F606" s="42"/>
      <c r="G606" s="42"/>
      <c r="H606" s="42"/>
      <c r="I606" s="48"/>
      <c r="J606" s="42"/>
      <c r="K606" s="42"/>
      <c r="L606" s="42"/>
      <c r="M606" s="42"/>
      <c r="N606" s="53"/>
      <c r="O606" s="11" t="s">
        <v>1245</v>
      </c>
      <c r="P606" s="11" t="s">
        <v>156</v>
      </c>
      <c r="Q606" s="11" t="s">
        <v>1425</v>
      </c>
      <c r="R606" s="11">
        <v>0.2</v>
      </c>
      <c r="S606" s="11"/>
      <c r="T606" s="12" t="s">
        <v>1223</v>
      </c>
      <c r="U606" s="12">
        <v>48340</v>
      </c>
      <c r="V606" s="4" t="s">
        <v>1426</v>
      </c>
      <c r="W606" s="11" t="s">
        <v>1024</v>
      </c>
      <c r="X606" s="11" t="s">
        <v>42</v>
      </c>
      <c r="Y606" s="11" t="s">
        <v>1361</v>
      </c>
      <c r="Z606" s="11">
        <v>0.5</v>
      </c>
      <c r="AA606" s="11"/>
      <c r="AB606" s="12" t="s">
        <v>1017</v>
      </c>
      <c r="AC606" s="12">
        <v>46639</v>
      </c>
      <c r="AD606" s="12" t="s">
        <v>124</v>
      </c>
      <c r="AE606" s="42"/>
      <c r="AF606" s="42"/>
    </row>
    <row r="607" spans="1:32" ht="22.9" customHeight="1" x14ac:dyDescent="0.25">
      <c r="A607" s="44">
        <v>200</v>
      </c>
      <c r="B607" s="42" t="s">
        <v>28</v>
      </c>
      <c r="C607" s="42" t="s">
        <v>1006</v>
      </c>
      <c r="D607" s="42">
        <v>366616</v>
      </c>
      <c r="E607" s="42" t="s">
        <v>1427</v>
      </c>
      <c r="F607" s="42" t="s">
        <v>31</v>
      </c>
      <c r="G607" s="42" t="s">
        <v>68</v>
      </c>
      <c r="H607" s="42" t="s">
        <v>1008</v>
      </c>
      <c r="I607" s="48" t="s">
        <v>1428</v>
      </c>
      <c r="J607" s="42" t="s">
        <v>71</v>
      </c>
      <c r="K607" s="42"/>
      <c r="L607" s="52">
        <v>45092</v>
      </c>
      <c r="M607" s="52">
        <v>49475</v>
      </c>
      <c r="N607" s="53" t="s">
        <v>1402</v>
      </c>
      <c r="O607" s="11" t="s">
        <v>1011</v>
      </c>
      <c r="P607" s="11" t="s">
        <v>163</v>
      </c>
      <c r="Q607" s="11" t="s">
        <v>1429</v>
      </c>
      <c r="R607" s="11">
        <v>0.5</v>
      </c>
      <c r="S607" s="11"/>
      <c r="T607" s="12" t="s">
        <v>1223</v>
      </c>
      <c r="U607" s="12">
        <v>48340</v>
      </c>
      <c r="V607" s="4" t="s">
        <v>1430</v>
      </c>
      <c r="W607" s="11" t="s">
        <v>1015</v>
      </c>
      <c r="X607" s="11" t="s">
        <v>42</v>
      </c>
      <c r="Y607" s="11" t="s">
        <v>1355</v>
      </c>
      <c r="Z607" s="11">
        <v>0.5</v>
      </c>
      <c r="AA607" s="11"/>
      <c r="AB607" s="12" t="s">
        <v>1017</v>
      </c>
      <c r="AC607" s="12">
        <v>46639</v>
      </c>
      <c r="AD607" s="12" t="s">
        <v>124</v>
      </c>
      <c r="AE607" s="42"/>
      <c r="AF607" s="43" t="s">
        <v>45</v>
      </c>
    </row>
    <row r="608" spans="1:32" ht="38.25" x14ac:dyDescent="0.25">
      <c r="A608" s="44"/>
      <c r="B608" s="42"/>
      <c r="C608" s="42"/>
      <c r="D608" s="42"/>
      <c r="E608" s="42"/>
      <c r="F608" s="42"/>
      <c r="G608" s="42"/>
      <c r="H608" s="42"/>
      <c r="I608" s="48"/>
      <c r="J608" s="42"/>
      <c r="K608" s="42"/>
      <c r="L608" s="42"/>
      <c r="M608" s="42"/>
      <c r="N608" s="53"/>
      <c r="O608" s="11" t="s">
        <v>1011</v>
      </c>
      <c r="P608" s="11" t="s">
        <v>163</v>
      </c>
      <c r="Q608" s="11" t="s">
        <v>1431</v>
      </c>
      <c r="R608" s="11">
        <v>0.5</v>
      </c>
      <c r="S608" s="11"/>
      <c r="T608" s="12" t="s">
        <v>1223</v>
      </c>
      <c r="U608" s="12">
        <v>48340</v>
      </c>
      <c r="V608" s="4" t="s">
        <v>1432</v>
      </c>
      <c r="W608" s="11" t="s">
        <v>1015</v>
      </c>
      <c r="X608" s="11" t="s">
        <v>42</v>
      </c>
      <c r="Y608" s="11" t="s">
        <v>1358</v>
      </c>
      <c r="Z608" s="11">
        <v>0.5</v>
      </c>
      <c r="AA608" s="11"/>
      <c r="AB608" s="12" t="s">
        <v>1017</v>
      </c>
      <c r="AC608" s="12">
        <v>46639</v>
      </c>
      <c r="AD608" s="12" t="s">
        <v>124</v>
      </c>
      <c r="AE608" s="42"/>
      <c r="AF608" s="42"/>
    </row>
    <row r="609" spans="1:32" ht="38.25" x14ac:dyDescent="0.25">
      <c r="A609" s="44"/>
      <c r="B609" s="42"/>
      <c r="C609" s="42"/>
      <c r="D609" s="42"/>
      <c r="E609" s="42"/>
      <c r="F609" s="42"/>
      <c r="G609" s="42"/>
      <c r="H609" s="42"/>
      <c r="I609" s="48"/>
      <c r="J609" s="42"/>
      <c r="K609" s="42"/>
      <c r="L609" s="42"/>
      <c r="M609" s="42"/>
      <c r="N609" s="53"/>
      <c r="O609" s="11" t="s">
        <v>1021</v>
      </c>
      <c r="P609" s="11" t="s">
        <v>163</v>
      </c>
      <c r="Q609" s="11" t="s">
        <v>1433</v>
      </c>
      <c r="R609" s="11">
        <v>0.5</v>
      </c>
      <c r="S609" s="11"/>
      <c r="T609" s="12" t="s">
        <v>1223</v>
      </c>
      <c r="U609" s="12">
        <v>48340</v>
      </c>
      <c r="V609" s="4" t="s">
        <v>1434</v>
      </c>
      <c r="W609" s="11" t="s">
        <v>1024</v>
      </c>
      <c r="X609" s="11" t="s">
        <v>42</v>
      </c>
      <c r="Y609" s="11" t="s">
        <v>1361</v>
      </c>
      <c r="Z609" s="11">
        <v>0.5</v>
      </c>
      <c r="AA609" s="11"/>
      <c r="AB609" s="12" t="s">
        <v>1017</v>
      </c>
      <c r="AC609" s="12">
        <v>46639</v>
      </c>
      <c r="AD609" s="12" t="s">
        <v>124</v>
      </c>
      <c r="AE609" s="42"/>
      <c r="AF609" s="42"/>
    </row>
    <row r="610" spans="1:32" ht="22.9" customHeight="1" x14ac:dyDescent="0.25">
      <c r="A610" s="44">
        <v>201</v>
      </c>
      <c r="B610" s="42" t="s">
        <v>28</v>
      </c>
      <c r="C610" s="42" t="s">
        <v>1006</v>
      </c>
      <c r="D610" s="42">
        <v>366616</v>
      </c>
      <c r="E610" s="42" t="s">
        <v>1435</v>
      </c>
      <c r="F610" s="42" t="s">
        <v>31</v>
      </c>
      <c r="G610" s="42" t="s">
        <v>32</v>
      </c>
      <c r="H610" s="42" t="s">
        <v>1036</v>
      </c>
      <c r="I610" s="48" t="s">
        <v>1436</v>
      </c>
      <c r="J610" s="42" t="s">
        <v>71</v>
      </c>
      <c r="K610" s="42"/>
      <c r="L610" s="42" t="s">
        <v>1038</v>
      </c>
      <c r="M610" s="52">
        <v>49258</v>
      </c>
      <c r="N610" s="53" t="s">
        <v>1437</v>
      </c>
      <c r="O610" s="11" t="s">
        <v>1238</v>
      </c>
      <c r="P610" s="11" t="s">
        <v>93</v>
      </c>
      <c r="Q610" s="11" t="s">
        <v>1438</v>
      </c>
      <c r="R610" s="11">
        <v>0.2</v>
      </c>
      <c r="S610" s="11"/>
      <c r="T610" s="12" t="s">
        <v>1223</v>
      </c>
      <c r="U610" s="12">
        <v>48340</v>
      </c>
      <c r="V610" s="4" t="s">
        <v>1439</v>
      </c>
      <c r="W610" s="11" t="s">
        <v>1015</v>
      </c>
      <c r="X610" s="11" t="s">
        <v>42</v>
      </c>
      <c r="Y610" s="11" t="s">
        <v>1355</v>
      </c>
      <c r="Z610" s="11">
        <v>0.5</v>
      </c>
      <c r="AA610" s="11"/>
      <c r="AB610" s="12" t="s">
        <v>1017</v>
      </c>
      <c r="AC610" s="12">
        <v>46639</v>
      </c>
      <c r="AD610" s="12" t="s">
        <v>124</v>
      </c>
      <c r="AE610" s="42"/>
      <c r="AF610" s="43" t="s">
        <v>45</v>
      </c>
    </row>
    <row r="611" spans="1:32" ht="38.25" x14ac:dyDescent="0.25">
      <c r="A611" s="44"/>
      <c r="B611" s="42"/>
      <c r="C611" s="42"/>
      <c r="D611" s="42"/>
      <c r="E611" s="42"/>
      <c r="F611" s="42"/>
      <c r="G611" s="42"/>
      <c r="H611" s="42"/>
      <c r="I611" s="48"/>
      <c r="J611" s="42"/>
      <c r="K611" s="42"/>
      <c r="L611" s="42"/>
      <c r="M611" s="42"/>
      <c r="N611" s="53"/>
      <c r="O611" s="11" t="s">
        <v>1238</v>
      </c>
      <c r="P611" s="11" t="s">
        <v>93</v>
      </c>
      <c r="Q611" s="11" t="s">
        <v>1440</v>
      </c>
      <c r="R611" s="11">
        <v>0.2</v>
      </c>
      <c r="S611" s="11"/>
      <c r="T611" s="12" t="s">
        <v>1223</v>
      </c>
      <c r="U611" s="12">
        <v>48340</v>
      </c>
      <c r="V611" s="4" t="s">
        <v>1441</v>
      </c>
      <c r="W611" s="11" t="s">
        <v>1015</v>
      </c>
      <c r="X611" s="11" t="s">
        <v>42</v>
      </c>
      <c r="Y611" s="11" t="s">
        <v>1358</v>
      </c>
      <c r="Z611" s="11">
        <v>0.5</v>
      </c>
      <c r="AA611" s="11"/>
      <c r="AB611" s="12" t="s">
        <v>1017</v>
      </c>
      <c r="AC611" s="12">
        <v>46639</v>
      </c>
      <c r="AD611" s="12" t="s">
        <v>124</v>
      </c>
      <c r="AE611" s="42"/>
      <c r="AF611" s="42"/>
    </row>
    <row r="612" spans="1:32" ht="38.25" x14ac:dyDescent="0.25">
      <c r="A612" s="44"/>
      <c r="B612" s="42"/>
      <c r="C612" s="42"/>
      <c r="D612" s="42"/>
      <c r="E612" s="42"/>
      <c r="F612" s="42"/>
      <c r="G612" s="42"/>
      <c r="H612" s="42"/>
      <c r="I612" s="48"/>
      <c r="J612" s="42"/>
      <c r="K612" s="42"/>
      <c r="L612" s="42"/>
      <c r="M612" s="42"/>
      <c r="N612" s="53"/>
      <c r="O612" s="11" t="s">
        <v>1245</v>
      </c>
      <c r="P612" s="11" t="s">
        <v>93</v>
      </c>
      <c r="Q612" s="11" t="s">
        <v>1442</v>
      </c>
      <c r="R612" s="11">
        <v>0.2</v>
      </c>
      <c r="S612" s="11"/>
      <c r="T612" s="12" t="s">
        <v>1223</v>
      </c>
      <c r="U612" s="12">
        <v>48340</v>
      </c>
      <c r="V612" s="4" t="s">
        <v>1443</v>
      </c>
      <c r="W612" s="11" t="s">
        <v>1024</v>
      </c>
      <c r="X612" s="11" t="s">
        <v>42</v>
      </c>
      <c r="Y612" s="11" t="s">
        <v>1361</v>
      </c>
      <c r="Z612" s="11">
        <v>0.5</v>
      </c>
      <c r="AA612" s="11"/>
      <c r="AB612" s="12" t="s">
        <v>1017</v>
      </c>
      <c r="AC612" s="12">
        <v>46639</v>
      </c>
      <c r="AD612" s="12" t="s">
        <v>124</v>
      </c>
      <c r="AE612" s="42"/>
      <c r="AF612" s="42"/>
    </row>
    <row r="613" spans="1:32" ht="22.9" customHeight="1" x14ac:dyDescent="0.25">
      <c r="A613" s="44">
        <v>202</v>
      </c>
      <c r="B613" s="42" t="s">
        <v>28</v>
      </c>
      <c r="C613" s="42" t="s">
        <v>1006</v>
      </c>
      <c r="D613" s="42">
        <v>366616</v>
      </c>
      <c r="E613" s="42" t="s">
        <v>1444</v>
      </c>
      <c r="F613" s="42" t="s">
        <v>31</v>
      </c>
      <c r="G613" s="42" t="s">
        <v>90</v>
      </c>
      <c r="H613" s="42" t="s">
        <v>1008</v>
      </c>
      <c r="I613" s="48" t="s">
        <v>1445</v>
      </c>
      <c r="J613" s="42" t="s">
        <v>71</v>
      </c>
      <c r="K613" s="42"/>
      <c r="L613" s="52">
        <v>45092</v>
      </c>
      <c r="M613" s="52">
        <v>49475</v>
      </c>
      <c r="N613" s="53" t="s">
        <v>1446</v>
      </c>
      <c r="O613" s="11" t="s">
        <v>1011</v>
      </c>
      <c r="P613" s="11" t="s">
        <v>156</v>
      </c>
      <c r="Q613" s="11" t="s">
        <v>1447</v>
      </c>
      <c r="R613" s="11">
        <v>0.5</v>
      </c>
      <c r="S613" s="11"/>
      <c r="T613" s="12">
        <v>45418</v>
      </c>
      <c r="U613" s="12">
        <v>48340</v>
      </c>
      <c r="V613" s="4" t="s">
        <v>1448</v>
      </c>
      <c r="W613" s="11" t="s">
        <v>1015</v>
      </c>
      <c r="X613" s="11" t="s">
        <v>42</v>
      </c>
      <c r="Y613" s="11" t="s">
        <v>1355</v>
      </c>
      <c r="Z613" s="11">
        <v>0.5</v>
      </c>
      <c r="AA613" s="11"/>
      <c r="AB613" s="12" t="s">
        <v>1017</v>
      </c>
      <c r="AC613" s="12">
        <v>46639</v>
      </c>
      <c r="AD613" s="12" t="s">
        <v>124</v>
      </c>
      <c r="AE613" s="42"/>
      <c r="AF613" s="43" t="s">
        <v>45</v>
      </c>
    </row>
    <row r="614" spans="1:32" ht="38.25" x14ac:dyDescent="0.25">
      <c r="A614" s="44"/>
      <c r="B614" s="42"/>
      <c r="C614" s="42"/>
      <c r="D614" s="42"/>
      <c r="E614" s="42"/>
      <c r="F614" s="42"/>
      <c r="G614" s="42"/>
      <c r="H614" s="42"/>
      <c r="I614" s="48"/>
      <c r="J614" s="42"/>
      <c r="K614" s="42"/>
      <c r="L614" s="42"/>
      <c r="M614" s="42"/>
      <c r="N614" s="53"/>
      <c r="O614" s="11" t="s">
        <v>1011</v>
      </c>
      <c r="P614" s="11" t="s">
        <v>156</v>
      </c>
      <c r="Q614" s="11" t="s">
        <v>1449</v>
      </c>
      <c r="R614" s="11">
        <v>0.5</v>
      </c>
      <c r="S614" s="11"/>
      <c r="T614" s="12">
        <v>45418</v>
      </c>
      <c r="U614" s="12">
        <v>48340</v>
      </c>
      <c r="V614" s="4" t="s">
        <v>1450</v>
      </c>
      <c r="W614" s="11" t="s">
        <v>1015</v>
      </c>
      <c r="X614" s="11" t="s">
        <v>42</v>
      </c>
      <c r="Y614" s="11" t="s">
        <v>1358</v>
      </c>
      <c r="Z614" s="11">
        <v>0.5</v>
      </c>
      <c r="AA614" s="11"/>
      <c r="AB614" s="12" t="s">
        <v>1017</v>
      </c>
      <c r="AC614" s="12">
        <v>46639</v>
      </c>
      <c r="AD614" s="12" t="s">
        <v>124</v>
      </c>
      <c r="AE614" s="42"/>
      <c r="AF614" s="42"/>
    </row>
    <row r="615" spans="1:32" ht="38.25" x14ac:dyDescent="0.25">
      <c r="A615" s="44"/>
      <c r="B615" s="42"/>
      <c r="C615" s="42"/>
      <c r="D615" s="42"/>
      <c r="E615" s="42"/>
      <c r="F615" s="42"/>
      <c r="G615" s="42"/>
      <c r="H615" s="42"/>
      <c r="I615" s="48"/>
      <c r="J615" s="42"/>
      <c r="K615" s="42"/>
      <c r="L615" s="42"/>
      <c r="M615" s="42"/>
      <c r="N615" s="53"/>
      <c r="O615" s="11" t="s">
        <v>1021</v>
      </c>
      <c r="P615" s="11" t="s">
        <v>156</v>
      </c>
      <c r="Q615" s="11" t="s">
        <v>1451</v>
      </c>
      <c r="R615" s="11">
        <v>0.5</v>
      </c>
      <c r="S615" s="11"/>
      <c r="T615" s="12">
        <v>45418</v>
      </c>
      <c r="U615" s="12">
        <v>48340</v>
      </c>
      <c r="V615" s="4" t="s">
        <v>1452</v>
      </c>
      <c r="W615" s="11" t="s">
        <v>1024</v>
      </c>
      <c r="X615" s="11" t="s">
        <v>42</v>
      </c>
      <c r="Y615" s="11" t="s">
        <v>1361</v>
      </c>
      <c r="Z615" s="11">
        <v>0.5</v>
      </c>
      <c r="AA615" s="11"/>
      <c r="AB615" s="12" t="s">
        <v>1017</v>
      </c>
      <c r="AC615" s="12">
        <v>46639</v>
      </c>
      <c r="AD615" s="12" t="s">
        <v>124</v>
      </c>
      <c r="AE615" s="42"/>
      <c r="AF615" s="42"/>
    </row>
    <row r="616" spans="1:32" ht="23.85" customHeight="1" x14ac:dyDescent="0.25">
      <c r="A616" s="44">
        <v>203</v>
      </c>
      <c r="B616" s="42" t="s">
        <v>28</v>
      </c>
      <c r="C616" s="42" t="s">
        <v>1006</v>
      </c>
      <c r="D616" s="42">
        <v>366616</v>
      </c>
      <c r="E616" s="42" t="s">
        <v>1453</v>
      </c>
      <c r="F616" s="42" t="s">
        <v>596</v>
      </c>
      <c r="G616" s="42" t="s">
        <v>597</v>
      </c>
      <c r="H616" s="42" t="s">
        <v>1036</v>
      </c>
      <c r="I616" s="48" t="s">
        <v>1454</v>
      </c>
      <c r="J616" s="42" t="s">
        <v>71</v>
      </c>
      <c r="K616" s="42"/>
      <c r="L616" s="52">
        <v>44771</v>
      </c>
      <c r="M616" s="52">
        <v>49154</v>
      </c>
      <c r="N616" s="53" t="s">
        <v>1455</v>
      </c>
      <c r="O616" s="11" t="s">
        <v>1456</v>
      </c>
      <c r="P616" s="11" t="s">
        <v>93</v>
      </c>
      <c r="Q616" s="11" t="s">
        <v>1457</v>
      </c>
      <c r="R616" s="11">
        <v>0.2</v>
      </c>
      <c r="S616" s="11"/>
      <c r="T616" s="12">
        <v>45418</v>
      </c>
      <c r="U616" s="12">
        <v>48340</v>
      </c>
      <c r="V616" s="13" t="s">
        <v>1458</v>
      </c>
      <c r="W616" s="11" t="s">
        <v>1459</v>
      </c>
      <c r="X616" s="11" t="s">
        <v>603</v>
      </c>
      <c r="Y616" s="11" t="s">
        <v>1460</v>
      </c>
      <c r="Z616" s="11">
        <v>0.2</v>
      </c>
      <c r="AA616" s="11"/>
      <c r="AB616" s="12" t="s">
        <v>1461</v>
      </c>
      <c r="AC616" s="12">
        <v>46125</v>
      </c>
      <c r="AD616" s="12" t="s">
        <v>124</v>
      </c>
      <c r="AE616" s="42"/>
      <c r="AF616" s="43" t="s">
        <v>45</v>
      </c>
    </row>
    <row r="617" spans="1:32" ht="45" x14ac:dyDescent="0.25">
      <c r="A617" s="44"/>
      <c r="B617" s="42"/>
      <c r="C617" s="42"/>
      <c r="D617" s="42"/>
      <c r="E617" s="42"/>
      <c r="F617" s="42"/>
      <c r="G617" s="42"/>
      <c r="H617" s="42"/>
      <c r="I617" s="48"/>
      <c r="J617" s="42"/>
      <c r="K617" s="42"/>
      <c r="L617" s="42"/>
      <c r="M617" s="42"/>
      <c r="N617" s="53"/>
      <c r="O617" s="11" t="s">
        <v>1456</v>
      </c>
      <c r="P617" s="11" t="s">
        <v>93</v>
      </c>
      <c r="Q617" s="11" t="s">
        <v>1462</v>
      </c>
      <c r="R617" s="11">
        <v>0.2</v>
      </c>
      <c r="S617" s="11"/>
      <c r="T617" s="12">
        <v>45418</v>
      </c>
      <c r="U617" s="12">
        <v>48340</v>
      </c>
      <c r="V617" s="13" t="s">
        <v>1463</v>
      </c>
      <c r="W617" s="11" t="s">
        <v>1459</v>
      </c>
      <c r="X617" s="11" t="s">
        <v>603</v>
      </c>
      <c r="Y617" s="11" t="s">
        <v>1464</v>
      </c>
      <c r="Z617" s="11">
        <v>0.2</v>
      </c>
      <c r="AA617" s="11"/>
      <c r="AB617" s="12" t="s">
        <v>1461</v>
      </c>
      <c r="AC617" s="12">
        <v>46125</v>
      </c>
      <c r="AD617" s="12" t="s">
        <v>124</v>
      </c>
      <c r="AE617" s="42"/>
      <c r="AF617" s="42"/>
    </row>
    <row r="618" spans="1:32" ht="45" x14ac:dyDescent="0.25">
      <c r="A618" s="44"/>
      <c r="B618" s="42"/>
      <c r="C618" s="42"/>
      <c r="D618" s="42"/>
      <c r="E618" s="42"/>
      <c r="F618" s="42"/>
      <c r="G618" s="42"/>
      <c r="H618" s="42"/>
      <c r="I618" s="48"/>
      <c r="J618" s="42"/>
      <c r="K618" s="42"/>
      <c r="L618" s="42"/>
      <c r="M618" s="42"/>
      <c r="N618" s="53"/>
      <c r="O618" s="11" t="s">
        <v>1465</v>
      </c>
      <c r="P618" s="11" t="s">
        <v>93</v>
      </c>
      <c r="Q618" s="11" t="s">
        <v>1466</v>
      </c>
      <c r="R618" s="11">
        <v>0.2</v>
      </c>
      <c r="S618" s="11"/>
      <c r="T618" s="12">
        <v>45418</v>
      </c>
      <c r="U618" s="12">
        <v>48340</v>
      </c>
      <c r="V618" s="13" t="s">
        <v>1467</v>
      </c>
      <c r="W618" s="11" t="s">
        <v>1468</v>
      </c>
      <c r="X618" s="11" t="s">
        <v>603</v>
      </c>
      <c r="Y618" s="11" t="s">
        <v>1469</v>
      </c>
      <c r="Z618" s="11">
        <v>0.2</v>
      </c>
      <c r="AA618" s="11"/>
      <c r="AB618" s="12" t="s">
        <v>1461</v>
      </c>
      <c r="AC618" s="12">
        <v>46125</v>
      </c>
      <c r="AD618" s="12" t="s">
        <v>124</v>
      </c>
      <c r="AE618" s="42"/>
      <c r="AF618" s="42"/>
    </row>
    <row r="619" spans="1:32" ht="23.85" customHeight="1" x14ac:dyDescent="0.25">
      <c r="A619" s="44">
        <v>204</v>
      </c>
      <c r="B619" s="42" t="s">
        <v>28</v>
      </c>
      <c r="C619" s="42" t="s">
        <v>1006</v>
      </c>
      <c r="D619" s="42">
        <v>366616</v>
      </c>
      <c r="E619" s="42" t="s">
        <v>1470</v>
      </c>
      <c r="F619" s="42" t="s">
        <v>596</v>
      </c>
      <c r="G619" s="42" t="s">
        <v>597</v>
      </c>
      <c r="H619" s="42" t="s">
        <v>1036</v>
      </c>
      <c r="I619" s="48" t="s">
        <v>1471</v>
      </c>
      <c r="J619" s="42" t="s">
        <v>71</v>
      </c>
      <c r="K619" s="42"/>
      <c r="L619" s="52">
        <v>44771</v>
      </c>
      <c r="M619" s="52">
        <v>49154</v>
      </c>
      <c r="N619" s="53" t="s">
        <v>1472</v>
      </c>
      <c r="O619" s="11" t="s">
        <v>1456</v>
      </c>
      <c r="P619" s="11" t="s">
        <v>93</v>
      </c>
      <c r="Q619" s="11" t="s">
        <v>1473</v>
      </c>
      <c r="R619" s="11">
        <v>0.2</v>
      </c>
      <c r="S619" s="11"/>
      <c r="T619" s="12">
        <v>45418</v>
      </c>
      <c r="U619" s="12">
        <v>48340</v>
      </c>
      <c r="V619" s="13" t="s">
        <v>1474</v>
      </c>
      <c r="W619" s="11" t="s">
        <v>1459</v>
      </c>
      <c r="X619" s="11" t="s">
        <v>603</v>
      </c>
      <c r="Y619" s="11" t="s">
        <v>1475</v>
      </c>
      <c r="Z619" s="11">
        <v>0.2</v>
      </c>
      <c r="AA619" s="11"/>
      <c r="AB619" s="12" t="s">
        <v>1476</v>
      </c>
      <c r="AC619" s="12">
        <v>46124</v>
      </c>
      <c r="AD619" s="12" t="s">
        <v>124</v>
      </c>
      <c r="AE619" s="42"/>
      <c r="AF619" s="43" t="s">
        <v>45</v>
      </c>
    </row>
    <row r="620" spans="1:32" ht="45" x14ac:dyDescent="0.25">
      <c r="A620" s="44"/>
      <c r="B620" s="42"/>
      <c r="C620" s="42"/>
      <c r="D620" s="42"/>
      <c r="E620" s="42"/>
      <c r="F620" s="42"/>
      <c r="G620" s="42"/>
      <c r="H620" s="42"/>
      <c r="I620" s="48"/>
      <c r="J620" s="42"/>
      <c r="K620" s="42"/>
      <c r="L620" s="42"/>
      <c r="M620" s="42"/>
      <c r="N620" s="53"/>
      <c r="O620" s="11" t="s">
        <v>1456</v>
      </c>
      <c r="P620" s="11" t="s">
        <v>93</v>
      </c>
      <c r="Q620" s="11" t="s">
        <v>1477</v>
      </c>
      <c r="R620" s="11">
        <v>0.2</v>
      </c>
      <c r="S620" s="11"/>
      <c r="T620" s="12">
        <v>45418</v>
      </c>
      <c r="U620" s="12">
        <v>48340</v>
      </c>
      <c r="V620" s="13" t="s">
        <v>1478</v>
      </c>
      <c r="W620" s="11" t="s">
        <v>1459</v>
      </c>
      <c r="X620" s="11" t="s">
        <v>603</v>
      </c>
      <c r="Y620" s="11" t="s">
        <v>1479</v>
      </c>
      <c r="Z620" s="11">
        <v>0.2</v>
      </c>
      <c r="AA620" s="11"/>
      <c r="AB620" s="12" t="s">
        <v>1476</v>
      </c>
      <c r="AC620" s="12">
        <v>46124</v>
      </c>
      <c r="AD620" s="12" t="s">
        <v>124</v>
      </c>
      <c r="AE620" s="42"/>
      <c r="AF620" s="42"/>
    </row>
    <row r="621" spans="1:32" ht="45" x14ac:dyDescent="0.25">
      <c r="A621" s="44"/>
      <c r="B621" s="42"/>
      <c r="C621" s="42"/>
      <c r="D621" s="42"/>
      <c r="E621" s="42"/>
      <c r="F621" s="42"/>
      <c r="G621" s="42"/>
      <c r="H621" s="42"/>
      <c r="I621" s="48"/>
      <c r="J621" s="42"/>
      <c r="K621" s="42"/>
      <c r="L621" s="42"/>
      <c r="M621" s="42"/>
      <c r="N621" s="53"/>
      <c r="O621" s="11" t="s">
        <v>1465</v>
      </c>
      <c r="P621" s="11" t="s">
        <v>93</v>
      </c>
      <c r="Q621" s="11" t="s">
        <v>1480</v>
      </c>
      <c r="R621" s="11">
        <v>0.2</v>
      </c>
      <c r="S621" s="11"/>
      <c r="T621" s="12">
        <v>45418</v>
      </c>
      <c r="U621" s="12">
        <v>48340</v>
      </c>
      <c r="V621" s="13" t="s">
        <v>1481</v>
      </c>
      <c r="W621" s="11" t="s">
        <v>1468</v>
      </c>
      <c r="X621" s="11" t="s">
        <v>603</v>
      </c>
      <c r="Y621" s="11" t="s">
        <v>1482</v>
      </c>
      <c r="Z621" s="11">
        <v>0.2</v>
      </c>
      <c r="AA621" s="11"/>
      <c r="AB621" s="12" t="s">
        <v>1476</v>
      </c>
      <c r="AC621" s="12">
        <v>46124</v>
      </c>
      <c r="AD621" s="12" t="s">
        <v>124</v>
      </c>
      <c r="AE621" s="42"/>
      <c r="AF621" s="42"/>
    </row>
    <row r="622" spans="1:32" ht="23.85" customHeight="1" x14ac:dyDescent="0.25">
      <c r="A622" s="44">
        <v>205</v>
      </c>
      <c r="B622" s="42" t="s">
        <v>28</v>
      </c>
      <c r="C622" s="42" t="s">
        <v>1483</v>
      </c>
      <c r="D622" s="42">
        <v>284684</v>
      </c>
      <c r="E622" s="42" t="s">
        <v>1484</v>
      </c>
      <c r="F622" s="42" t="s">
        <v>31</v>
      </c>
      <c r="G622" s="42" t="s">
        <v>32</v>
      </c>
      <c r="H622" s="42" t="s">
        <v>33</v>
      </c>
      <c r="I622" s="48" t="s">
        <v>1485</v>
      </c>
      <c r="J622" s="42" t="s">
        <v>35</v>
      </c>
      <c r="K622" s="42"/>
      <c r="L622" s="52">
        <v>43720</v>
      </c>
      <c r="M622" s="52">
        <v>49564</v>
      </c>
      <c r="N622" s="42" t="s">
        <v>92</v>
      </c>
      <c r="O622" s="11" t="s">
        <v>624</v>
      </c>
      <c r="P622" s="11" t="s">
        <v>84</v>
      </c>
      <c r="Q622" s="20" t="s">
        <v>1486</v>
      </c>
      <c r="R622" s="11">
        <v>0.5</v>
      </c>
      <c r="S622" s="11"/>
      <c r="T622" s="12" t="s">
        <v>1487</v>
      </c>
      <c r="U622" s="12">
        <v>46828</v>
      </c>
      <c r="V622" s="13" t="s">
        <v>1488</v>
      </c>
      <c r="W622" s="11" t="s">
        <v>1489</v>
      </c>
      <c r="X622" s="11" t="s">
        <v>42</v>
      </c>
      <c r="Y622" s="11" t="s">
        <v>1490</v>
      </c>
      <c r="Z622" s="11">
        <v>0.2</v>
      </c>
      <c r="AA622" s="11"/>
      <c r="AB622" s="12" t="s">
        <v>634</v>
      </c>
      <c r="AC622" s="12">
        <v>47598</v>
      </c>
      <c r="AD622" s="12" t="s">
        <v>124</v>
      </c>
      <c r="AE622" s="42"/>
      <c r="AF622" s="43" t="s">
        <v>45</v>
      </c>
    </row>
    <row r="623" spans="1:32" ht="25.5" x14ac:dyDescent="0.25">
      <c r="A623" s="44"/>
      <c r="B623" s="42"/>
      <c r="C623" s="42"/>
      <c r="D623" s="42"/>
      <c r="E623" s="42"/>
      <c r="F623" s="42"/>
      <c r="G623" s="42"/>
      <c r="H623" s="42"/>
      <c r="I623" s="48"/>
      <c r="J623" s="42"/>
      <c r="K623" s="42"/>
      <c r="L623" s="42"/>
      <c r="M623" s="42"/>
      <c r="N623" s="42"/>
      <c r="O623" s="11" t="s">
        <v>77</v>
      </c>
      <c r="P623" s="11" t="s">
        <v>77</v>
      </c>
      <c r="Q623" s="11" t="s">
        <v>77</v>
      </c>
      <c r="R623" s="11" t="s">
        <v>77</v>
      </c>
      <c r="S623" s="11"/>
      <c r="T623" s="12" t="s">
        <v>77</v>
      </c>
      <c r="U623" s="12" t="s">
        <v>77</v>
      </c>
      <c r="V623" s="4"/>
      <c r="W623" s="11" t="s">
        <v>1489</v>
      </c>
      <c r="X623" s="11" t="s">
        <v>42</v>
      </c>
      <c r="Y623" s="11" t="s">
        <v>1491</v>
      </c>
      <c r="Z623" s="11">
        <v>0.2</v>
      </c>
      <c r="AA623" s="11"/>
      <c r="AB623" s="12" t="s">
        <v>634</v>
      </c>
      <c r="AC623" s="12">
        <v>47598</v>
      </c>
      <c r="AD623" s="12" t="s">
        <v>124</v>
      </c>
      <c r="AE623" s="42"/>
      <c r="AF623" s="42"/>
    </row>
    <row r="624" spans="1:32" ht="45" x14ac:dyDescent="0.25">
      <c r="A624" s="44"/>
      <c r="B624" s="42"/>
      <c r="C624" s="42"/>
      <c r="D624" s="42"/>
      <c r="E624" s="42"/>
      <c r="F624" s="42"/>
      <c r="G624" s="42"/>
      <c r="H624" s="42"/>
      <c r="I624" s="48"/>
      <c r="J624" s="42"/>
      <c r="K624" s="42"/>
      <c r="L624" s="42"/>
      <c r="M624" s="42"/>
      <c r="N624" s="42"/>
      <c r="O624" s="11" t="s">
        <v>635</v>
      </c>
      <c r="P624" s="11" t="s">
        <v>84</v>
      </c>
      <c r="Q624" s="20">
        <v>6169</v>
      </c>
      <c r="R624" s="11">
        <v>0.5</v>
      </c>
      <c r="S624" s="11"/>
      <c r="T624" s="12">
        <v>43922</v>
      </c>
      <c r="U624" s="12">
        <v>46844</v>
      </c>
      <c r="V624" s="13" t="s">
        <v>1492</v>
      </c>
      <c r="W624" s="11" t="s">
        <v>1493</v>
      </c>
      <c r="X624" s="11" t="s">
        <v>42</v>
      </c>
      <c r="Y624" s="11" t="s">
        <v>1494</v>
      </c>
      <c r="Z624" s="11">
        <v>0.2</v>
      </c>
      <c r="AA624" s="11"/>
      <c r="AB624" s="12" t="s">
        <v>634</v>
      </c>
      <c r="AC624" s="12">
        <v>47598</v>
      </c>
      <c r="AD624" s="12" t="s">
        <v>124</v>
      </c>
      <c r="AE624" s="42"/>
      <c r="AF624" s="42"/>
    </row>
    <row r="625" spans="1:32" ht="23.85" customHeight="1" x14ac:dyDescent="0.25">
      <c r="A625" s="44">
        <v>206</v>
      </c>
      <c r="B625" s="42" t="s">
        <v>28</v>
      </c>
      <c r="C625" s="42" t="s">
        <v>1483</v>
      </c>
      <c r="D625" s="42">
        <v>284684</v>
      </c>
      <c r="E625" s="42" t="s">
        <v>1495</v>
      </c>
      <c r="F625" s="42" t="s">
        <v>31</v>
      </c>
      <c r="G625" s="42" t="s">
        <v>68</v>
      </c>
      <c r="H625" s="45" t="s">
        <v>33</v>
      </c>
      <c r="I625" s="48" t="s">
        <v>1496</v>
      </c>
      <c r="J625" s="45" t="s">
        <v>35</v>
      </c>
      <c r="K625" s="42"/>
      <c r="L625" s="52">
        <v>43824</v>
      </c>
      <c r="M625" s="52">
        <v>49668</v>
      </c>
      <c r="N625" s="45" t="s">
        <v>92</v>
      </c>
      <c r="O625" s="11" t="s">
        <v>624</v>
      </c>
      <c r="P625" s="11" t="s">
        <v>433</v>
      </c>
      <c r="Q625" s="20" t="s">
        <v>1497</v>
      </c>
      <c r="R625" s="11">
        <v>0.5</v>
      </c>
      <c r="S625" s="11"/>
      <c r="T625" s="23">
        <v>43906</v>
      </c>
      <c r="U625" s="12">
        <v>46828</v>
      </c>
      <c r="V625" s="13" t="s">
        <v>1498</v>
      </c>
      <c r="W625" s="11" t="s">
        <v>1489</v>
      </c>
      <c r="X625" s="11" t="s">
        <v>42</v>
      </c>
      <c r="Y625" s="11" t="s">
        <v>1499</v>
      </c>
      <c r="Z625" s="11">
        <v>0.2</v>
      </c>
      <c r="AA625" s="11"/>
      <c r="AB625" s="12" t="s">
        <v>1500</v>
      </c>
      <c r="AC625" s="12">
        <v>47595</v>
      </c>
      <c r="AD625" s="12" t="s">
        <v>124</v>
      </c>
      <c r="AE625" s="42"/>
      <c r="AF625" s="43" t="s">
        <v>45</v>
      </c>
    </row>
    <row r="626" spans="1:32" ht="25.5" x14ac:dyDescent="0.25">
      <c r="A626" s="44"/>
      <c r="B626" s="42"/>
      <c r="C626" s="42"/>
      <c r="D626" s="42"/>
      <c r="E626" s="42"/>
      <c r="F626" s="42"/>
      <c r="G626" s="42"/>
      <c r="H626" s="42"/>
      <c r="I626" s="48"/>
      <c r="J626" s="42"/>
      <c r="K626" s="42"/>
      <c r="L626" s="42"/>
      <c r="M626" s="42"/>
      <c r="N626" s="42"/>
      <c r="O626" s="11" t="s">
        <v>77</v>
      </c>
      <c r="P626" s="11" t="s">
        <v>77</v>
      </c>
      <c r="Q626" s="11" t="s">
        <v>77</v>
      </c>
      <c r="R626" s="11" t="s">
        <v>77</v>
      </c>
      <c r="S626" s="11"/>
      <c r="T626" s="12" t="s">
        <v>77</v>
      </c>
      <c r="U626" s="12" t="s">
        <v>77</v>
      </c>
      <c r="V626" s="4"/>
      <c r="W626" s="11" t="s">
        <v>1489</v>
      </c>
      <c r="X626" s="11" t="s">
        <v>42</v>
      </c>
      <c r="Y626" s="11" t="s">
        <v>1501</v>
      </c>
      <c r="Z626" s="11">
        <v>0.2</v>
      </c>
      <c r="AA626" s="11"/>
      <c r="AB626" s="12" t="s">
        <v>1500</v>
      </c>
      <c r="AC626" s="12">
        <v>47595</v>
      </c>
      <c r="AD626" s="12" t="s">
        <v>124</v>
      </c>
      <c r="AE626" s="42"/>
      <c r="AF626" s="42"/>
    </row>
    <row r="627" spans="1:32" ht="45" x14ac:dyDescent="0.25">
      <c r="A627" s="44"/>
      <c r="B627" s="42"/>
      <c r="C627" s="42"/>
      <c r="D627" s="42"/>
      <c r="E627" s="42"/>
      <c r="F627" s="42"/>
      <c r="G627" s="42"/>
      <c r="H627" s="46"/>
      <c r="I627" s="48"/>
      <c r="J627" s="46"/>
      <c r="K627" s="42"/>
      <c r="L627" s="42"/>
      <c r="M627" s="42"/>
      <c r="N627" s="46"/>
      <c r="O627" s="11" t="s">
        <v>635</v>
      </c>
      <c r="P627" s="11" t="s">
        <v>433</v>
      </c>
      <c r="Q627" s="20">
        <v>6078</v>
      </c>
      <c r="R627" s="11">
        <v>0.5</v>
      </c>
      <c r="S627" s="11"/>
      <c r="T627" s="24">
        <v>43906</v>
      </c>
      <c r="U627" s="23">
        <v>46828</v>
      </c>
      <c r="V627" s="13" t="s">
        <v>1502</v>
      </c>
      <c r="W627" s="11" t="s">
        <v>1493</v>
      </c>
      <c r="X627" s="11" t="s">
        <v>42</v>
      </c>
      <c r="Y627" s="11" t="s">
        <v>1503</v>
      </c>
      <c r="Z627" s="11">
        <v>0.2</v>
      </c>
      <c r="AA627" s="11"/>
      <c r="AB627" s="12" t="s">
        <v>1500</v>
      </c>
      <c r="AC627" s="12">
        <v>47595</v>
      </c>
      <c r="AD627" s="12" t="s">
        <v>124</v>
      </c>
      <c r="AE627" s="42"/>
      <c r="AF627" s="42"/>
    </row>
    <row r="628" spans="1:32" ht="23.85" customHeight="1" x14ac:dyDescent="0.25">
      <c r="A628" s="44">
        <v>207</v>
      </c>
      <c r="B628" s="42" t="s">
        <v>28</v>
      </c>
      <c r="C628" s="42" t="s">
        <v>1483</v>
      </c>
      <c r="D628" s="42">
        <v>284684</v>
      </c>
      <c r="E628" s="42" t="s">
        <v>1504</v>
      </c>
      <c r="F628" s="42" t="s">
        <v>31</v>
      </c>
      <c r="G628" s="42" t="s">
        <v>90</v>
      </c>
      <c r="H628" s="42" t="s">
        <v>137</v>
      </c>
      <c r="I628" s="48" t="s">
        <v>1505</v>
      </c>
      <c r="J628" s="42" t="s">
        <v>71</v>
      </c>
      <c r="K628" s="42"/>
      <c r="L628" s="52">
        <v>45596</v>
      </c>
      <c r="M628" s="52">
        <v>48518</v>
      </c>
      <c r="N628" s="53" t="s">
        <v>1506</v>
      </c>
      <c r="O628" s="11" t="s">
        <v>1011</v>
      </c>
      <c r="P628" s="11" t="s">
        <v>74</v>
      </c>
      <c r="Q628" s="11">
        <v>1953</v>
      </c>
      <c r="R628" s="11">
        <v>0.2</v>
      </c>
      <c r="S628" s="11"/>
      <c r="T628" s="12" t="s">
        <v>1507</v>
      </c>
      <c r="U628" s="12">
        <v>46102</v>
      </c>
      <c r="V628" s="25" t="s">
        <v>1508</v>
      </c>
      <c r="W628" s="11" t="s">
        <v>1489</v>
      </c>
      <c r="X628" s="11" t="s">
        <v>42</v>
      </c>
      <c r="Y628" s="11" t="s">
        <v>1499</v>
      </c>
      <c r="Z628" s="11">
        <v>0.2</v>
      </c>
      <c r="AA628" s="11"/>
      <c r="AB628" s="12" t="s">
        <v>1500</v>
      </c>
      <c r="AC628" s="12">
        <v>47595</v>
      </c>
      <c r="AD628" s="12" t="s">
        <v>124</v>
      </c>
      <c r="AE628" s="42"/>
      <c r="AF628" s="43" t="s">
        <v>45</v>
      </c>
    </row>
    <row r="629" spans="1:32" ht="45" x14ac:dyDescent="0.25">
      <c r="A629" s="44"/>
      <c r="B629" s="42"/>
      <c r="C629" s="42"/>
      <c r="D629" s="42"/>
      <c r="E629" s="42"/>
      <c r="F629" s="42"/>
      <c r="G629" s="42"/>
      <c r="H629" s="42"/>
      <c r="I629" s="48"/>
      <c r="J629" s="42"/>
      <c r="K629" s="42"/>
      <c r="L629" s="42"/>
      <c r="M629" s="42"/>
      <c r="N629" s="53"/>
      <c r="O629" s="11" t="s">
        <v>1011</v>
      </c>
      <c r="P629" s="11" t="s">
        <v>74</v>
      </c>
      <c r="Q629" s="11" t="s">
        <v>1509</v>
      </c>
      <c r="R629" s="11">
        <v>0.2</v>
      </c>
      <c r="S629" s="11"/>
      <c r="T629" s="12" t="s">
        <v>1507</v>
      </c>
      <c r="U629" s="12">
        <v>46102</v>
      </c>
      <c r="V629" s="25" t="s">
        <v>1510</v>
      </c>
      <c r="W629" s="11" t="s">
        <v>1489</v>
      </c>
      <c r="X629" s="11" t="s">
        <v>42</v>
      </c>
      <c r="Y629" s="11" t="s">
        <v>1501</v>
      </c>
      <c r="Z629" s="11">
        <v>0.2</v>
      </c>
      <c r="AA629" s="11"/>
      <c r="AB629" s="12" t="s">
        <v>1500</v>
      </c>
      <c r="AC629" s="12">
        <v>47595</v>
      </c>
      <c r="AD629" s="12" t="s">
        <v>124</v>
      </c>
      <c r="AE629" s="42"/>
      <c r="AF629" s="42"/>
    </row>
    <row r="630" spans="1:32" ht="45" x14ac:dyDescent="0.25">
      <c r="A630" s="44"/>
      <c r="B630" s="42"/>
      <c r="C630" s="42"/>
      <c r="D630" s="42"/>
      <c r="E630" s="42"/>
      <c r="F630" s="42"/>
      <c r="G630" s="42"/>
      <c r="H630" s="42"/>
      <c r="I630" s="48"/>
      <c r="J630" s="42"/>
      <c r="K630" s="42"/>
      <c r="L630" s="42"/>
      <c r="M630" s="42"/>
      <c r="N630" s="53"/>
      <c r="O630" s="11" t="s">
        <v>1021</v>
      </c>
      <c r="P630" s="11" t="s">
        <v>74</v>
      </c>
      <c r="Q630" s="11" t="s">
        <v>1511</v>
      </c>
      <c r="R630" s="11">
        <v>0.2</v>
      </c>
      <c r="S630" s="11"/>
      <c r="T630" s="12" t="s">
        <v>1512</v>
      </c>
      <c r="U630" s="12">
        <v>46104</v>
      </c>
      <c r="V630" s="25" t="s">
        <v>1513</v>
      </c>
      <c r="W630" s="11" t="s">
        <v>1493</v>
      </c>
      <c r="X630" s="11" t="s">
        <v>42</v>
      </c>
      <c r="Y630" s="11" t="s">
        <v>1503</v>
      </c>
      <c r="Z630" s="11">
        <v>0.2</v>
      </c>
      <c r="AA630" s="11"/>
      <c r="AB630" s="12" t="s">
        <v>1500</v>
      </c>
      <c r="AC630" s="12">
        <v>47595</v>
      </c>
      <c r="AD630" s="12" t="s">
        <v>124</v>
      </c>
      <c r="AE630" s="42"/>
      <c r="AF630" s="42"/>
    </row>
    <row r="631" spans="1:32" ht="23.85" customHeight="1" x14ac:dyDescent="0.25">
      <c r="A631" s="44">
        <v>208</v>
      </c>
      <c r="B631" s="42" t="s">
        <v>28</v>
      </c>
      <c r="C631" s="42" t="s">
        <v>1483</v>
      </c>
      <c r="D631" s="42">
        <v>284684</v>
      </c>
      <c r="E631" s="42" t="s">
        <v>1514</v>
      </c>
      <c r="F631" s="42" t="s">
        <v>31</v>
      </c>
      <c r="G631" s="42" t="s">
        <v>68</v>
      </c>
      <c r="H631" s="42" t="s">
        <v>1515</v>
      </c>
      <c r="I631" s="48" t="s">
        <v>1516</v>
      </c>
      <c r="J631" s="42" t="s">
        <v>71</v>
      </c>
      <c r="K631" s="42"/>
      <c r="L631" s="42" t="s">
        <v>1517</v>
      </c>
      <c r="M631" s="54">
        <v>46612</v>
      </c>
      <c r="N631" s="42" t="s">
        <v>124</v>
      </c>
      <c r="O631" s="11" t="s">
        <v>624</v>
      </c>
      <c r="P631" s="11" t="s">
        <v>433</v>
      </c>
      <c r="Q631" s="20" t="s">
        <v>1518</v>
      </c>
      <c r="R631" s="11">
        <v>0.5</v>
      </c>
      <c r="S631" s="11"/>
      <c r="T631" s="12" t="s">
        <v>1487</v>
      </c>
      <c r="U631" s="12">
        <v>46828</v>
      </c>
      <c r="V631" s="13" t="s">
        <v>1519</v>
      </c>
      <c r="W631" s="11" t="s">
        <v>1489</v>
      </c>
      <c r="X631" s="11" t="s">
        <v>42</v>
      </c>
      <c r="Y631" s="11" t="s">
        <v>1499</v>
      </c>
      <c r="Z631" s="11">
        <v>0.2</v>
      </c>
      <c r="AA631" s="11"/>
      <c r="AB631" s="12" t="s">
        <v>1500</v>
      </c>
      <c r="AC631" s="12">
        <v>47595</v>
      </c>
      <c r="AD631" s="12" t="s">
        <v>124</v>
      </c>
      <c r="AE631" s="42"/>
      <c r="AF631" s="43" t="s">
        <v>45</v>
      </c>
    </row>
    <row r="632" spans="1:32" ht="25.5" x14ac:dyDescent="0.25">
      <c r="A632" s="44"/>
      <c r="B632" s="42"/>
      <c r="C632" s="42"/>
      <c r="D632" s="42"/>
      <c r="E632" s="42"/>
      <c r="F632" s="42"/>
      <c r="G632" s="42"/>
      <c r="H632" s="42"/>
      <c r="I632" s="48"/>
      <c r="J632" s="42"/>
      <c r="K632" s="42"/>
      <c r="L632" s="42"/>
      <c r="M632" s="42"/>
      <c r="N632" s="42"/>
      <c r="O632" s="11" t="s">
        <v>77</v>
      </c>
      <c r="P632" s="11" t="s">
        <v>77</v>
      </c>
      <c r="Q632" s="11" t="s">
        <v>77</v>
      </c>
      <c r="R632" s="11" t="s">
        <v>77</v>
      </c>
      <c r="S632" s="11"/>
      <c r="T632" s="12" t="s">
        <v>77</v>
      </c>
      <c r="U632" s="12" t="s">
        <v>77</v>
      </c>
      <c r="V632" s="4"/>
      <c r="W632" s="11" t="s">
        <v>1489</v>
      </c>
      <c r="X632" s="11" t="s">
        <v>42</v>
      </c>
      <c r="Y632" s="11" t="s">
        <v>1501</v>
      </c>
      <c r="Z632" s="11">
        <v>0.2</v>
      </c>
      <c r="AA632" s="11"/>
      <c r="AB632" s="12" t="s">
        <v>1500</v>
      </c>
      <c r="AC632" s="12">
        <v>47595</v>
      </c>
      <c r="AD632" s="12" t="s">
        <v>124</v>
      </c>
      <c r="AE632" s="42"/>
      <c r="AF632" s="42"/>
    </row>
    <row r="633" spans="1:32" ht="45" x14ac:dyDescent="0.25">
      <c r="A633" s="44"/>
      <c r="B633" s="42"/>
      <c r="C633" s="42"/>
      <c r="D633" s="42"/>
      <c r="E633" s="42"/>
      <c r="F633" s="42"/>
      <c r="G633" s="42"/>
      <c r="H633" s="42"/>
      <c r="I633" s="48"/>
      <c r="J633" s="42"/>
      <c r="K633" s="42"/>
      <c r="L633" s="42"/>
      <c r="M633" s="42"/>
      <c r="N633" s="42"/>
      <c r="O633" s="11" t="s">
        <v>635</v>
      </c>
      <c r="P633" s="11" t="s">
        <v>433</v>
      </c>
      <c r="Q633" s="20">
        <v>2642</v>
      </c>
      <c r="R633" s="11">
        <v>0.5</v>
      </c>
      <c r="S633" s="11"/>
      <c r="T633" s="12" t="s">
        <v>1487</v>
      </c>
      <c r="U633" s="12">
        <v>46828</v>
      </c>
      <c r="V633" s="13" t="s">
        <v>1520</v>
      </c>
      <c r="W633" s="11" t="s">
        <v>1493</v>
      </c>
      <c r="X633" s="11" t="s">
        <v>42</v>
      </c>
      <c r="Y633" s="11" t="s">
        <v>1503</v>
      </c>
      <c r="Z633" s="11">
        <v>0.2</v>
      </c>
      <c r="AA633" s="11"/>
      <c r="AB633" s="12" t="s">
        <v>1500</v>
      </c>
      <c r="AC633" s="12">
        <v>47595</v>
      </c>
      <c r="AD633" s="12" t="s">
        <v>124</v>
      </c>
      <c r="AE633" s="42"/>
      <c r="AF633" s="42"/>
    </row>
    <row r="634" spans="1:32" ht="23.85" customHeight="1" x14ac:dyDescent="0.25">
      <c r="A634" s="44">
        <v>209</v>
      </c>
      <c r="B634" s="42" t="s">
        <v>28</v>
      </c>
      <c r="C634" s="42" t="s">
        <v>1483</v>
      </c>
      <c r="D634" s="42">
        <v>284684</v>
      </c>
      <c r="E634" s="42" t="s">
        <v>1521</v>
      </c>
      <c r="F634" s="42" t="s">
        <v>31</v>
      </c>
      <c r="G634" s="42" t="s">
        <v>32</v>
      </c>
      <c r="H634" s="42" t="s">
        <v>69</v>
      </c>
      <c r="I634" s="48" t="s">
        <v>1522</v>
      </c>
      <c r="J634" s="42" t="s">
        <v>71</v>
      </c>
      <c r="K634" s="42"/>
      <c r="L634" s="42" t="s">
        <v>123</v>
      </c>
      <c r="M634" s="54">
        <v>46611</v>
      </c>
      <c r="N634" s="42" t="s">
        <v>124</v>
      </c>
      <c r="O634" s="11" t="s">
        <v>624</v>
      </c>
      <c r="P634" s="11" t="s">
        <v>116</v>
      </c>
      <c r="Q634" s="20" t="s">
        <v>1523</v>
      </c>
      <c r="R634" s="11">
        <v>0.5</v>
      </c>
      <c r="S634" s="11"/>
      <c r="T634" s="12" t="s">
        <v>1487</v>
      </c>
      <c r="U634" s="12">
        <v>46828</v>
      </c>
      <c r="V634" s="13" t="s">
        <v>1524</v>
      </c>
      <c r="W634" s="11" t="s">
        <v>1489</v>
      </c>
      <c r="X634" s="11" t="s">
        <v>42</v>
      </c>
      <c r="Y634" s="11" t="s">
        <v>1499</v>
      </c>
      <c r="Z634" s="11">
        <v>0.2</v>
      </c>
      <c r="AA634" s="11"/>
      <c r="AB634" s="12" t="s">
        <v>1500</v>
      </c>
      <c r="AC634" s="12">
        <v>47595</v>
      </c>
      <c r="AD634" s="12" t="s">
        <v>124</v>
      </c>
      <c r="AE634" s="42"/>
      <c r="AF634" s="43" t="s">
        <v>45</v>
      </c>
    </row>
    <row r="635" spans="1:32" ht="25.5" x14ac:dyDescent="0.25">
      <c r="A635" s="44"/>
      <c r="B635" s="42"/>
      <c r="C635" s="42"/>
      <c r="D635" s="42"/>
      <c r="E635" s="42"/>
      <c r="F635" s="42"/>
      <c r="G635" s="42"/>
      <c r="H635" s="42"/>
      <c r="I635" s="48"/>
      <c r="J635" s="42"/>
      <c r="K635" s="42"/>
      <c r="L635" s="42"/>
      <c r="M635" s="42"/>
      <c r="N635" s="42"/>
      <c r="O635" s="11" t="s">
        <v>77</v>
      </c>
      <c r="P635" s="11" t="s">
        <v>77</v>
      </c>
      <c r="Q635" s="11" t="s">
        <v>77</v>
      </c>
      <c r="R635" s="11" t="s">
        <v>77</v>
      </c>
      <c r="S635" s="11"/>
      <c r="T635" s="12" t="s">
        <v>77</v>
      </c>
      <c r="U635" s="12" t="s">
        <v>77</v>
      </c>
      <c r="V635" s="4"/>
      <c r="W635" s="11" t="s">
        <v>1489</v>
      </c>
      <c r="X635" s="11" t="s">
        <v>42</v>
      </c>
      <c r="Y635" s="11" t="s">
        <v>1501</v>
      </c>
      <c r="Z635" s="11">
        <v>0.2</v>
      </c>
      <c r="AA635" s="11"/>
      <c r="AB635" s="12" t="s">
        <v>1500</v>
      </c>
      <c r="AC635" s="12">
        <v>47595</v>
      </c>
      <c r="AD635" s="12" t="s">
        <v>124</v>
      </c>
      <c r="AE635" s="42"/>
      <c r="AF635" s="42"/>
    </row>
    <row r="636" spans="1:32" ht="45" x14ac:dyDescent="0.25">
      <c r="A636" s="44"/>
      <c r="B636" s="42"/>
      <c r="C636" s="42"/>
      <c r="D636" s="42"/>
      <c r="E636" s="42"/>
      <c r="F636" s="42"/>
      <c r="G636" s="42"/>
      <c r="H636" s="42"/>
      <c r="I636" s="48"/>
      <c r="J636" s="42"/>
      <c r="K636" s="42"/>
      <c r="L636" s="42"/>
      <c r="M636" s="42"/>
      <c r="N636" s="42"/>
      <c r="O636" s="11" t="s">
        <v>635</v>
      </c>
      <c r="P636" s="11" t="s">
        <v>116</v>
      </c>
      <c r="Q636" s="20">
        <v>2095</v>
      </c>
      <c r="R636" s="11">
        <v>0.5</v>
      </c>
      <c r="S636" s="11"/>
      <c r="T636" s="12" t="s">
        <v>1487</v>
      </c>
      <c r="U636" s="12">
        <v>46828</v>
      </c>
      <c r="V636" s="13" t="s">
        <v>1525</v>
      </c>
      <c r="W636" s="11" t="s">
        <v>1493</v>
      </c>
      <c r="X636" s="11" t="s">
        <v>42</v>
      </c>
      <c r="Y636" s="11" t="s">
        <v>1503</v>
      </c>
      <c r="Z636" s="11">
        <v>0.2</v>
      </c>
      <c r="AA636" s="11"/>
      <c r="AB636" s="12" t="s">
        <v>1500</v>
      </c>
      <c r="AC636" s="12">
        <v>47595</v>
      </c>
      <c r="AD636" s="12" t="s">
        <v>124</v>
      </c>
      <c r="AE636" s="42"/>
      <c r="AF636" s="42"/>
    </row>
    <row r="637" spans="1:32" ht="23.85" customHeight="1" x14ac:dyDescent="0.25">
      <c r="A637" s="44">
        <v>210</v>
      </c>
      <c r="B637" s="42" t="s">
        <v>28</v>
      </c>
      <c r="C637" s="42" t="s">
        <v>1483</v>
      </c>
      <c r="D637" s="42">
        <v>284684</v>
      </c>
      <c r="E637" s="42" t="s">
        <v>1526</v>
      </c>
      <c r="F637" s="42" t="s">
        <v>31</v>
      </c>
      <c r="G637" s="42" t="s">
        <v>32</v>
      </c>
      <c r="H637" s="42" t="s">
        <v>137</v>
      </c>
      <c r="I637" s="48" t="s">
        <v>1527</v>
      </c>
      <c r="J637" s="42" t="s">
        <v>71</v>
      </c>
      <c r="K637" s="42"/>
      <c r="L637" s="42" t="s">
        <v>123</v>
      </c>
      <c r="M637" s="54">
        <v>46611</v>
      </c>
      <c r="N637" s="42" t="s">
        <v>124</v>
      </c>
      <c r="O637" s="11" t="s">
        <v>624</v>
      </c>
      <c r="P637" s="11" t="s">
        <v>116</v>
      </c>
      <c r="Q637" s="20" t="s">
        <v>1528</v>
      </c>
      <c r="R637" s="11">
        <v>0.5</v>
      </c>
      <c r="S637" s="11"/>
      <c r="T637" s="12" t="s">
        <v>1529</v>
      </c>
      <c r="U637" s="12">
        <v>46829</v>
      </c>
      <c r="V637" s="13" t="s">
        <v>1530</v>
      </c>
      <c r="W637" s="11" t="s">
        <v>1489</v>
      </c>
      <c r="X637" s="11" t="s">
        <v>42</v>
      </c>
      <c r="Y637" s="11" t="s">
        <v>1499</v>
      </c>
      <c r="Z637" s="11">
        <v>0.2</v>
      </c>
      <c r="AA637" s="11"/>
      <c r="AB637" s="12" t="s">
        <v>1500</v>
      </c>
      <c r="AC637" s="12">
        <v>47595</v>
      </c>
      <c r="AD637" s="12" t="s">
        <v>124</v>
      </c>
      <c r="AE637" s="42"/>
      <c r="AF637" s="43" t="s">
        <v>45</v>
      </c>
    </row>
    <row r="638" spans="1:32" ht="25.5" x14ac:dyDescent="0.25">
      <c r="A638" s="44"/>
      <c r="B638" s="42"/>
      <c r="C638" s="42"/>
      <c r="D638" s="42"/>
      <c r="E638" s="42"/>
      <c r="F638" s="42"/>
      <c r="G638" s="42"/>
      <c r="H638" s="42"/>
      <c r="I638" s="48"/>
      <c r="J638" s="42"/>
      <c r="K638" s="42"/>
      <c r="L638" s="42"/>
      <c r="M638" s="42"/>
      <c r="N638" s="42"/>
      <c r="O638" s="11" t="s">
        <v>77</v>
      </c>
      <c r="P638" s="11" t="s">
        <v>77</v>
      </c>
      <c r="Q638" s="11" t="s">
        <v>77</v>
      </c>
      <c r="R638" s="11" t="s">
        <v>77</v>
      </c>
      <c r="S638" s="11"/>
      <c r="T638" s="12" t="s">
        <v>77</v>
      </c>
      <c r="U638" s="12" t="s">
        <v>77</v>
      </c>
      <c r="V638" s="4"/>
      <c r="W638" s="11" t="s">
        <v>1489</v>
      </c>
      <c r="X638" s="11" t="s">
        <v>42</v>
      </c>
      <c r="Y638" s="11" t="s">
        <v>1501</v>
      </c>
      <c r="Z638" s="11">
        <v>0.2</v>
      </c>
      <c r="AA638" s="11"/>
      <c r="AB638" s="12" t="s">
        <v>1500</v>
      </c>
      <c r="AC638" s="12">
        <v>47595</v>
      </c>
      <c r="AD638" s="12" t="s">
        <v>124</v>
      </c>
      <c r="AE638" s="42"/>
      <c r="AF638" s="42"/>
    </row>
    <row r="639" spans="1:32" ht="45" x14ac:dyDescent="0.25">
      <c r="A639" s="44"/>
      <c r="B639" s="42"/>
      <c r="C639" s="42"/>
      <c r="D639" s="42"/>
      <c r="E639" s="42"/>
      <c r="F639" s="42"/>
      <c r="G639" s="42"/>
      <c r="H639" s="42"/>
      <c r="I639" s="48"/>
      <c r="J639" s="42"/>
      <c r="K639" s="42"/>
      <c r="L639" s="42"/>
      <c r="M639" s="42"/>
      <c r="N639" s="42"/>
      <c r="O639" s="11" t="s">
        <v>635</v>
      </c>
      <c r="P639" s="11" t="s">
        <v>116</v>
      </c>
      <c r="Q639" s="20">
        <v>2259</v>
      </c>
      <c r="R639" s="11">
        <v>0.5</v>
      </c>
      <c r="S639" s="11"/>
      <c r="T639" s="12" t="s">
        <v>1529</v>
      </c>
      <c r="U639" s="12">
        <v>46829</v>
      </c>
      <c r="V639" s="13" t="s">
        <v>1531</v>
      </c>
      <c r="W639" s="11" t="s">
        <v>1493</v>
      </c>
      <c r="X639" s="11" t="s">
        <v>42</v>
      </c>
      <c r="Y639" s="11" t="s">
        <v>1503</v>
      </c>
      <c r="Z639" s="11">
        <v>0.2</v>
      </c>
      <c r="AA639" s="11"/>
      <c r="AB639" s="12" t="s">
        <v>1500</v>
      </c>
      <c r="AC639" s="12">
        <v>47595</v>
      </c>
      <c r="AD639" s="12" t="s">
        <v>124</v>
      </c>
      <c r="AE639" s="42"/>
      <c r="AF639" s="42"/>
    </row>
    <row r="640" spans="1:32" ht="23.85" customHeight="1" x14ac:dyDescent="0.25">
      <c r="A640" s="44">
        <v>211</v>
      </c>
      <c r="B640" s="42" t="s">
        <v>28</v>
      </c>
      <c r="C640" s="42" t="s">
        <v>1483</v>
      </c>
      <c r="D640" s="42">
        <v>284684</v>
      </c>
      <c r="E640" s="42" t="s">
        <v>1532</v>
      </c>
      <c r="F640" s="42" t="s">
        <v>31</v>
      </c>
      <c r="G640" s="42" t="s">
        <v>32</v>
      </c>
      <c r="H640" s="42" t="s">
        <v>69</v>
      </c>
      <c r="I640" s="48" t="s">
        <v>1533</v>
      </c>
      <c r="J640" s="42" t="s">
        <v>71</v>
      </c>
      <c r="K640" s="42"/>
      <c r="L640" s="42" t="s">
        <v>123</v>
      </c>
      <c r="M640" s="54">
        <v>46611</v>
      </c>
      <c r="N640" s="42" t="s">
        <v>124</v>
      </c>
      <c r="O640" s="11" t="s">
        <v>624</v>
      </c>
      <c r="P640" s="11" t="s">
        <v>433</v>
      </c>
      <c r="Q640" s="20" t="s">
        <v>1534</v>
      </c>
      <c r="R640" s="11">
        <v>0.5</v>
      </c>
      <c r="S640" s="11"/>
      <c r="T640" s="12" t="s">
        <v>1529</v>
      </c>
      <c r="U640" s="12">
        <v>46829</v>
      </c>
      <c r="V640" s="13" t="s">
        <v>1535</v>
      </c>
      <c r="W640" s="11" t="s">
        <v>1489</v>
      </c>
      <c r="X640" s="11" t="s">
        <v>42</v>
      </c>
      <c r="Y640" s="11" t="s">
        <v>1499</v>
      </c>
      <c r="Z640" s="11">
        <v>0.2</v>
      </c>
      <c r="AA640" s="11"/>
      <c r="AB640" s="12" t="s">
        <v>1500</v>
      </c>
      <c r="AC640" s="12">
        <v>47595</v>
      </c>
      <c r="AD640" s="12" t="s">
        <v>124</v>
      </c>
      <c r="AE640" s="42"/>
      <c r="AF640" s="43" t="s">
        <v>45</v>
      </c>
    </row>
    <row r="641" spans="1:32" ht="25.5" x14ac:dyDescent="0.25">
      <c r="A641" s="44"/>
      <c r="B641" s="42"/>
      <c r="C641" s="42"/>
      <c r="D641" s="42"/>
      <c r="E641" s="42"/>
      <c r="F641" s="42"/>
      <c r="G641" s="42"/>
      <c r="H641" s="42"/>
      <c r="I641" s="48"/>
      <c r="J641" s="42"/>
      <c r="K641" s="42"/>
      <c r="L641" s="42"/>
      <c r="M641" s="42"/>
      <c r="N641" s="42"/>
      <c r="O641" s="11" t="s">
        <v>77</v>
      </c>
      <c r="P641" s="11" t="s">
        <v>77</v>
      </c>
      <c r="Q641" s="11" t="s">
        <v>77</v>
      </c>
      <c r="R641" s="11" t="s">
        <v>77</v>
      </c>
      <c r="S641" s="11"/>
      <c r="T641" s="12" t="s">
        <v>77</v>
      </c>
      <c r="U641" s="12" t="s">
        <v>77</v>
      </c>
      <c r="V641" s="4"/>
      <c r="W641" s="11" t="s">
        <v>1489</v>
      </c>
      <c r="X641" s="11" t="s">
        <v>42</v>
      </c>
      <c r="Y641" s="11" t="s">
        <v>1501</v>
      </c>
      <c r="Z641" s="11">
        <v>0.2</v>
      </c>
      <c r="AA641" s="11"/>
      <c r="AB641" s="12" t="s">
        <v>1500</v>
      </c>
      <c r="AC641" s="12">
        <v>47595</v>
      </c>
      <c r="AD641" s="12" t="s">
        <v>124</v>
      </c>
      <c r="AE641" s="42"/>
      <c r="AF641" s="42"/>
    </row>
    <row r="642" spans="1:32" ht="45" x14ac:dyDescent="0.25">
      <c r="A642" s="44"/>
      <c r="B642" s="42"/>
      <c r="C642" s="42"/>
      <c r="D642" s="42"/>
      <c r="E642" s="42"/>
      <c r="F642" s="42"/>
      <c r="G642" s="42"/>
      <c r="H642" s="42"/>
      <c r="I642" s="48"/>
      <c r="J642" s="42"/>
      <c r="K642" s="42"/>
      <c r="L642" s="42"/>
      <c r="M642" s="42"/>
      <c r="N642" s="42"/>
      <c r="O642" s="11" t="s">
        <v>635</v>
      </c>
      <c r="P642" s="11" t="s">
        <v>433</v>
      </c>
      <c r="Q642" s="20">
        <v>6044</v>
      </c>
      <c r="R642" s="11">
        <v>0.5</v>
      </c>
      <c r="S642" s="11"/>
      <c r="T642" s="12" t="s">
        <v>1529</v>
      </c>
      <c r="U642" s="12">
        <v>46829</v>
      </c>
      <c r="V642" s="13" t="s">
        <v>1536</v>
      </c>
      <c r="W642" s="11" t="s">
        <v>1493</v>
      </c>
      <c r="X642" s="11" t="s">
        <v>42</v>
      </c>
      <c r="Y642" s="11" t="s">
        <v>1503</v>
      </c>
      <c r="Z642" s="11">
        <v>0.2</v>
      </c>
      <c r="AA642" s="11"/>
      <c r="AB642" s="12" t="s">
        <v>1500</v>
      </c>
      <c r="AC642" s="12">
        <v>47595</v>
      </c>
      <c r="AD642" s="12" t="s">
        <v>124</v>
      </c>
      <c r="AE642" s="42"/>
      <c r="AF642" s="42"/>
    </row>
    <row r="643" spans="1:32" ht="23.85" customHeight="1" x14ac:dyDescent="0.25">
      <c r="A643" s="44">
        <v>212</v>
      </c>
      <c r="B643" s="42" t="s">
        <v>28</v>
      </c>
      <c r="C643" s="42" t="s">
        <v>1483</v>
      </c>
      <c r="D643" s="42">
        <v>284684</v>
      </c>
      <c r="E643" s="42" t="s">
        <v>1537</v>
      </c>
      <c r="F643" s="42" t="s">
        <v>31</v>
      </c>
      <c r="G643" s="42" t="s">
        <v>32</v>
      </c>
      <c r="H643" s="42" t="s">
        <v>69</v>
      </c>
      <c r="I643" s="48" t="s">
        <v>1538</v>
      </c>
      <c r="J643" s="42" t="s">
        <v>71</v>
      </c>
      <c r="K643" s="42"/>
      <c r="L643" s="52">
        <v>45596</v>
      </c>
      <c r="M643" s="52">
        <v>48518</v>
      </c>
      <c r="N643" s="53" t="s">
        <v>1539</v>
      </c>
      <c r="O643" s="11" t="s">
        <v>624</v>
      </c>
      <c r="P643" s="11" t="s">
        <v>433</v>
      </c>
      <c r="Q643" s="20" t="s">
        <v>1540</v>
      </c>
      <c r="R643" s="11">
        <v>0.5</v>
      </c>
      <c r="S643" s="11"/>
      <c r="T643" s="12" t="s">
        <v>1529</v>
      </c>
      <c r="U643" s="12">
        <v>46829</v>
      </c>
      <c r="V643" s="13" t="s">
        <v>1541</v>
      </c>
      <c r="W643" s="11" t="s">
        <v>1489</v>
      </c>
      <c r="X643" s="11" t="s">
        <v>42</v>
      </c>
      <c r="Y643" s="11" t="s">
        <v>1499</v>
      </c>
      <c r="Z643" s="11">
        <v>0.2</v>
      </c>
      <c r="AA643" s="11"/>
      <c r="AB643" s="12" t="s">
        <v>1500</v>
      </c>
      <c r="AC643" s="12">
        <v>47595</v>
      </c>
      <c r="AD643" s="12" t="s">
        <v>124</v>
      </c>
      <c r="AE643" s="42"/>
      <c r="AF643" s="43" t="s">
        <v>45</v>
      </c>
    </row>
    <row r="644" spans="1:32" ht="25.5" x14ac:dyDescent="0.25">
      <c r="A644" s="44"/>
      <c r="B644" s="42"/>
      <c r="C644" s="42"/>
      <c r="D644" s="42"/>
      <c r="E644" s="42"/>
      <c r="F644" s="42"/>
      <c r="G644" s="42"/>
      <c r="H644" s="42"/>
      <c r="I644" s="48"/>
      <c r="J644" s="42"/>
      <c r="K644" s="42"/>
      <c r="L644" s="42"/>
      <c r="M644" s="42"/>
      <c r="N644" s="53"/>
      <c r="O644" s="11" t="s">
        <v>77</v>
      </c>
      <c r="P644" s="11" t="s">
        <v>77</v>
      </c>
      <c r="Q644" s="11" t="s">
        <v>77</v>
      </c>
      <c r="R644" s="11" t="s">
        <v>77</v>
      </c>
      <c r="S644" s="11"/>
      <c r="T644" s="12" t="s">
        <v>77</v>
      </c>
      <c r="U644" s="12" t="s">
        <v>77</v>
      </c>
      <c r="V644" s="4"/>
      <c r="W644" s="11" t="s">
        <v>1489</v>
      </c>
      <c r="X644" s="11" t="s">
        <v>42</v>
      </c>
      <c r="Y644" s="11" t="s">
        <v>1501</v>
      </c>
      <c r="Z644" s="11">
        <v>0.2</v>
      </c>
      <c r="AA644" s="11"/>
      <c r="AB644" s="12" t="s">
        <v>1500</v>
      </c>
      <c r="AC644" s="12">
        <v>47595</v>
      </c>
      <c r="AD644" s="12" t="s">
        <v>124</v>
      </c>
      <c r="AE644" s="42"/>
      <c r="AF644" s="42"/>
    </row>
    <row r="645" spans="1:32" ht="45" x14ac:dyDescent="0.25">
      <c r="A645" s="44"/>
      <c r="B645" s="42"/>
      <c r="C645" s="42"/>
      <c r="D645" s="42"/>
      <c r="E645" s="42"/>
      <c r="F645" s="42"/>
      <c r="G645" s="42"/>
      <c r="H645" s="42"/>
      <c r="I645" s="48"/>
      <c r="J645" s="42"/>
      <c r="K645" s="42"/>
      <c r="L645" s="42"/>
      <c r="M645" s="42"/>
      <c r="N645" s="53"/>
      <c r="O645" s="11" t="s">
        <v>635</v>
      </c>
      <c r="P645" s="11" t="s">
        <v>433</v>
      </c>
      <c r="Q645" s="20">
        <v>5760</v>
      </c>
      <c r="R645" s="11">
        <v>0.5</v>
      </c>
      <c r="S645" s="11"/>
      <c r="T645" s="12" t="s">
        <v>1529</v>
      </c>
      <c r="U645" s="12">
        <v>46829</v>
      </c>
      <c r="V645" s="13" t="s">
        <v>1542</v>
      </c>
      <c r="W645" s="11" t="s">
        <v>1493</v>
      </c>
      <c r="X645" s="11" t="s">
        <v>42</v>
      </c>
      <c r="Y645" s="11" t="s">
        <v>1503</v>
      </c>
      <c r="Z645" s="11">
        <v>0.2</v>
      </c>
      <c r="AA645" s="11"/>
      <c r="AB645" s="12" t="s">
        <v>1500</v>
      </c>
      <c r="AC645" s="12">
        <v>47595</v>
      </c>
      <c r="AD645" s="12" t="s">
        <v>124</v>
      </c>
      <c r="AE645" s="42"/>
      <c r="AF645" s="42"/>
    </row>
    <row r="646" spans="1:32" ht="23.85" customHeight="1" x14ac:dyDescent="0.25">
      <c r="A646" s="44">
        <v>213</v>
      </c>
      <c r="B646" s="42" t="s">
        <v>28</v>
      </c>
      <c r="C646" s="42" t="s">
        <v>1483</v>
      </c>
      <c r="D646" s="42">
        <v>284684</v>
      </c>
      <c r="E646" s="42" t="s">
        <v>1543</v>
      </c>
      <c r="F646" s="42" t="s">
        <v>31</v>
      </c>
      <c r="G646" s="42" t="s">
        <v>68</v>
      </c>
      <c r="H646" s="42" t="s">
        <v>1544</v>
      </c>
      <c r="I646" s="48" t="s">
        <v>1545</v>
      </c>
      <c r="J646" s="42" t="s">
        <v>35</v>
      </c>
      <c r="K646" s="42"/>
      <c r="L646" s="52">
        <v>44859</v>
      </c>
      <c r="M646" s="52">
        <v>50703</v>
      </c>
      <c r="N646" s="42" t="s">
        <v>92</v>
      </c>
      <c r="O646" s="11" t="s">
        <v>624</v>
      </c>
      <c r="P646" s="11" t="s">
        <v>156</v>
      </c>
      <c r="Q646" s="20" t="s">
        <v>1546</v>
      </c>
      <c r="R646" s="11">
        <v>0.5</v>
      </c>
      <c r="S646" s="11"/>
      <c r="T646" s="12" t="s">
        <v>1529</v>
      </c>
      <c r="U646" s="12">
        <v>46829</v>
      </c>
      <c r="V646" s="13" t="s">
        <v>1547</v>
      </c>
      <c r="W646" s="11" t="s">
        <v>1489</v>
      </c>
      <c r="X646" s="11" t="s">
        <v>42</v>
      </c>
      <c r="Y646" s="11" t="s">
        <v>1499</v>
      </c>
      <c r="Z646" s="11">
        <v>0.2</v>
      </c>
      <c r="AA646" s="11"/>
      <c r="AB646" s="12" t="s">
        <v>1500</v>
      </c>
      <c r="AC646" s="12">
        <v>47595</v>
      </c>
      <c r="AD646" s="12" t="s">
        <v>124</v>
      </c>
      <c r="AE646" s="42"/>
      <c r="AF646" s="43" t="s">
        <v>45</v>
      </c>
    </row>
    <row r="647" spans="1:32" ht="25.5" x14ac:dyDescent="0.25">
      <c r="A647" s="44"/>
      <c r="B647" s="42"/>
      <c r="C647" s="42"/>
      <c r="D647" s="42"/>
      <c r="E647" s="42"/>
      <c r="F647" s="42"/>
      <c r="G647" s="42"/>
      <c r="H647" s="42"/>
      <c r="I647" s="48"/>
      <c r="J647" s="42"/>
      <c r="K647" s="42"/>
      <c r="L647" s="42"/>
      <c r="M647" s="42"/>
      <c r="N647" s="42"/>
      <c r="O647" s="11" t="s">
        <v>77</v>
      </c>
      <c r="P647" s="11" t="s">
        <v>77</v>
      </c>
      <c r="Q647" s="11" t="s">
        <v>77</v>
      </c>
      <c r="R647" s="11" t="s">
        <v>77</v>
      </c>
      <c r="S647" s="11"/>
      <c r="T647" s="12" t="s">
        <v>77</v>
      </c>
      <c r="U647" s="12" t="s">
        <v>77</v>
      </c>
      <c r="V647" s="4"/>
      <c r="W647" s="11" t="s">
        <v>1489</v>
      </c>
      <c r="X647" s="11" t="s">
        <v>42</v>
      </c>
      <c r="Y647" s="11" t="s">
        <v>1501</v>
      </c>
      <c r="Z647" s="11">
        <v>0.2</v>
      </c>
      <c r="AA647" s="11"/>
      <c r="AB647" s="12" t="s">
        <v>1500</v>
      </c>
      <c r="AC647" s="12">
        <v>47595</v>
      </c>
      <c r="AD647" s="12" t="s">
        <v>124</v>
      </c>
      <c r="AE647" s="42"/>
      <c r="AF647" s="42"/>
    </row>
    <row r="648" spans="1:32" ht="45" x14ac:dyDescent="0.25">
      <c r="A648" s="44"/>
      <c r="B648" s="42"/>
      <c r="C648" s="42"/>
      <c r="D648" s="42"/>
      <c r="E648" s="42"/>
      <c r="F648" s="42"/>
      <c r="G648" s="42"/>
      <c r="H648" s="42"/>
      <c r="I648" s="48"/>
      <c r="J648" s="42"/>
      <c r="K648" s="42"/>
      <c r="L648" s="42"/>
      <c r="M648" s="42"/>
      <c r="N648" s="42"/>
      <c r="O648" s="11" t="s">
        <v>635</v>
      </c>
      <c r="P648" s="11" t="s">
        <v>156</v>
      </c>
      <c r="Q648" s="20">
        <v>2032</v>
      </c>
      <c r="R648" s="11">
        <v>0.5</v>
      </c>
      <c r="S648" s="11"/>
      <c r="T648" s="12" t="s">
        <v>1529</v>
      </c>
      <c r="U648" s="12">
        <v>46829</v>
      </c>
      <c r="V648" s="13" t="s">
        <v>1548</v>
      </c>
      <c r="W648" s="11" t="s">
        <v>1493</v>
      </c>
      <c r="X648" s="11" t="s">
        <v>42</v>
      </c>
      <c r="Y648" s="11" t="s">
        <v>1503</v>
      </c>
      <c r="Z648" s="11">
        <v>0.2</v>
      </c>
      <c r="AA648" s="11"/>
      <c r="AB648" s="12" t="s">
        <v>1500</v>
      </c>
      <c r="AC648" s="12">
        <v>47595</v>
      </c>
      <c r="AD648" s="12" t="s">
        <v>124</v>
      </c>
      <c r="AE648" s="42"/>
      <c r="AF648" s="42"/>
    </row>
    <row r="649" spans="1:32" ht="23.85" customHeight="1" x14ac:dyDescent="0.25">
      <c r="A649" s="44">
        <v>214</v>
      </c>
      <c r="B649" s="42" t="s">
        <v>28</v>
      </c>
      <c r="C649" s="42" t="s">
        <v>1483</v>
      </c>
      <c r="D649" s="42">
        <v>284684</v>
      </c>
      <c r="E649" s="42" t="s">
        <v>1549</v>
      </c>
      <c r="F649" s="42" t="s">
        <v>31</v>
      </c>
      <c r="G649" s="42" t="s">
        <v>68</v>
      </c>
      <c r="H649" s="42" t="s">
        <v>137</v>
      </c>
      <c r="I649" s="48" t="s">
        <v>1550</v>
      </c>
      <c r="J649" s="42" t="s">
        <v>71</v>
      </c>
      <c r="K649" s="42"/>
      <c r="L649" s="52">
        <v>45596</v>
      </c>
      <c r="M649" s="52">
        <v>48518</v>
      </c>
      <c r="N649" s="53" t="s">
        <v>1551</v>
      </c>
      <c r="O649" s="11" t="s">
        <v>624</v>
      </c>
      <c r="P649" s="11" t="s">
        <v>84</v>
      </c>
      <c r="Q649" s="20" t="s">
        <v>1552</v>
      </c>
      <c r="R649" s="11">
        <v>0.5</v>
      </c>
      <c r="S649" s="11"/>
      <c r="T649" s="12" t="s">
        <v>1529</v>
      </c>
      <c r="U649" s="12">
        <v>46829</v>
      </c>
      <c r="V649" s="13" t="s">
        <v>1553</v>
      </c>
      <c r="W649" s="11" t="s">
        <v>1489</v>
      </c>
      <c r="X649" s="11" t="s">
        <v>42</v>
      </c>
      <c r="Y649" s="11" t="s">
        <v>1499</v>
      </c>
      <c r="Z649" s="11">
        <v>0.2</v>
      </c>
      <c r="AA649" s="11"/>
      <c r="AB649" s="12" t="s">
        <v>1500</v>
      </c>
      <c r="AC649" s="12">
        <v>47595</v>
      </c>
      <c r="AD649" s="12" t="s">
        <v>124</v>
      </c>
      <c r="AE649" s="42"/>
      <c r="AF649" s="43" t="s">
        <v>45</v>
      </c>
    </row>
    <row r="650" spans="1:32" ht="25.5" x14ac:dyDescent="0.25">
      <c r="A650" s="44"/>
      <c r="B650" s="42"/>
      <c r="C650" s="42"/>
      <c r="D650" s="42"/>
      <c r="E650" s="42"/>
      <c r="F650" s="42"/>
      <c r="G650" s="42"/>
      <c r="H650" s="42"/>
      <c r="I650" s="48"/>
      <c r="J650" s="42"/>
      <c r="K650" s="42"/>
      <c r="L650" s="42"/>
      <c r="M650" s="42"/>
      <c r="N650" s="53"/>
      <c r="O650" s="11" t="s">
        <v>77</v>
      </c>
      <c r="P650" s="11" t="s">
        <v>77</v>
      </c>
      <c r="Q650" s="11" t="s">
        <v>77</v>
      </c>
      <c r="R650" s="11" t="s">
        <v>77</v>
      </c>
      <c r="S650" s="11"/>
      <c r="T650" s="12" t="s">
        <v>77</v>
      </c>
      <c r="U650" s="12" t="s">
        <v>77</v>
      </c>
      <c r="V650" s="4"/>
      <c r="W650" s="11" t="s">
        <v>1489</v>
      </c>
      <c r="X650" s="11" t="s">
        <v>42</v>
      </c>
      <c r="Y650" s="11" t="s">
        <v>1501</v>
      </c>
      <c r="Z650" s="11">
        <v>0.2</v>
      </c>
      <c r="AA650" s="11"/>
      <c r="AB650" s="12" t="s">
        <v>1500</v>
      </c>
      <c r="AC650" s="12">
        <v>47595</v>
      </c>
      <c r="AD650" s="12" t="s">
        <v>124</v>
      </c>
      <c r="AE650" s="42"/>
      <c r="AF650" s="42"/>
    </row>
    <row r="651" spans="1:32" ht="45" x14ac:dyDescent="0.25">
      <c r="A651" s="44"/>
      <c r="B651" s="42"/>
      <c r="C651" s="42"/>
      <c r="D651" s="42"/>
      <c r="E651" s="42"/>
      <c r="F651" s="42"/>
      <c r="G651" s="42"/>
      <c r="H651" s="42"/>
      <c r="I651" s="48"/>
      <c r="J651" s="42"/>
      <c r="K651" s="42"/>
      <c r="L651" s="42"/>
      <c r="M651" s="42"/>
      <c r="N651" s="53"/>
      <c r="O651" s="11" t="s">
        <v>635</v>
      </c>
      <c r="P651" s="11" t="s">
        <v>84</v>
      </c>
      <c r="Q651" s="20">
        <v>52104</v>
      </c>
      <c r="R651" s="11">
        <v>0.5</v>
      </c>
      <c r="S651" s="11"/>
      <c r="T651" s="12" t="s">
        <v>1529</v>
      </c>
      <c r="U651" s="12">
        <v>46829</v>
      </c>
      <c r="V651" s="13" t="s">
        <v>1554</v>
      </c>
      <c r="W651" s="11" t="s">
        <v>1493</v>
      </c>
      <c r="X651" s="11" t="s">
        <v>42</v>
      </c>
      <c r="Y651" s="11" t="s">
        <v>1503</v>
      </c>
      <c r="Z651" s="11">
        <v>0.2</v>
      </c>
      <c r="AA651" s="11"/>
      <c r="AB651" s="12" t="s">
        <v>1500</v>
      </c>
      <c r="AC651" s="12">
        <v>47595</v>
      </c>
      <c r="AD651" s="12" t="s">
        <v>124</v>
      </c>
      <c r="AE651" s="42"/>
      <c r="AF651" s="42"/>
    </row>
    <row r="652" spans="1:32" ht="23.85" customHeight="1" x14ac:dyDescent="0.25">
      <c r="A652" s="44">
        <v>215</v>
      </c>
      <c r="B652" s="42" t="s">
        <v>28</v>
      </c>
      <c r="C652" s="42" t="s">
        <v>1483</v>
      </c>
      <c r="D652" s="42">
        <v>284684</v>
      </c>
      <c r="E652" s="42" t="s">
        <v>1555</v>
      </c>
      <c r="F652" s="42" t="s">
        <v>31</v>
      </c>
      <c r="G652" s="42" t="s">
        <v>68</v>
      </c>
      <c r="H652" s="42" t="s">
        <v>137</v>
      </c>
      <c r="I652" s="48" t="s">
        <v>1556</v>
      </c>
      <c r="J652" s="42" t="s">
        <v>71</v>
      </c>
      <c r="K652" s="42"/>
      <c r="L652" s="52">
        <v>45596</v>
      </c>
      <c r="M652" s="52">
        <v>48518</v>
      </c>
      <c r="N652" s="53" t="s">
        <v>1557</v>
      </c>
      <c r="O652" s="11" t="s">
        <v>624</v>
      </c>
      <c r="P652" s="11" t="s">
        <v>84</v>
      </c>
      <c r="Q652" s="20" t="s">
        <v>1558</v>
      </c>
      <c r="R652" s="11">
        <v>0.5</v>
      </c>
      <c r="S652" s="11"/>
      <c r="T652" s="12" t="s">
        <v>844</v>
      </c>
      <c r="U652" s="12">
        <v>46343</v>
      </c>
      <c r="V652" s="13" t="s">
        <v>1559</v>
      </c>
      <c r="W652" s="11" t="s">
        <v>1489</v>
      </c>
      <c r="X652" s="11" t="s">
        <v>42</v>
      </c>
      <c r="Y652" s="11" t="s">
        <v>1499</v>
      </c>
      <c r="Z652" s="11">
        <v>0.2</v>
      </c>
      <c r="AA652" s="11"/>
      <c r="AB652" s="12" t="s">
        <v>1500</v>
      </c>
      <c r="AC652" s="12">
        <v>47595</v>
      </c>
      <c r="AD652" s="12" t="s">
        <v>124</v>
      </c>
      <c r="AE652" s="42"/>
      <c r="AF652" s="43" t="s">
        <v>45</v>
      </c>
    </row>
    <row r="653" spans="1:32" ht="25.5" x14ac:dyDescent="0.25">
      <c r="A653" s="44"/>
      <c r="B653" s="42"/>
      <c r="C653" s="42"/>
      <c r="D653" s="42"/>
      <c r="E653" s="42"/>
      <c r="F653" s="42"/>
      <c r="G653" s="42"/>
      <c r="H653" s="42"/>
      <c r="I653" s="48"/>
      <c r="J653" s="42"/>
      <c r="K653" s="42"/>
      <c r="L653" s="42"/>
      <c r="M653" s="42"/>
      <c r="N653" s="53"/>
      <c r="O653" s="11" t="s">
        <v>77</v>
      </c>
      <c r="P653" s="11" t="s">
        <v>77</v>
      </c>
      <c r="Q653" s="11" t="s">
        <v>77</v>
      </c>
      <c r="R653" s="11" t="s">
        <v>77</v>
      </c>
      <c r="S653" s="11"/>
      <c r="T653" s="12" t="s">
        <v>77</v>
      </c>
      <c r="U653" s="12" t="s">
        <v>77</v>
      </c>
      <c r="V653" s="4"/>
      <c r="W653" s="11" t="s">
        <v>1489</v>
      </c>
      <c r="X653" s="11" t="s">
        <v>42</v>
      </c>
      <c r="Y653" s="11" t="s">
        <v>1501</v>
      </c>
      <c r="Z653" s="11">
        <v>0.2</v>
      </c>
      <c r="AA653" s="11"/>
      <c r="AB653" s="12" t="s">
        <v>1500</v>
      </c>
      <c r="AC653" s="12">
        <v>47595</v>
      </c>
      <c r="AD653" s="12" t="s">
        <v>124</v>
      </c>
      <c r="AE653" s="42"/>
      <c r="AF653" s="42"/>
    </row>
    <row r="654" spans="1:32" ht="45" x14ac:dyDescent="0.25">
      <c r="A654" s="44"/>
      <c r="B654" s="42"/>
      <c r="C654" s="42"/>
      <c r="D654" s="42"/>
      <c r="E654" s="42"/>
      <c r="F654" s="42"/>
      <c r="G654" s="42"/>
      <c r="H654" s="42"/>
      <c r="I654" s="48"/>
      <c r="J654" s="42"/>
      <c r="K654" s="42"/>
      <c r="L654" s="42"/>
      <c r="M654" s="42"/>
      <c r="N654" s="53"/>
      <c r="O654" s="11" t="s">
        <v>635</v>
      </c>
      <c r="P654" s="11" t="s">
        <v>84</v>
      </c>
      <c r="Q654" s="20">
        <v>44468</v>
      </c>
      <c r="R654" s="11">
        <v>0.5</v>
      </c>
      <c r="S654" s="11"/>
      <c r="T654" s="12" t="s">
        <v>844</v>
      </c>
      <c r="U654" s="12">
        <v>46343</v>
      </c>
      <c r="V654" s="13" t="s">
        <v>1560</v>
      </c>
      <c r="W654" s="11" t="s">
        <v>1493</v>
      </c>
      <c r="X654" s="11" t="s">
        <v>42</v>
      </c>
      <c r="Y654" s="11" t="s">
        <v>1503</v>
      </c>
      <c r="Z654" s="11">
        <v>0.2</v>
      </c>
      <c r="AA654" s="11"/>
      <c r="AB654" s="12" t="s">
        <v>1500</v>
      </c>
      <c r="AC654" s="12">
        <v>47595</v>
      </c>
      <c r="AD654" s="12" t="s">
        <v>124</v>
      </c>
      <c r="AE654" s="42"/>
      <c r="AF654" s="42"/>
    </row>
    <row r="655" spans="1:32" ht="23.85" customHeight="1" x14ac:dyDescent="0.25">
      <c r="A655" s="44">
        <v>216</v>
      </c>
      <c r="B655" s="42" t="s">
        <v>28</v>
      </c>
      <c r="C655" s="42" t="s">
        <v>1483</v>
      </c>
      <c r="D655" s="42">
        <v>284684</v>
      </c>
      <c r="E655" s="42" t="s">
        <v>1561</v>
      </c>
      <c r="F655" s="42" t="s">
        <v>31</v>
      </c>
      <c r="G655" s="42" t="s">
        <v>107</v>
      </c>
      <c r="H655" s="42" t="s">
        <v>137</v>
      </c>
      <c r="I655" s="48" t="s">
        <v>1562</v>
      </c>
      <c r="J655" s="42" t="s">
        <v>71</v>
      </c>
      <c r="K655" s="42"/>
      <c r="L655" s="52">
        <v>45596</v>
      </c>
      <c r="M655" s="52">
        <v>48518</v>
      </c>
      <c r="N655" s="53" t="s">
        <v>1563</v>
      </c>
      <c r="O655" s="11" t="s">
        <v>1011</v>
      </c>
      <c r="P655" s="11" t="s">
        <v>84</v>
      </c>
      <c r="Q655" s="11">
        <v>1791</v>
      </c>
      <c r="R655" s="11">
        <v>0.2</v>
      </c>
      <c r="S655" s="11"/>
      <c r="T655" s="12" t="s">
        <v>1507</v>
      </c>
      <c r="U655" s="12">
        <v>46102</v>
      </c>
      <c r="V655" s="25" t="s">
        <v>1564</v>
      </c>
      <c r="W655" s="11" t="s">
        <v>1489</v>
      </c>
      <c r="X655" s="11" t="s">
        <v>42</v>
      </c>
      <c r="Y655" s="11" t="s">
        <v>1499</v>
      </c>
      <c r="Z655" s="11">
        <v>0.2</v>
      </c>
      <c r="AA655" s="11"/>
      <c r="AB655" s="12" t="s">
        <v>1500</v>
      </c>
      <c r="AC655" s="12">
        <v>47595</v>
      </c>
      <c r="AD655" s="12" t="s">
        <v>124</v>
      </c>
      <c r="AE655" s="42"/>
      <c r="AF655" s="43" t="s">
        <v>45</v>
      </c>
    </row>
    <row r="656" spans="1:32" ht="45" x14ac:dyDescent="0.25">
      <c r="A656" s="44"/>
      <c r="B656" s="42"/>
      <c r="C656" s="42"/>
      <c r="D656" s="42"/>
      <c r="E656" s="42"/>
      <c r="F656" s="42"/>
      <c r="G656" s="42"/>
      <c r="H656" s="42"/>
      <c r="I656" s="48"/>
      <c r="J656" s="42"/>
      <c r="K656" s="42"/>
      <c r="L656" s="42"/>
      <c r="M656" s="42"/>
      <c r="N656" s="53"/>
      <c r="O656" s="11" t="s">
        <v>1011</v>
      </c>
      <c r="P656" s="11" t="s">
        <v>84</v>
      </c>
      <c r="Q656" s="11" t="s">
        <v>170</v>
      </c>
      <c r="R656" s="11">
        <v>0.2</v>
      </c>
      <c r="S656" s="11"/>
      <c r="T656" s="12" t="s">
        <v>1507</v>
      </c>
      <c r="U656" s="12">
        <v>46102</v>
      </c>
      <c r="V656" s="25" t="s">
        <v>1565</v>
      </c>
      <c r="W656" s="11" t="s">
        <v>1489</v>
      </c>
      <c r="X656" s="11" t="s">
        <v>42</v>
      </c>
      <c r="Y656" s="11" t="s">
        <v>1501</v>
      </c>
      <c r="Z656" s="11">
        <v>0.2</v>
      </c>
      <c r="AA656" s="11"/>
      <c r="AB656" s="12" t="s">
        <v>1500</v>
      </c>
      <c r="AC656" s="12">
        <v>47595</v>
      </c>
      <c r="AD656" s="12" t="s">
        <v>124</v>
      </c>
      <c r="AE656" s="42"/>
      <c r="AF656" s="42"/>
    </row>
    <row r="657" spans="1:32" ht="45" x14ac:dyDescent="0.25">
      <c r="A657" s="44"/>
      <c r="B657" s="42"/>
      <c r="C657" s="42"/>
      <c r="D657" s="42"/>
      <c r="E657" s="42"/>
      <c r="F657" s="42"/>
      <c r="G657" s="42"/>
      <c r="H657" s="42"/>
      <c r="I657" s="48"/>
      <c r="J657" s="42"/>
      <c r="K657" s="42"/>
      <c r="L657" s="42"/>
      <c r="M657" s="42"/>
      <c r="N657" s="53"/>
      <c r="O657" s="11" t="s">
        <v>1021</v>
      </c>
      <c r="P657" s="11" t="s">
        <v>84</v>
      </c>
      <c r="Q657" s="11" t="s">
        <v>1566</v>
      </c>
      <c r="R657" s="11">
        <v>0.2</v>
      </c>
      <c r="S657" s="11"/>
      <c r="T657" s="12" t="s">
        <v>1512</v>
      </c>
      <c r="U657" s="12">
        <v>46104</v>
      </c>
      <c r="V657" s="25" t="s">
        <v>1567</v>
      </c>
      <c r="W657" s="11" t="s">
        <v>1493</v>
      </c>
      <c r="X657" s="11" t="s">
        <v>42</v>
      </c>
      <c r="Y657" s="11" t="s">
        <v>1503</v>
      </c>
      <c r="Z657" s="11">
        <v>0.2</v>
      </c>
      <c r="AA657" s="11"/>
      <c r="AB657" s="12" t="s">
        <v>1500</v>
      </c>
      <c r="AC657" s="12">
        <v>47595</v>
      </c>
      <c r="AD657" s="12" t="s">
        <v>124</v>
      </c>
      <c r="AE657" s="42"/>
      <c r="AF657" s="42"/>
    </row>
    <row r="658" spans="1:32" ht="23.85" customHeight="1" x14ac:dyDescent="0.25">
      <c r="A658" s="44">
        <v>217</v>
      </c>
      <c r="B658" s="42" t="s">
        <v>28</v>
      </c>
      <c r="C658" s="42" t="s">
        <v>1483</v>
      </c>
      <c r="D658" s="42">
        <v>284684</v>
      </c>
      <c r="E658" s="42" t="s">
        <v>1568</v>
      </c>
      <c r="F658" s="42" t="s">
        <v>31</v>
      </c>
      <c r="G658" s="42" t="s">
        <v>68</v>
      </c>
      <c r="H658" s="45" t="s">
        <v>1544</v>
      </c>
      <c r="I658" s="48" t="s">
        <v>1569</v>
      </c>
      <c r="J658" s="42" t="s">
        <v>35</v>
      </c>
      <c r="K658" s="42"/>
      <c r="L658" s="52">
        <v>43824</v>
      </c>
      <c r="M658" s="52">
        <v>49668</v>
      </c>
      <c r="N658" s="45" t="s">
        <v>92</v>
      </c>
      <c r="O658" s="11" t="s">
        <v>624</v>
      </c>
      <c r="P658" s="11" t="s">
        <v>433</v>
      </c>
      <c r="Q658" s="20" t="s">
        <v>1570</v>
      </c>
      <c r="R658" s="11">
        <v>0.5</v>
      </c>
      <c r="S658" s="11"/>
      <c r="T658" s="12" t="s">
        <v>1529</v>
      </c>
      <c r="U658" s="12">
        <v>46829</v>
      </c>
      <c r="V658" s="13" t="s">
        <v>1571</v>
      </c>
      <c r="W658" s="11" t="s">
        <v>1489</v>
      </c>
      <c r="X658" s="11" t="s">
        <v>42</v>
      </c>
      <c r="Y658" s="11" t="s">
        <v>1490</v>
      </c>
      <c r="Z658" s="11">
        <v>0.2</v>
      </c>
      <c r="AA658" s="11"/>
      <c r="AB658" s="12" t="s">
        <v>634</v>
      </c>
      <c r="AC658" s="12">
        <v>47598</v>
      </c>
      <c r="AD658" s="12" t="s">
        <v>124</v>
      </c>
      <c r="AE658" s="42"/>
      <c r="AF658" s="43" t="s">
        <v>45</v>
      </c>
    </row>
    <row r="659" spans="1:32" ht="25.5" x14ac:dyDescent="0.25">
      <c r="A659" s="44"/>
      <c r="B659" s="42"/>
      <c r="C659" s="42"/>
      <c r="D659" s="42"/>
      <c r="E659" s="42"/>
      <c r="F659" s="42"/>
      <c r="G659" s="42"/>
      <c r="H659" s="42"/>
      <c r="I659" s="48"/>
      <c r="J659" s="42"/>
      <c r="K659" s="42"/>
      <c r="L659" s="42"/>
      <c r="M659" s="42"/>
      <c r="N659" s="42"/>
      <c r="O659" s="11" t="s">
        <v>77</v>
      </c>
      <c r="P659" s="11" t="s">
        <v>77</v>
      </c>
      <c r="Q659" s="11" t="s">
        <v>77</v>
      </c>
      <c r="R659" s="11" t="s">
        <v>77</v>
      </c>
      <c r="S659" s="11"/>
      <c r="T659" s="12" t="s">
        <v>77</v>
      </c>
      <c r="U659" s="12" t="s">
        <v>77</v>
      </c>
      <c r="V659" s="4"/>
      <c r="W659" s="11" t="s">
        <v>1489</v>
      </c>
      <c r="X659" s="11" t="s">
        <v>42</v>
      </c>
      <c r="Y659" s="11" t="s">
        <v>1491</v>
      </c>
      <c r="Z659" s="11">
        <v>0.2</v>
      </c>
      <c r="AA659" s="11"/>
      <c r="AB659" s="12" t="s">
        <v>634</v>
      </c>
      <c r="AC659" s="12">
        <v>47598</v>
      </c>
      <c r="AD659" s="12" t="s">
        <v>124</v>
      </c>
      <c r="AE659" s="42"/>
      <c r="AF659" s="42"/>
    </row>
    <row r="660" spans="1:32" ht="45" x14ac:dyDescent="0.25">
      <c r="A660" s="44"/>
      <c r="B660" s="42"/>
      <c r="C660" s="42"/>
      <c r="D660" s="42"/>
      <c r="E660" s="42"/>
      <c r="F660" s="42"/>
      <c r="G660" s="42"/>
      <c r="H660" s="46"/>
      <c r="I660" s="48"/>
      <c r="J660" s="42"/>
      <c r="K660" s="42"/>
      <c r="L660" s="42"/>
      <c r="M660" s="42"/>
      <c r="N660" s="46"/>
      <c r="O660" s="11" t="s">
        <v>635</v>
      </c>
      <c r="P660" s="11" t="s">
        <v>433</v>
      </c>
      <c r="Q660" s="20">
        <v>5833</v>
      </c>
      <c r="R660" s="11">
        <v>0.5</v>
      </c>
      <c r="S660" s="11"/>
      <c r="T660" s="12" t="s">
        <v>1529</v>
      </c>
      <c r="U660" s="12">
        <v>46829</v>
      </c>
      <c r="V660" s="13" t="s">
        <v>1572</v>
      </c>
      <c r="W660" s="11" t="s">
        <v>1493</v>
      </c>
      <c r="X660" s="11" t="s">
        <v>42</v>
      </c>
      <c r="Y660" s="11" t="s">
        <v>1494</v>
      </c>
      <c r="Z660" s="11">
        <v>0.2</v>
      </c>
      <c r="AA660" s="11"/>
      <c r="AB660" s="12" t="s">
        <v>634</v>
      </c>
      <c r="AC660" s="12">
        <v>47598</v>
      </c>
      <c r="AD660" s="12" t="s">
        <v>124</v>
      </c>
      <c r="AE660" s="42"/>
      <c r="AF660" s="42"/>
    </row>
    <row r="661" spans="1:32" ht="23.85" customHeight="1" x14ac:dyDescent="0.25">
      <c r="A661" s="44">
        <v>218</v>
      </c>
      <c r="B661" s="42" t="s">
        <v>28</v>
      </c>
      <c r="C661" s="42" t="s">
        <v>1483</v>
      </c>
      <c r="D661" s="42">
        <v>284684</v>
      </c>
      <c r="E661" s="42" t="s">
        <v>1573</v>
      </c>
      <c r="F661" s="42" t="s">
        <v>31</v>
      </c>
      <c r="G661" s="42" t="s">
        <v>32</v>
      </c>
      <c r="H661" s="42" t="s">
        <v>137</v>
      </c>
      <c r="I661" s="48" t="s">
        <v>1574</v>
      </c>
      <c r="J661" s="42" t="s">
        <v>71</v>
      </c>
      <c r="K661" s="42"/>
      <c r="L661" s="52">
        <v>45596</v>
      </c>
      <c r="M661" s="52">
        <v>48518</v>
      </c>
      <c r="N661" s="53" t="s">
        <v>1575</v>
      </c>
      <c r="O661" s="11" t="s">
        <v>624</v>
      </c>
      <c r="P661" s="11" t="s">
        <v>84</v>
      </c>
      <c r="Q661" s="20" t="s">
        <v>1576</v>
      </c>
      <c r="R661" s="11">
        <v>0.5</v>
      </c>
      <c r="S661" s="11"/>
      <c r="T661" s="12" t="s">
        <v>1577</v>
      </c>
      <c r="U661" s="12">
        <v>46344</v>
      </c>
      <c r="V661" s="13" t="s">
        <v>1578</v>
      </c>
      <c r="W661" s="11" t="s">
        <v>1489</v>
      </c>
      <c r="X661" s="11" t="s">
        <v>42</v>
      </c>
      <c r="Y661" s="11" t="s">
        <v>1490</v>
      </c>
      <c r="Z661" s="11">
        <v>0.2</v>
      </c>
      <c r="AA661" s="11"/>
      <c r="AB661" s="12" t="s">
        <v>634</v>
      </c>
      <c r="AC661" s="12">
        <v>47598</v>
      </c>
      <c r="AD661" s="12" t="s">
        <v>124</v>
      </c>
      <c r="AE661" s="42"/>
      <c r="AF661" s="43" t="s">
        <v>45</v>
      </c>
    </row>
    <row r="662" spans="1:32" ht="45" x14ac:dyDescent="0.25">
      <c r="A662" s="44"/>
      <c r="B662" s="42"/>
      <c r="C662" s="42"/>
      <c r="D662" s="42"/>
      <c r="E662" s="42"/>
      <c r="F662" s="42"/>
      <c r="G662" s="42"/>
      <c r="H662" s="42"/>
      <c r="I662" s="48"/>
      <c r="J662" s="42"/>
      <c r="K662" s="42"/>
      <c r="L662" s="42"/>
      <c r="M662" s="42"/>
      <c r="N662" s="53"/>
      <c r="O662" s="11" t="s">
        <v>624</v>
      </c>
      <c r="P662" s="11" t="s">
        <v>84</v>
      </c>
      <c r="Q662" s="20" t="s">
        <v>1579</v>
      </c>
      <c r="R662" s="11">
        <v>0.5</v>
      </c>
      <c r="S662" s="11"/>
      <c r="T662" s="12" t="s">
        <v>1577</v>
      </c>
      <c r="U662" s="12">
        <v>46344</v>
      </c>
      <c r="V662" s="13" t="s">
        <v>1580</v>
      </c>
      <c r="W662" s="11" t="s">
        <v>1489</v>
      </c>
      <c r="X662" s="11" t="s">
        <v>42</v>
      </c>
      <c r="Y662" s="11" t="s">
        <v>1491</v>
      </c>
      <c r="Z662" s="11">
        <v>0.2</v>
      </c>
      <c r="AA662" s="11"/>
      <c r="AB662" s="12" t="s">
        <v>634</v>
      </c>
      <c r="AC662" s="12">
        <v>47598</v>
      </c>
      <c r="AD662" s="12" t="s">
        <v>124</v>
      </c>
      <c r="AE662" s="42"/>
      <c r="AF662" s="42"/>
    </row>
    <row r="663" spans="1:32" ht="45" x14ac:dyDescent="0.25">
      <c r="A663" s="44"/>
      <c r="B663" s="42"/>
      <c r="C663" s="42"/>
      <c r="D663" s="42"/>
      <c r="E663" s="42"/>
      <c r="F663" s="42"/>
      <c r="G663" s="42"/>
      <c r="H663" s="42"/>
      <c r="I663" s="48"/>
      <c r="J663" s="42"/>
      <c r="K663" s="42"/>
      <c r="L663" s="42"/>
      <c r="M663" s="42"/>
      <c r="N663" s="53"/>
      <c r="O663" s="11" t="s">
        <v>635</v>
      </c>
      <c r="P663" s="11" t="s">
        <v>84</v>
      </c>
      <c r="Q663" s="20">
        <v>50787</v>
      </c>
      <c r="R663" s="11">
        <v>0.5</v>
      </c>
      <c r="S663" s="11"/>
      <c r="T663" s="12" t="s">
        <v>1577</v>
      </c>
      <c r="U663" s="12">
        <v>46344</v>
      </c>
      <c r="V663" s="13" t="s">
        <v>1581</v>
      </c>
      <c r="W663" s="11" t="s">
        <v>1493</v>
      </c>
      <c r="X663" s="11" t="s">
        <v>42</v>
      </c>
      <c r="Y663" s="11" t="s">
        <v>1494</v>
      </c>
      <c r="Z663" s="11">
        <v>0.2</v>
      </c>
      <c r="AA663" s="11"/>
      <c r="AB663" s="12" t="s">
        <v>634</v>
      </c>
      <c r="AC663" s="12">
        <v>47598</v>
      </c>
      <c r="AD663" s="12" t="s">
        <v>124</v>
      </c>
      <c r="AE663" s="42"/>
      <c r="AF663" s="42"/>
    </row>
    <row r="664" spans="1:32" ht="23.85" customHeight="1" x14ac:dyDescent="0.25">
      <c r="A664" s="44">
        <v>219</v>
      </c>
      <c r="B664" s="42" t="s">
        <v>28</v>
      </c>
      <c r="C664" s="42" t="s">
        <v>1483</v>
      </c>
      <c r="D664" s="42">
        <v>284684</v>
      </c>
      <c r="E664" s="42" t="s">
        <v>1582</v>
      </c>
      <c r="F664" s="42" t="s">
        <v>31</v>
      </c>
      <c r="G664" s="42" t="s">
        <v>90</v>
      </c>
      <c r="H664" s="42" t="s">
        <v>69</v>
      </c>
      <c r="I664" s="48" t="s">
        <v>1583</v>
      </c>
      <c r="J664" s="42" t="s">
        <v>71</v>
      </c>
      <c r="K664" s="42"/>
      <c r="L664" s="42" t="s">
        <v>1584</v>
      </c>
      <c r="M664" s="52">
        <v>47088</v>
      </c>
      <c r="N664" s="53" t="s">
        <v>1585</v>
      </c>
      <c r="O664" s="11" t="s">
        <v>1011</v>
      </c>
      <c r="P664" s="11" t="s">
        <v>74</v>
      </c>
      <c r="Q664" s="11">
        <v>1366</v>
      </c>
      <c r="R664" s="11">
        <v>0.2</v>
      </c>
      <c r="S664" s="11"/>
      <c r="T664" s="12" t="s">
        <v>1507</v>
      </c>
      <c r="U664" s="12">
        <v>46102</v>
      </c>
      <c r="V664" s="25" t="s">
        <v>1586</v>
      </c>
      <c r="W664" s="11" t="s">
        <v>1489</v>
      </c>
      <c r="X664" s="11" t="s">
        <v>42</v>
      </c>
      <c r="Y664" s="11" t="s">
        <v>1490</v>
      </c>
      <c r="Z664" s="11">
        <v>0.2</v>
      </c>
      <c r="AA664" s="11"/>
      <c r="AB664" s="12" t="s">
        <v>634</v>
      </c>
      <c r="AC664" s="12">
        <v>47598</v>
      </c>
      <c r="AD664" s="12" t="s">
        <v>124</v>
      </c>
      <c r="AE664" s="42"/>
      <c r="AF664" s="43" t="s">
        <v>45</v>
      </c>
    </row>
    <row r="665" spans="1:32" ht="45" x14ac:dyDescent="0.25">
      <c r="A665" s="44"/>
      <c r="B665" s="42"/>
      <c r="C665" s="42"/>
      <c r="D665" s="42"/>
      <c r="E665" s="42"/>
      <c r="F665" s="42"/>
      <c r="G665" s="42"/>
      <c r="H665" s="42"/>
      <c r="I665" s="48"/>
      <c r="J665" s="42"/>
      <c r="K665" s="42"/>
      <c r="L665" s="42"/>
      <c r="M665" s="42"/>
      <c r="N665" s="53"/>
      <c r="O665" s="11" t="s">
        <v>1011</v>
      </c>
      <c r="P665" s="11" t="s">
        <v>74</v>
      </c>
      <c r="Q665" s="11" t="s">
        <v>1587</v>
      </c>
      <c r="R665" s="11">
        <v>0.2</v>
      </c>
      <c r="S665" s="11"/>
      <c r="T665" s="12" t="s">
        <v>1507</v>
      </c>
      <c r="U665" s="12">
        <v>46102</v>
      </c>
      <c r="V665" s="25" t="s">
        <v>1588</v>
      </c>
      <c r="W665" s="11" t="s">
        <v>1489</v>
      </c>
      <c r="X665" s="11" t="s">
        <v>42</v>
      </c>
      <c r="Y665" s="11" t="s">
        <v>1491</v>
      </c>
      <c r="Z665" s="11">
        <v>0.2</v>
      </c>
      <c r="AA665" s="11"/>
      <c r="AB665" s="12" t="s">
        <v>634</v>
      </c>
      <c r="AC665" s="12">
        <v>47598</v>
      </c>
      <c r="AD665" s="12" t="s">
        <v>124</v>
      </c>
      <c r="AE665" s="42"/>
      <c r="AF665" s="42"/>
    </row>
    <row r="666" spans="1:32" ht="45" x14ac:dyDescent="0.25">
      <c r="A666" s="44"/>
      <c r="B666" s="42"/>
      <c r="C666" s="42"/>
      <c r="D666" s="42"/>
      <c r="E666" s="42"/>
      <c r="F666" s="42"/>
      <c r="G666" s="42"/>
      <c r="H666" s="42"/>
      <c r="I666" s="48"/>
      <c r="J666" s="42"/>
      <c r="K666" s="42"/>
      <c r="L666" s="42"/>
      <c r="M666" s="42"/>
      <c r="N666" s="53"/>
      <c r="O666" s="11" t="s">
        <v>1021</v>
      </c>
      <c r="P666" s="11" t="s">
        <v>74</v>
      </c>
      <c r="Q666" s="11" t="s">
        <v>1589</v>
      </c>
      <c r="R666" s="11">
        <v>0.2</v>
      </c>
      <c r="S666" s="11"/>
      <c r="T666" s="12" t="s">
        <v>1507</v>
      </c>
      <c r="U666" s="12">
        <v>46102</v>
      </c>
      <c r="V666" s="25" t="s">
        <v>1590</v>
      </c>
      <c r="W666" s="11" t="s">
        <v>1493</v>
      </c>
      <c r="X666" s="11" t="s">
        <v>42</v>
      </c>
      <c r="Y666" s="11" t="s">
        <v>1494</v>
      </c>
      <c r="Z666" s="11">
        <v>0.2</v>
      </c>
      <c r="AA666" s="11"/>
      <c r="AB666" s="12" t="s">
        <v>634</v>
      </c>
      <c r="AC666" s="12">
        <v>47598</v>
      </c>
      <c r="AD666" s="12" t="s">
        <v>124</v>
      </c>
      <c r="AE666" s="42"/>
      <c r="AF666" s="42"/>
    </row>
    <row r="667" spans="1:32" ht="23.85" customHeight="1" x14ac:dyDescent="0.25">
      <c r="A667" s="44">
        <v>220</v>
      </c>
      <c r="B667" s="42" t="s">
        <v>28</v>
      </c>
      <c r="C667" s="42" t="s">
        <v>1483</v>
      </c>
      <c r="D667" s="42">
        <v>284684</v>
      </c>
      <c r="E667" s="42" t="s">
        <v>1591</v>
      </c>
      <c r="F667" s="42" t="s">
        <v>31</v>
      </c>
      <c r="G667" s="42" t="s">
        <v>68</v>
      </c>
      <c r="H667" s="42" t="s">
        <v>69</v>
      </c>
      <c r="I667" s="48" t="s">
        <v>1592</v>
      </c>
      <c r="J667" s="42" t="s">
        <v>71</v>
      </c>
      <c r="K667" s="42"/>
      <c r="L667" s="42" t="s">
        <v>1593</v>
      </c>
      <c r="M667" s="52">
        <v>47084</v>
      </c>
      <c r="N667" s="53" t="s">
        <v>1594</v>
      </c>
      <c r="O667" s="11" t="s">
        <v>624</v>
      </c>
      <c r="P667" s="11" t="s">
        <v>84</v>
      </c>
      <c r="Q667" s="20" t="s">
        <v>1595</v>
      </c>
      <c r="R667" s="11">
        <v>0.5</v>
      </c>
      <c r="S667" s="11"/>
      <c r="T667" s="12" t="s">
        <v>1596</v>
      </c>
      <c r="U667" s="12">
        <v>46832</v>
      </c>
      <c r="V667" s="13" t="s">
        <v>1597</v>
      </c>
      <c r="W667" s="11" t="s">
        <v>1489</v>
      </c>
      <c r="X667" s="11" t="s">
        <v>42</v>
      </c>
      <c r="Y667" s="11" t="s">
        <v>1490</v>
      </c>
      <c r="Z667" s="11">
        <v>0.2</v>
      </c>
      <c r="AA667" s="11"/>
      <c r="AB667" s="12" t="s">
        <v>634</v>
      </c>
      <c r="AC667" s="12">
        <v>47598</v>
      </c>
      <c r="AD667" s="12" t="s">
        <v>124</v>
      </c>
      <c r="AE667" s="42"/>
      <c r="AF667" s="43" t="s">
        <v>45</v>
      </c>
    </row>
    <row r="668" spans="1:32" ht="25.5" x14ac:dyDescent="0.25">
      <c r="A668" s="44"/>
      <c r="B668" s="42"/>
      <c r="C668" s="42"/>
      <c r="D668" s="42"/>
      <c r="E668" s="42"/>
      <c r="F668" s="42"/>
      <c r="G668" s="42"/>
      <c r="H668" s="42"/>
      <c r="I668" s="48"/>
      <c r="J668" s="42"/>
      <c r="K668" s="42"/>
      <c r="L668" s="42"/>
      <c r="M668" s="42"/>
      <c r="N668" s="53"/>
      <c r="O668" s="11" t="s">
        <v>77</v>
      </c>
      <c r="P668" s="11" t="s">
        <v>77</v>
      </c>
      <c r="Q668" s="11" t="s">
        <v>77</v>
      </c>
      <c r="R668" s="11" t="s">
        <v>77</v>
      </c>
      <c r="S668" s="11"/>
      <c r="T668" s="12" t="s">
        <v>77</v>
      </c>
      <c r="U668" s="12" t="s">
        <v>77</v>
      </c>
      <c r="V668" s="4"/>
      <c r="W668" s="11" t="s">
        <v>1489</v>
      </c>
      <c r="X668" s="11" t="s">
        <v>42</v>
      </c>
      <c r="Y668" s="11" t="s">
        <v>1491</v>
      </c>
      <c r="Z668" s="11">
        <v>0.2</v>
      </c>
      <c r="AA668" s="11"/>
      <c r="AB668" s="12" t="s">
        <v>634</v>
      </c>
      <c r="AC668" s="12">
        <v>47598</v>
      </c>
      <c r="AD668" s="12" t="s">
        <v>124</v>
      </c>
      <c r="AE668" s="42"/>
      <c r="AF668" s="42"/>
    </row>
    <row r="669" spans="1:32" ht="45" x14ac:dyDescent="0.25">
      <c r="A669" s="44"/>
      <c r="B669" s="42"/>
      <c r="C669" s="42"/>
      <c r="D669" s="42"/>
      <c r="E669" s="42"/>
      <c r="F669" s="42"/>
      <c r="G669" s="42"/>
      <c r="H669" s="42"/>
      <c r="I669" s="48"/>
      <c r="J669" s="42"/>
      <c r="K669" s="42"/>
      <c r="L669" s="42"/>
      <c r="M669" s="42"/>
      <c r="N669" s="53"/>
      <c r="O669" s="11" t="s">
        <v>635</v>
      </c>
      <c r="P669" s="11" t="s">
        <v>84</v>
      </c>
      <c r="Q669" s="20">
        <v>21706</v>
      </c>
      <c r="R669" s="11">
        <v>0.5</v>
      </c>
      <c r="S669" s="11"/>
      <c r="T669" s="12" t="s">
        <v>1596</v>
      </c>
      <c r="U669" s="12">
        <v>46832</v>
      </c>
      <c r="V669" s="13" t="s">
        <v>1598</v>
      </c>
      <c r="W669" s="11" t="s">
        <v>1493</v>
      </c>
      <c r="X669" s="11" t="s">
        <v>42</v>
      </c>
      <c r="Y669" s="11" t="s">
        <v>1494</v>
      </c>
      <c r="Z669" s="11">
        <v>0.2</v>
      </c>
      <c r="AA669" s="11"/>
      <c r="AB669" s="12" t="s">
        <v>634</v>
      </c>
      <c r="AC669" s="12">
        <v>47598</v>
      </c>
      <c r="AD669" s="12" t="s">
        <v>124</v>
      </c>
      <c r="AE669" s="42"/>
      <c r="AF669" s="42"/>
    </row>
    <row r="670" spans="1:32" ht="23.85" customHeight="1" x14ac:dyDescent="0.25">
      <c r="A670" s="44">
        <v>221</v>
      </c>
      <c r="B670" s="42" t="s">
        <v>28</v>
      </c>
      <c r="C670" s="42" t="s">
        <v>1483</v>
      </c>
      <c r="D670" s="42">
        <v>284684</v>
      </c>
      <c r="E670" s="42" t="s">
        <v>1599</v>
      </c>
      <c r="F670" s="42" t="s">
        <v>31</v>
      </c>
      <c r="G670" s="42" t="s">
        <v>68</v>
      </c>
      <c r="H670" s="42" t="s">
        <v>33</v>
      </c>
      <c r="I670" s="48" t="s">
        <v>1600</v>
      </c>
      <c r="J670" s="42" t="s">
        <v>71</v>
      </c>
      <c r="K670" s="42"/>
      <c r="L670" s="52">
        <v>43824</v>
      </c>
      <c r="M670" s="52">
        <v>49668</v>
      </c>
      <c r="N670" s="42" t="s">
        <v>92</v>
      </c>
      <c r="O670" s="11" t="s">
        <v>624</v>
      </c>
      <c r="P670" s="11" t="s">
        <v>433</v>
      </c>
      <c r="Q670" s="20" t="s">
        <v>1601</v>
      </c>
      <c r="R670" s="11">
        <v>0.5</v>
      </c>
      <c r="S670" s="11"/>
      <c r="T670" s="12" t="s">
        <v>1577</v>
      </c>
      <c r="U670" s="12">
        <v>46344</v>
      </c>
      <c r="V670" s="13" t="s">
        <v>1602</v>
      </c>
      <c r="W670" s="11" t="s">
        <v>1489</v>
      </c>
      <c r="X670" s="11" t="s">
        <v>42</v>
      </c>
      <c r="Y670" s="11" t="s">
        <v>1490</v>
      </c>
      <c r="Z670" s="11">
        <v>0.2</v>
      </c>
      <c r="AA670" s="11"/>
      <c r="AB670" s="12" t="s">
        <v>634</v>
      </c>
      <c r="AC670" s="12">
        <v>47598</v>
      </c>
      <c r="AD670" s="12" t="s">
        <v>124</v>
      </c>
      <c r="AE670" s="42"/>
      <c r="AF670" s="43" t="s">
        <v>45</v>
      </c>
    </row>
    <row r="671" spans="1:32" ht="25.5" x14ac:dyDescent="0.25">
      <c r="A671" s="44"/>
      <c r="B671" s="42"/>
      <c r="C671" s="42"/>
      <c r="D671" s="42"/>
      <c r="E671" s="42"/>
      <c r="F671" s="42"/>
      <c r="G671" s="42"/>
      <c r="H671" s="42"/>
      <c r="I671" s="48"/>
      <c r="J671" s="42"/>
      <c r="K671" s="42"/>
      <c r="L671" s="42"/>
      <c r="M671" s="42"/>
      <c r="N671" s="42"/>
      <c r="O671" s="11" t="s">
        <v>77</v>
      </c>
      <c r="P671" s="11" t="s">
        <v>77</v>
      </c>
      <c r="Q671" s="11" t="s">
        <v>77</v>
      </c>
      <c r="R671" s="11" t="s">
        <v>77</v>
      </c>
      <c r="S671" s="11"/>
      <c r="T671" s="12" t="s">
        <v>77</v>
      </c>
      <c r="U671" s="12" t="s">
        <v>77</v>
      </c>
      <c r="V671" s="4"/>
      <c r="W671" s="11" t="s">
        <v>1489</v>
      </c>
      <c r="X671" s="11" t="s">
        <v>42</v>
      </c>
      <c r="Y671" s="11" t="s">
        <v>1491</v>
      </c>
      <c r="Z671" s="11">
        <v>0.2</v>
      </c>
      <c r="AA671" s="11"/>
      <c r="AB671" s="12" t="s">
        <v>634</v>
      </c>
      <c r="AC671" s="12">
        <v>47598</v>
      </c>
      <c r="AD671" s="12" t="s">
        <v>124</v>
      </c>
      <c r="AE671" s="42"/>
      <c r="AF671" s="42"/>
    </row>
    <row r="672" spans="1:32" ht="45" x14ac:dyDescent="0.25">
      <c r="A672" s="44"/>
      <c r="B672" s="42"/>
      <c r="C672" s="42"/>
      <c r="D672" s="42"/>
      <c r="E672" s="42"/>
      <c r="F672" s="42"/>
      <c r="G672" s="42"/>
      <c r="H672" s="42"/>
      <c r="I672" s="48"/>
      <c r="J672" s="42"/>
      <c r="K672" s="42"/>
      <c r="L672" s="42"/>
      <c r="M672" s="42"/>
      <c r="N672" s="42"/>
      <c r="O672" s="11" t="s">
        <v>635</v>
      </c>
      <c r="P672" s="11" t="s">
        <v>433</v>
      </c>
      <c r="Q672" s="20">
        <v>4658</v>
      </c>
      <c r="R672" s="11">
        <v>0.5</v>
      </c>
      <c r="S672" s="11"/>
      <c r="T672" s="12" t="s">
        <v>1577</v>
      </c>
      <c r="U672" s="12">
        <v>46344</v>
      </c>
      <c r="V672" s="13" t="s">
        <v>1603</v>
      </c>
      <c r="W672" s="11" t="s">
        <v>1493</v>
      </c>
      <c r="X672" s="11" t="s">
        <v>42</v>
      </c>
      <c r="Y672" s="11" t="s">
        <v>1494</v>
      </c>
      <c r="Z672" s="11">
        <v>0.2</v>
      </c>
      <c r="AA672" s="11"/>
      <c r="AB672" s="12" t="s">
        <v>634</v>
      </c>
      <c r="AC672" s="12">
        <v>47598</v>
      </c>
      <c r="AD672" s="12" t="s">
        <v>124</v>
      </c>
      <c r="AE672" s="42"/>
      <c r="AF672" s="42"/>
    </row>
    <row r="673" spans="1:32" ht="23.85" customHeight="1" x14ac:dyDescent="0.25">
      <c r="A673" s="44">
        <v>222</v>
      </c>
      <c r="B673" s="42" t="s">
        <v>28</v>
      </c>
      <c r="C673" s="42" t="s">
        <v>1483</v>
      </c>
      <c r="D673" s="42">
        <v>284684</v>
      </c>
      <c r="E673" s="42" t="s">
        <v>1604</v>
      </c>
      <c r="F673" s="42" t="s">
        <v>31</v>
      </c>
      <c r="G673" s="42" t="s">
        <v>32</v>
      </c>
      <c r="H673" s="42" t="s">
        <v>69</v>
      </c>
      <c r="I673" s="48" t="s">
        <v>1605</v>
      </c>
      <c r="J673" s="42" t="s">
        <v>71</v>
      </c>
      <c r="K673" s="42"/>
      <c r="L673" s="42" t="s">
        <v>123</v>
      </c>
      <c r="M673" s="54">
        <v>46611</v>
      </c>
      <c r="N673" s="42" t="s">
        <v>124</v>
      </c>
      <c r="O673" s="11" t="s">
        <v>624</v>
      </c>
      <c r="P673" s="11" t="s">
        <v>116</v>
      </c>
      <c r="Q673" s="20" t="s">
        <v>1606</v>
      </c>
      <c r="R673" s="11">
        <v>0.5</v>
      </c>
      <c r="S673" s="11"/>
      <c r="T673" s="12" t="s">
        <v>1596</v>
      </c>
      <c r="U673" s="12">
        <v>46832</v>
      </c>
      <c r="V673" s="13" t="s">
        <v>1607</v>
      </c>
      <c r="W673" s="11" t="s">
        <v>1489</v>
      </c>
      <c r="X673" s="11" t="s">
        <v>42</v>
      </c>
      <c r="Y673" s="11" t="s">
        <v>1490</v>
      </c>
      <c r="Z673" s="11">
        <v>0.2</v>
      </c>
      <c r="AA673" s="11"/>
      <c r="AB673" s="12" t="s">
        <v>634</v>
      </c>
      <c r="AC673" s="12">
        <v>47598</v>
      </c>
      <c r="AD673" s="12" t="s">
        <v>124</v>
      </c>
      <c r="AE673" s="42"/>
      <c r="AF673" s="43" t="s">
        <v>45</v>
      </c>
    </row>
    <row r="674" spans="1:32" ht="25.5" x14ac:dyDescent="0.25">
      <c r="A674" s="44"/>
      <c r="B674" s="42"/>
      <c r="C674" s="42"/>
      <c r="D674" s="42"/>
      <c r="E674" s="42"/>
      <c r="F674" s="42"/>
      <c r="G674" s="42"/>
      <c r="H674" s="42"/>
      <c r="I674" s="48"/>
      <c r="J674" s="42"/>
      <c r="K674" s="42"/>
      <c r="L674" s="42"/>
      <c r="M674" s="42"/>
      <c r="N674" s="42"/>
      <c r="O674" s="11" t="s">
        <v>77</v>
      </c>
      <c r="P674" s="11" t="s">
        <v>77</v>
      </c>
      <c r="Q674" s="11" t="s">
        <v>77</v>
      </c>
      <c r="R674" s="11" t="s">
        <v>77</v>
      </c>
      <c r="S674" s="11"/>
      <c r="T674" s="12" t="s">
        <v>77</v>
      </c>
      <c r="U674" s="12" t="s">
        <v>77</v>
      </c>
      <c r="V674" s="4"/>
      <c r="W674" s="11" t="s">
        <v>1489</v>
      </c>
      <c r="X674" s="11" t="s">
        <v>42</v>
      </c>
      <c r="Y674" s="11" t="s">
        <v>1491</v>
      </c>
      <c r="Z674" s="11">
        <v>0.2</v>
      </c>
      <c r="AA674" s="11"/>
      <c r="AB674" s="12" t="s">
        <v>634</v>
      </c>
      <c r="AC674" s="12">
        <v>47598</v>
      </c>
      <c r="AD674" s="12" t="s">
        <v>124</v>
      </c>
      <c r="AE674" s="42"/>
      <c r="AF674" s="42"/>
    </row>
    <row r="675" spans="1:32" ht="45" x14ac:dyDescent="0.25">
      <c r="A675" s="44"/>
      <c r="B675" s="42"/>
      <c r="C675" s="42"/>
      <c r="D675" s="42"/>
      <c r="E675" s="42"/>
      <c r="F675" s="42"/>
      <c r="G675" s="42"/>
      <c r="H675" s="42"/>
      <c r="I675" s="48"/>
      <c r="J675" s="42"/>
      <c r="K675" s="42"/>
      <c r="L675" s="42"/>
      <c r="M675" s="42"/>
      <c r="N675" s="42"/>
      <c r="O675" s="11" t="s">
        <v>635</v>
      </c>
      <c r="P675" s="11" t="s">
        <v>116</v>
      </c>
      <c r="Q675" s="20">
        <v>45094</v>
      </c>
      <c r="R675" s="11">
        <v>0.5</v>
      </c>
      <c r="S675" s="11"/>
      <c r="T675" s="12" t="s">
        <v>1596</v>
      </c>
      <c r="U675" s="12">
        <v>46832</v>
      </c>
      <c r="V675" s="13" t="s">
        <v>1608</v>
      </c>
      <c r="W675" s="11" t="s">
        <v>1493</v>
      </c>
      <c r="X675" s="11" t="s">
        <v>42</v>
      </c>
      <c r="Y675" s="11" t="s">
        <v>1494</v>
      </c>
      <c r="Z675" s="11">
        <v>0.2</v>
      </c>
      <c r="AA675" s="11"/>
      <c r="AB675" s="12" t="s">
        <v>634</v>
      </c>
      <c r="AC675" s="12">
        <v>47598</v>
      </c>
      <c r="AD675" s="12" t="s">
        <v>124</v>
      </c>
      <c r="AE675" s="42"/>
      <c r="AF675" s="42"/>
    </row>
    <row r="676" spans="1:32" ht="23.85" customHeight="1" x14ac:dyDescent="0.25">
      <c r="A676" s="44">
        <v>223</v>
      </c>
      <c r="B676" s="42" t="s">
        <v>28</v>
      </c>
      <c r="C676" s="42" t="s">
        <v>1483</v>
      </c>
      <c r="D676" s="42">
        <v>284684</v>
      </c>
      <c r="E676" s="42" t="s">
        <v>1609</v>
      </c>
      <c r="F676" s="42" t="s">
        <v>31</v>
      </c>
      <c r="G676" s="42" t="s">
        <v>32</v>
      </c>
      <c r="H676" s="42" t="s">
        <v>69</v>
      </c>
      <c r="I676" s="48" t="s">
        <v>1610</v>
      </c>
      <c r="J676" s="42" t="s">
        <v>71</v>
      </c>
      <c r="K676" s="42"/>
      <c r="L676" s="52">
        <v>45596</v>
      </c>
      <c r="M676" s="52">
        <v>48518</v>
      </c>
      <c r="N676" s="53" t="s">
        <v>1611</v>
      </c>
      <c r="O676" s="11" t="s">
        <v>624</v>
      </c>
      <c r="P676" s="11" t="s">
        <v>116</v>
      </c>
      <c r="Q676" s="20" t="s">
        <v>1612</v>
      </c>
      <c r="R676" s="11">
        <v>0.5</v>
      </c>
      <c r="S676" s="11"/>
      <c r="T676" s="12" t="s">
        <v>1596</v>
      </c>
      <c r="U676" s="12">
        <v>46832</v>
      </c>
      <c r="V676" s="13" t="s">
        <v>1613</v>
      </c>
      <c r="W676" s="11" t="s">
        <v>1489</v>
      </c>
      <c r="X676" s="11" t="s">
        <v>42</v>
      </c>
      <c r="Y676" s="11" t="s">
        <v>1490</v>
      </c>
      <c r="Z676" s="11">
        <v>0.2</v>
      </c>
      <c r="AA676" s="11"/>
      <c r="AB676" s="12" t="s">
        <v>634</v>
      </c>
      <c r="AC676" s="12">
        <v>47598</v>
      </c>
      <c r="AD676" s="12" t="s">
        <v>124</v>
      </c>
      <c r="AE676" s="42"/>
      <c r="AF676" s="43" t="s">
        <v>45</v>
      </c>
    </row>
    <row r="677" spans="1:32" ht="25.5" x14ac:dyDescent="0.25">
      <c r="A677" s="44"/>
      <c r="B677" s="42"/>
      <c r="C677" s="42"/>
      <c r="D677" s="42"/>
      <c r="E677" s="42"/>
      <c r="F677" s="42"/>
      <c r="G677" s="42"/>
      <c r="H677" s="42"/>
      <c r="I677" s="48"/>
      <c r="J677" s="42"/>
      <c r="K677" s="42"/>
      <c r="L677" s="42"/>
      <c r="M677" s="42"/>
      <c r="N677" s="53"/>
      <c r="O677" s="11" t="s">
        <v>77</v>
      </c>
      <c r="P677" s="11" t="s">
        <v>77</v>
      </c>
      <c r="Q677" s="11" t="s">
        <v>77</v>
      </c>
      <c r="R677" s="11" t="s">
        <v>77</v>
      </c>
      <c r="S677" s="11"/>
      <c r="T677" s="12" t="s">
        <v>77</v>
      </c>
      <c r="U677" s="12" t="s">
        <v>77</v>
      </c>
      <c r="V677" s="4"/>
      <c r="W677" s="11" t="s">
        <v>1489</v>
      </c>
      <c r="X677" s="11" t="s">
        <v>42</v>
      </c>
      <c r="Y677" s="11" t="s">
        <v>1491</v>
      </c>
      <c r="Z677" s="11">
        <v>0.2</v>
      </c>
      <c r="AA677" s="11"/>
      <c r="AB677" s="12" t="s">
        <v>634</v>
      </c>
      <c r="AC677" s="12">
        <v>47598</v>
      </c>
      <c r="AD677" s="12" t="s">
        <v>124</v>
      </c>
      <c r="AE677" s="42"/>
      <c r="AF677" s="42"/>
    </row>
    <row r="678" spans="1:32" ht="45" x14ac:dyDescent="0.25">
      <c r="A678" s="44"/>
      <c r="B678" s="42"/>
      <c r="C678" s="42"/>
      <c r="D678" s="42"/>
      <c r="E678" s="42"/>
      <c r="F678" s="42"/>
      <c r="G678" s="42"/>
      <c r="H678" s="42"/>
      <c r="I678" s="48"/>
      <c r="J678" s="42"/>
      <c r="K678" s="42"/>
      <c r="L678" s="42"/>
      <c r="M678" s="42"/>
      <c r="N678" s="53"/>
      <c r="O678" s="11" t="s">
        <v>635</v>
      </c>
      <c r="P678" s="11" t="s">
        <v>116</v>
      </c>
      <c r="Q678" s="20">
        <v>3108</v>
      </c>
      <c r="R678" s="11">
        <v>0.5</v>
      </c>
      <c r="S678" s="11"/>
      <c r="T678" s="12" t="s">
        <v>1596</v>
      </c>
      <c r="U678" s="12">
        <v>46832</v>
      </c>
      <c r="V678" s="13" t="s">
        <v>1614</v>
      </c>
      <c r="W678" s="11" t="s">
        <v>1493</v>
      </c>
      <c r="X678" s="11" t="s">
        <v>42</v>
      </c>
      <c r="Y678" s="11" t="s">
        <v>1494</v>
      </c>
      <c r="Z678" s="11">
        <v>0.2</v>
      </c>
      <c r="AA678" s="11"/>
      <c r="AB678" s="12" t="s">
        <v>634</v>
      </c>
      <c r="AC678" s="12">
        <v>47598</v>
      </c>
      <c r="AD678" s="12" t="s">
        <v>124</v>
      </c>
      <c r="AE678" s="42"/>
      <c r="AF678" s="42"/>
    </row>
    <row r="679" spans="1:32" ht="23.85" customHeight="1" x14ac:dyDescent="0.25">
      <c r="A679" s="44">
        <v>224</v>
      </c>
      <c r="B679" s="42" t="s">
        <v>28</v>
      </c>
      <c r="C679" s="42" t="s">
        <v>1483</v>
      </c>
      <c r="D679" s="42">
        <v>284684</v>
      </c>
      <c r="E679" s="42" t="s">
        <v>1615</v>
      </c>
      <c r="F679" s="42" t="s">
        <v>31</v>
      </c>
      <c r="G679" s="42" t="s">
        <v>32</v>
      </c>
      <c r="H679" s="42" t="s">
        <v>69</v>
      </c>
      <c r="I679" s="48" t="s">
        <v>1616</v>
      </c>
      <c r="J679" s="42" t="s">
        <v>71</v>
      </c>
      <c r="K679" s="42"/>
      <c r="L679" s="52">
        <v>45595</v>
      </c>
      <c r="M679" s="52">
        <v>48517</v>
      </c>
      <c r="N679" s="53" t="s">
        <v>1617</v>
      </c>
      <c r="O679" s="11" t="s">
        <v>624</v>
      </c>
      <c r="P679" s="11" t="s">
        <v>116</v>
      </c>
      <c r="Q679" s="20" t="s">
        <v>1618</v>
      </c>
      <c r="R679" s="11">
        <v>0.5</v>
      </c>
      <c r="S679" s="11"/>
      <c r="T679" s="12" t="s">
        <v>1596</v>
      </c>
      <c r="U679" s="12">
        <v>46832</v>
      </c>
      <c r="V679" s="13" t="s">
        <v>1619</v>
      </c>
      <c r="W679" s="11" t="s">
        <v>1489</v>
      </c>
      <c r="X679" s="11" t="s">
        <v>42</v>
      </c>
      <c r="Y679" s="11" t="s">
        <v>1490</v>
      </c>
      <c r="Z679" s="11">
        <v>0.2</v>
      </c>
      <c r="AA679" s="11"/>
      <c r="AB679" s="12" t="s">
        <v>634</v>
      </c>
      <c r="AC679" s="12">
        <v>47598</v>
      </c>
      <c r="AD679" s="12" t="s">
        <v>124</v>
      </c>
      <c r="AE679" s="42"/>
      <c r="AF679" s="43" t="s">
        <v>45</v>
      </c>
    </row>
    <row r="680" spans="1:32" ht="25.5" x14ac:dyDescent="0.25">
      <c r="A680" s="44"/>
      <c r="B680" s="42"/>
      <c r="C680" s="42"/>
      <c r="D680" s="42"/>
      <c r="E680" s="42"/>
      <c r="F680" s="42"/>
      <c r="G680" s="42"/>
      <c r="H680" s="42"/>
      <c r="I680" s="48"/>
      <c r="J680" s="42"/>
      <c r="K680" s="42"/>
      <c r="L680" s="42"/>
      <c r="M680" s="42"/>
      <c r="N680" s="53"/>
      <c r="O680" s="11" t="s">
        <v>77</v>
      </c>
      <c r="P680" s="11" t="s">
        <v>77</v>
      </c>
      <c r="Q680" s="11" t="s">
        <v>77</v>
      </c>
      <c r="R680" s="11" t="s">
        <v>77</v>
      </c>
      <c r="S680" s="11"/>
      <c r="T680" s="12" t="s">
        <v>77</v>
      </c>
      <c r="U680" s="12" t="s">
        <v>77</v>
      </c>
      <c r="V680" s="4"/>
      <c r="W680" s="11" t="s">
        <v>1489</v>
      </c>
      <c r="X680" s="11" t="s">
        <v>42</v>
      </c>
      <c r="Y680" s="11" t="s">
        <v>1491</v>
      </c>
      <c r="Z680" s="11">
        <v>0.2</v>
      </c>
      <c r="AA680" s="11"/>
      <c r="AB680" s="12" t="s">
        <v>634</v>
      </c>
      <c r="AC680" s="12">
        <v>47598</v>
      </c>
      <c r="AD680" s="12" t="s">
        <v>124</v>
      </c>
      <c r="AE680" s="42"/>
      <c r="AF680" s="42"/>
    </row>
    <row r="681" spans="1:32" ht="45" x14ac:dyDescent="0.25">
      <c r="A681" s="44"/>
      <c r="B681" s="42"/>
      <c r="C681" s="42"/>
      <c r="D681" s="42"/>
      <c r="E681" s="42"/>
      <c r="F681" s="42"/>
      <c r="G681" s="42"/>
      <c r="H681" s="42"/>
      <c r="I681" s="48"/>
      <c r="J681" s="42"/>
      <c r="K681" s="42"/>
      <c r="L681" s="42"/>
      <c r="M681" s="42"/>
      <c r="N681" s="53"/>
      <c r="O681" s="11" t="s">
        <v>635</v>
      </c>
      <c r="P681" s="11" t="s">
        <v>116</v>
      </c>
      <c r="Q681" s="20">
        <v>2429</v>
      </c>
      <c r="R681" s="11">
        <v>0.5</v>
      </c>
      <c r="S681" s="11"/>
      <c r="T681" s="12" t="s">
        <v>1596</v>
      </c>
      <c r="U681" s="12">
        <v>46832</v>
      </c>
      <c r="V681" s="13" t="s">
        <v>1620</v>
      </c>
      <c r="W681" s="11" t="s">
        <v>1493</v>
      </c>
      <c r="X681" s="11" t="s">
        <v>42</v>
      </c>
      <c r="Y681" s="11" t="s">
        <v>1494</v>
      </c>
      <c r="Z681" s="11">
        <v>0.2</v>
      </c>
      <c r="AA681" s="11"/>
      <c r="AB681" s="12" t="s">
        <v>634</v>
      </c>
      <c r="AC681" s="12">
        <v>47598</v>
      </c>
      <c r="AD681" s="12" t="s">
        <v>124</v>
      </c>
      <c r="AE681" s="42"/>
      <c r="AF681" s="42"/>
    </row>
    <row r="682" spans="1:32" ht="23.85" customHeight="1" x14ac:dyDescent="0.25">
      <c r="A682" s="44">
        <v>225</v>
      </c>
      <c r="B682" s="42" t="s">
        <v>28</v>
      </c>
      <c r="C682" s="42" t="s">
        <v>1483</v>
      </c>
      <c r="D682" s="42">
        <v>284684</v>
      </c>
      <c r="E682" s="42" t="s">
        <v>1621</v>
      </c>
      <c r="F682" s="42" t="s">
        <v>31</v>
      </c>
      <c r="G682" s="42" t="s">
        <v>32</v>
      </c>
      <c r="H682" s="45" t="s">
        <v>1544</v>
      </c>
      <c r="I682" s="48" t="s">
        <v>1622</v>
      </c>
      <c r="J682" s="42" t="s">
        <v>71</v>
      </c>
      <c r="K682" s="42"/>
      <c r="L682" s="52">
        <v>44859</v>
      </c>
      <c r="M682" s="52">
        <v>50703</v>
      </c>
      <c r="N682" s="53" t="s">
        <v>1623</v>
      </c>
      <c r="O682" s="11" t="s">
        <v>624</v>
      </c>
      <c r="P682" s="11" t="s">
        <v>84</v>
      </c>
      <c r="Q682" s="20" t="s">
        <v>1624</v>
      </c>
      <c r="R682" s="11">
        <v>0.5</v>
      </c>
      <c r="S682" s="11"/>
      <c r="T682" s="12" t="s">
        <v>1596</v>
      </c>
      <c r="U682" s="12">
        <v>46832</v>
      </c>
      <c r="V682" s="13" t="s">
        <v>1625</v>
      </c>
      <c r="W682" s="11" t="s">
        <v>1489</v>
      </c>
      <c r="X682" s="11" t="s">
        <v>42</v>
      </c>
      <c r="Y682" s="11" t="s">
        <v>1490</v>
      </c>
      <c r="Z682" s="11">
        <v>0.2</v>
      </c>
      <c r="AA682" s="11"/>
      <c r="AB682" s="12" t="s">
        <v>634</v>
      </c>
      <c r="AC682" s="12">
        <v>47598</v>
      </c>
      <c r="AD682" s="12" t="s">
        <v>124</v>
      </c>
      <c r="AE682" s="42"/>
      <c r="AF682" s="43" t="s">
        <v>45</v>
      </c>
    </row>
    <row r="683" spans="1:32" ht="45" x14ac:dyDescent="0.25">
      <c r="A683" s="44"/>
      <c r="B683" s="42"/>
      <c r="C683" s="42"/>
      <c r="D683" s="42"/>
      <c r="E683" s="42"/>
      <c r="F683" s="42"/>
      <c r="G683" s="42"/>
      <c r="H683" s="42"/>
      <c r="I683" s="48"/>
      <c r="J683" s="42"/>
      <c r="K683" s="42"/>
      <c r="L683" s="42"/>
      <c r="M683" s="42"/>
      <c r="N683" s="53"/>
      <c r="O683" s="11" t="s">
        <v>624</v>
      </c>
      <c r="P683" s="11" t="s">
        <v>84</v>
      </c>
      <c r="Q683" s="20" t="s">
        <v>1626</v>
      </c>
      <c r="R683" s="11">
        <v>0.5</v>
      </c>
      <c r="S683" s="11"/>
      <c r="T683" s="12" t="s">
        <v>1596</v>
      </c>
      <c r="U683" s="12">
        <v>46832</v>
      </c>
      <c r="V683" s="13" t="s">
        <v>1627</v>
      </c>
      <c r="W683" s="11" t="s">
        <v>1489</v>
      </c>
      <c r="X683" s="11" t="s">
        <v>42</v>
      </c>
      <c r="Y683" s="11" t="s">
        <v>1491</v>
      </c>
      <c r="Z683" s="11">
        <v>0.2</v>
      </c>
      <c r="AA683" s="11"/>
      <c r="AB683" s="12" t="s">
        <v>634</v>
      </c>
      <c r="AC683" s="12">
        <v>47598</v>
      </c>
      <c r="AD683" s="12" t="s">
        <v>124</v>
      </c>
      <c r="AE683" s="42"/>
      <c r="AF683" s="42"/>
    </row>
    <row r="684" spans="1:32" ht="45" x14ac:dyDescent="0.25">
      <c r="A684" s="44"/>
      <c r="B684" s="42"/>
      <c r="C684" s="42"/>
      <c r="D684" s="42"/>
      <c r="E684" s="42"/>
      <c r="F684" s="42"/>
      <c r="G684" s="42"/>
      <c r="H684" s="46"/>
      <c r="I684" s="48"/>
      <c r="J684" s="42"/>
      <c r="K684" s="42"/>
      <c r="L684" s="42"/>
      <c r="M684" s="42"/>
      <c r="N684" s="53"/>
      <c r="O684" s="11" t="s">
        <v>635</v>
      </c>
      <c r="P684" s="11" t="s">
        <v>84</v>
      </c>
      <c r="Q684" s="20">
        <v>44822</v>
      </c>
      <c r="R684" s="11">
        <v>0.5</v>
      </c>
      <c r="S684" s="11"/>
      <c r="T684" s="12" t="s">
        <v>1577</v>
      </c>
      <c r="U684" s="12">
        <v>47075</v>
      </c>
      <c r="V684" s="13" t="s">
        <v>1628</v>
      </c>
      <c r="W684" s="11" t="s">
        <v>1493</v>
      </c>
      <c r="X684" s="11" t="s">
        <v>42</v>
      </c>
      <c r="Y684" s="11" t="s">
        <v>1494</v>
      </c>
      <c r="Z684" s="11">
        <v>0.2</v>
      </c>
      <c r="AA684" s="11"/>
      <c r="AB684" s="12" t="s">
        <v>634</v>
      </c>
      <c r="AC684" s="12">
        <v>47598</v>
      </c>
      <c r="AD684" s="12" t="s">
        <v>124</v>
      </c>
      <c r="AE684" s="42"/>
      <c r="AF684" s="42"/>
    </row>
    <row r="685" spans="1:32" ht="23.85" customHeight="1" x14ac:dyDescent="0.25">
      <c r="A685" s="44">
        <v>226</v>
      </c>
      <c r="B685" s="42" t="s">
        <v>28</v>
      </c>
      <c r="C685" s="42" t="s">
        <v>1483</v>
      </c>
      <c r="D685" s="42">
        <v>284684</v>
      </c>
      <c r="E685" s="42" t="s">
        <v>1629</v>
      </c>
      <c r="F685" s="42" t="s">
        <v>31</v>
      </c>
      <c r="G685" s="42" t="s">
        <v>32</v>
      </c>
      <c r="H685" s="42" t="s">
        <v>137</v>
      </c>
      <c r="I685" s="48" t="s">
        <v>1630</v>
      </c>
      <c r="J685" s="42" t="s">
        <v>71</v>
      </c>
      <c r="K685" s="42"/>
      <c r="L685" s="52">
        <v>45595</v>
      </c>
      <c r="M685" s="52">
        <v>48517</v>
      </c>
      <c r="N685" s="53" t="s">
        <v>1631</v>
      </c>
      <c r="O685" s="11" t="s">
        <v>624</v>
      </c>
      <c r="P685" s="11" t="s">
        <v>433</v>
      </c>
      <c r="Q685" s="20" t="s">
        <v>1632</v>
      </c>
      <c r="R685" s="11">
        <v>0.5</v>
      </c>
      <c r="S685" s="11"/>
      <c r="T685" s="12" t="s">
        <v>1577</v>
      </c>
      <c r="U685" s="12">
        <v>46344</v>
      </c>
      <c r="V685" s="13" t="s">
        <v>1633</v>
      </c>
      <c r="W685" s="11" t="s">
        <v>1489</v>
      </c>
      <c r="X685" s="11" t="s">
        <v>42</v>
      </c>
      <c r="Y685" s="11" t="s">
        <v>1490</v>
      </c>
      <c r="Z685" s="11">
        <v>0.2</v>
      </c>
      <c r="AA685" s="11"/>
      <c r="AB685" s="12" t="s">
        <v>634</v>
      </c>
      <c r="AC685" s="12">
        <v>47598</v>
      </c>
      <c r="AD685" s="12" t="s">
        <v>124</v>
      </c>
      <c r="AE685" s="42"/>
      <c r="AF685" s="43" t="s">
        <v>45</v>
      </c>
    </row>
    <row r="686" spans="1:32" ht="25.5" x14ac:dyDescent="0.25">
      <c r="A686" s="44"/>
      <c r="B686" s="42"/>
      <c r="C686" s="42"/>
      <c r="D686" s="42"/>
      <c r="E686" s="42"/>
      <c r="F686" s="42"/>
      <c r="G686" s="42"/>
      <c r="H686" s="42"/>
      <c r="I686" s="48"/>
      <c r="J686" s="42"/>
      <c r="K686" s="42"/>
      <c r="L686" s="42"/>
      <c r="M686" s="42"/>
      <c r="N686" s="53"/>
      <c r="O686" s="11" t="s">
        <v>77</v>
      </c>
      <c r="P686" s="11" t="s">
        <v>77</v>
      </c>
      <c r="Q686" s="11" t="s">
        <v>77</v>
      </c>
      <c r="R686" s="11" t="s">
        <v>77</v>
      </c>
      <c r="S686" s="11"/>
      <c r="T686" s="12" t="s">
        <v>77</v>
      </c>
      <c r="U686" s="12" t="s">
        <v>77</v>
      </c>
      <c r="V686" s="4"/>
      <c r="W686" s="11" t="s">
        <v>1489</v>
      </c>
      <c r="X686" s="11" t="s">
        <v>42</v>
      </c>
      <c r="Y686" s="11" t="s">
        <v>1491</v>
      </c>
      <c r="Z686" s="11">
        <v>0.2</v>
      </c>
      <c r="AA686" s="11"/>
      <c r="AB686" s="12" t="s">
        <v>634</v>
      </c>
      <c r="AC686" s="12">
        <v>47598</v>
      </c>
      <c r="AD686" s="12" t="s">
        <v>124</v>
      </c>
      <c r="AE686" s="42"/>
      <c r="AF686" s="42"/>
    </row>
    <row r="687" spans="1:32" ht="45" x14ac:dyDescent="0.25">
      <c r="A687" s="44"/>
      <c r="B687" s="42"/>
      <c r="C687" s="42"/>
      <c r="D687" s="42"/>
      <c r="E687" s="42"/>
      <c r="F687" s="42"/>
      <c r="G687" s="42"/>
      <c r="H687" s="42"/>
      <c r="I687" s="48"/>
      <c r="J687" s="42"/>
      <c r="K687" s="42"/>
      <c r="L687" s="42"/>
      <c r="M687" s="42"/>
      <c r="N687" s="53"/>
      <c r="O687" s="11" t="s">
        <v>635</v>
      </c>
      <c r="P687" s="11" t="s">
        <v>433</v>
      </c>
      <c r="Q687" s="20">
        <v>6172</v>
      </c>
      <c r="R687" s="11">
        <v>0.5</v>
      </c>
      <c r="S687" s="11"/>
      <c r="T687" s="12" t="s">
        <v>1577</v>
      </c>
      <c r="U687" s="12">
        <v>46344</v>
      </c>
      <c r="V687" s="13" t="s">
        <v>1634</v>
      </c>
      <c r="W687" s="11" t="s">
        <v>1493</v>
      </c>
      <c r="X687" s="11" t="s">
        <v>42</v>
      </c>
      <c r="Y687" s="11" t="s">
        <v>1494</v>
      </c>
      <c r="Z687" s="11">
        <v>0.2</v>
      </c>
      <c r="AA687" s="11"/>
      <c r="AB687" s="12" t="s">
        <v>634</v>
      </c>
      <c r="AC687" s="12">
        <v>47598</v>
      </c>
      <c r="AD687" s="12" t="s">
        <v>124</v>
      </c>
      <c r="AE687" s="42"/>
      <c r="AF687" s="42"/>
    </row>
    <row r="688" spans="1:32" ht="23.85" customHeight="1" x14ac:dyDescent="0.25">
      <c r="A688" s="44">
        <v>227</v>
      </c>
      <c r="B688" s="42" t="s">
        <v>28</v>
      </c>
      <c r="C688" s="42" t="s">
        <v>1483</v>
      </c>
      <c r="D688" s="42">
        <v>284684</v>
      </c>
      <c r="E688" s="42" t="s">
        <v>1635</v>
      </c>
      <c r="F688" s="42" t="s">
        <v>31</v>
      </c>
      <c r="G688" s="42" t="s">
        <v>32</v>
      </c>
      <c r="H688" s="42" t="s">
        <v>1544</v>
      </c>
      <c r="I688" s="48" t="s">
        <v>1636</v>
      </c>
      <c r="J688" s="42" t="s">
        <v>71</v>
      </c>
      <c r="K688" s="42"/>
      <c r="L688" s="52">
        <v>44859</v>
      </c>
      <c r="M688" s="52">
        <v>50703</v>
      </c>
      <c r="N688" s="52" t="s">
        <v>92</v>
      </c>
      <c r="O688" s="11" t="s">
        <v>624</v>
      </c>
      <c r="P688" s="11" t="s">
        <v>74</v>
      </c>
      <c r="Q688" s="20" t="s">
        <v>1637</v>
      </c>
      <c r="R688" s="11">
        <v>0.5</v>
      </c>
      <c r="S688" s="11"/>
      <c r="T688" s="12" t="s">
        <v>1596</v>
      </c>
      <c r="U688" s="12">
        <v>46832</v>
      </c>
      <c r="V688" s="13" t="s">
        <v>1638</v>
      </c>
      <c r="W688" s="11" t="s">
        <v>1489</v>
      </c>
      <c r="X688" s="11" t="s">
        <v>42</v>
      </c>
      <c r="Y688" s="11" t="s">
        <v>1490</v>
      </c>
      <c r="Z688" s="11">
        <v>0.2</v>
      </c>
      <c r="AA688" s="11"/>
      <c r="AB688" s="12" t="s">
        <v>634</v>
      </c>
      <c r="AC688" s="12">
        <v>47598</v>
      </c>
      <c r="AD688" s="12" t="s">
        <v>124</v>
      </c>
      <c r="AE688" s="42"/>
      <c r="AF688" s="43" t="s">
        <v>45</v>
      </c>
    </row>
    <row r="689" spans="1:32" ht="25.5" x14ac:dyDescent="0.25">
      <c r="A689" s="44"/>
      <c r="B689" s="42"/>
      <c r="C689" s="42"/>
      <c r="D689" s="42"/>
      <c r="E689" s="42"/>
      <c r="F689" s="42"/>
      <c r="G689" s="42"/>
      <c r="H689" s="42"/>
      <c r="I689" s="48"/>
      <c r="J689" s="42"/>
      <c r="K689" s="42"/>
      <c r="L689" s="42"/>
      <c r="M689" s="42"/>
      <c r="N689" s="42"/>
      <c r="O689" s="11" t="s">
        <v>77</v>
      </c>
      <c r="P689" s="11" t="s">
        <v>77</v>
      </c>
      <c r="Q689" s="11" t="s">
        <v>77</v>
      </c>
      <c r="R689" s="11" t="s">
        <v>77</v>
      </c>
      <c r="S689" s="11"/>
      <c r="T689" s="12" t="s">
        <v>77</v>
      </c>
      <c r="U689" s="12" t="s">
        <v>77</v>
      </c>
      <c r="V689" s="4"/>
      <c r="W689" s="11" t="s">
        <v>1489</v>
      </c>
      <c r="X689" s="11" t="s">
        <v>42</v>
      </c>
      <c r="Y689" s="11" t="s">
        <v>1491</v>
      </c>
      <c r="Z689" s="11">
        <v>0.2</v>
      </c>
      <c r="AA689" s="11"/>
      <c r="AB689" s="12" t="s">
        <v>634</v>
      </c>
      <c r="AC689" s="12">
        <v>47598</v>
      </c>
      <c r="AD689" s="12" t="s">
        <v>124</v>
      </c>
      <c r="AE689" s="42"/>
      <c r="AF689" s="42"/>
    </row>
    <row r="690" spans="1:32" ht="45" x14ac:dyDescent="0.25">
      <c r="A690" s="44"/>
      <c r="B690" s="42"/>
      <c r="C690" s="42"/>
      <c r="D690" s="42"/>
      <c r="E690" s="42"/>
      <c r="F690" s="42"/>
      <c r="G690" s="42"/>
      <c r="H690" s="42"/>
      <c r="I690" s="48"/>
      <c r="J690" s="42"/>
      <c r="K690" s="42"/>
      <c r="L690" s="42"/>
      <c r="M690" s="42"/>
      <c r="N690" s="42"/>
      <c r="O690" s="11" t="s">
        <v>635</v>
      </c>
      <c r="P690" s="11" t="s">
        <v>74</v>
      </c>
      <c r="Q690" s="20">
        <v>18663</v>
      </c>
      <c r="R690" s="11">
        <v>0.5</v>
      </c>
      <c r="S690" s="11"/>
      <c r="T690" s="12" t="s">
        <v>1596</v>
      </c>
      <c r="U690" s="12">
        <v>46832</v>
      </c>
      <c r="V690" s="13" t="s">
        <v>1639</v>
      </c>
      <c r="W690" s="11" t="s">
        <v>1493</v>
      </c>
      <c r="X690" s="11" t="s">
        <v>42</v>
      </c>
      <c r="Y690" s="11" t="s">
        <v>1494</v>
      </c>
      <c r="Z690" s="11">
        <v>0.2</v>
      </c>
      <c r="AA690" s="11"/>
      <c r="AB690" s="12" t="s">
        <v>634</v>
      </c>
      <c r="AC690" s="12">
        <v>47598</v>
      </c>
      <c r="AD690" s="12" t="s">
        <v>124</v>
      </c>
      <c r="AE690" s="42"/>
      <c r="AF690" s="42"/>
    </row>
    <row r="691" spans="1:32" ht="23.85" customHeight="1" x14ac:dyDescent="0.25">
      <c r="A691" s="44">
        <v>228</v>
      </c>
      <c r="B691" s="42" t="s">
        <v>28</v>
      </c>
      <c r="C691" s="42" t="s">
        <v>1483</v>
      </c>
      <c r="D691" s="42">
        <v>284684</v>
      </c>
      <c r="E691" s="42" t="s">
        <v>1640</v>
      </c>
      <c r="F691" s="42" t="s">
        <v>31</v>
      </c>
      <c r="G691" s="42" t="s">
        <v>68</v>
      </c>
      <c r="H691" s="42" t="s">
        <v>69</v>
      </c>
      <c r="I691" s="48" t="s">
        <v>1641</v>
      </c>
      <c r="J691" s="42" t="s">
        <v>71</v>
      </c>
      <c r="K691" s="42"/>
      <c r="L691" s="52">
        <v>45595</v>
      </c>
      <c r="M691" s="52">
        <v>48517</v>
      </c>
      <c r="N691" s="53" t="s">
        <v>1642</v>
      </c>
      <c r="O691" s="11" t="s">
        <v>624</v>
      </c>
      <c r="P691" s="11" t="s">
        <v>156</v>
      </c>
      <c r="Q691" s="20" t="s">
        <v>1643</v>
      </c>
      <c r="R691" s="11">
        <v>0.5</v>
      </c>
      <c r="S691" s="11"/>
      <c r="T691" s="12" t="s">
        <v>1596</v>
      </c>
      <c r="U691" s="12">
        <v>46832</v>
      </c>
      <c r="V691" s="13" t="s">
        <v>1644</v>
      </c>
      <c r="W691" s="11" t="s">
        <v>1489</v>
      </c>
      <c r="X691" s="11" t="s">
        <v>42</v>
      </c>
      <c r="Y691" s="11" t="s">
        <v>1490</v>
      </c>
      <c r="Z691" s="11">
        <v>0.2</v>
      </c>
      <c r="AA691" s="11"/>
      <c r="AB691" s="12" t="s">
        <v>634</v>
      </c>
      <c r="AC691" s="12">
        <v>47598</v>
      </c>
      <c r="AD691" s="12" t="s">
        <v>124</v>
      </c>
      <c r="AE691" s="42"/>
      <c r="AF691" s="43" t="s">
        <v>45</v>
      </c>
    </row>
    <row r="692" spans="1:32" ht="25.5" x14ac:dyDescent="0.25">
      <c r="A692" s="44"/>
      <c r="B692" s="42"/>
      <c r="C692" s="42"/>
      <c r="D692" s="42"/>
      <c r="E692" s="42"/>
      <c r="F692" s="42"/>
      <c r="G692" s="42"/>
      <c r="H692" s="42"/>
      <c r="I692" s="48"/>
      <c r="J692" s="42"/>
      <c r="K692" s="42"/>
      <c r="L692" s="42"/>
      <c r="M692" s="42"/>
      <c r="N692" s="53"/>
      <c r="O692" s="11" t="s">
        <v>77</v>
      </c>
      <c r="P692" s="11" t="s">
        <v>77</v>
      </c>
      <c r="Q692" s="11" t="s">
        <v>77</v>
      </c>
      <c r="R692" s="11" t="s">
        <v>77</v>
      </c>
      <c r="S692" s="11"/>
      <c r="T692" s="12" t="s">
        <v>77</v>
      </c>
      <c r="U692" s="12" t="s">
        <v>77</v>
      </c>
      <c r="V692" s="4"/>
      <c r="W692" s="11" t="s">
        <v>1489</v>
      </c>
      <c r="X692" s="11" t="s">
        <v>42</v>
      </c>
      <c r="Y692" s="11" t="s">
        <v>1491</v>
      </c>
      <c r="Z692" s="11">
        <v>0.2</v>
      </c>
      <c r="AA692" s="11"/>
      <c r="AB692" s="12" t="s">
        <v>634</v>
      </c>
      <c r="AC692" s="12">
        <v>47598</v>
      </c>
      <c r="AD692" s="12" t="s">
        <v>124</v>
      </c>
      <c r="AE692" s="42"/>
      <c r="AF692" s="42"/>
    </row>
    <row r="693" spans="1:32" ht="45" x14ac:dyDescent="0.25">
      <c r="A693" s="44"/>
      <c r="B693" s="42"/>
      <c r="C693" s="42"/>
      <c r="D693" s="42"/>
      <c r="E693" s="42"/>
      <c r="F693" s="42"/>
      <c r="G693" s="42"/>
      <c r="H693" s="42"/>
      <c r="I693" s="48"/>
      <c r="J693" s="42"/>
      <c r="K693" s="42"/>
      <c r="L693" s="42"/>
      <c r="M693" s="42"/>
      <c r="N693" s="53"/>
      <c r="O693" s="11" t="s">
        <v>635</v>
      </c>
      <c r="P693" s="11" t="s">
        <v>156</v>
      </c>
      <c r="Q693" s="20">
        <v>56787</v>
      </c>
      <c r="R693" s="11">
        <v>0.5</v>
      </c>
      <c r="S693" s="11"/>
      <c r="T693" s="12" t="s">
        <v>1596</v>
      </c>
      <c r="U693" s="12">
        <v>46832</v>
      </c>
      <c r="V693" s="13" t="s">
        <v>1645</v>
      </c>
      <c r="W693" s="11" t="s">
        <v>1493</v>
      </c>
      <c r="X693" s="11" t="s">
        <v>42</v>
      </c>
      <c r="Y693" s="11" t="s">
        <v>1494</v>
      </c>
      <c r="Z693" s="11">
        <v>0.2</v>
      </c>
      <c r="AA693" s="11"/>
      <c r="AB693" s="12" t="s">
        <v>634</v>
      </c>
      <c r="AC693" s="12">
        <v>47598</v>
      </c>
      <c r="AD693" s="12" t="s">
        <v>124</v>
      </c>
      <c r="AE693" s="42"/>
      <c r="AF693" s="42"/>
    </row>
    <row r="694" spans="1:32" ht="23.85" customHeight="1" x14ac:dyDescent="0.25">
      <c r="A694" s="44">
        <v>229</v>
      </c>
      <c r="B694" s="42" t="s">
        <v>28</v>
      </c>
      <c r="C694" s="42" t="s">
        <v>1483</v>
      </c>
      <c r="D694" s="42">
        <v>284684</v>
      </c>
      <c r="E694" s="42" t="s">
        <v>1646</v>
      </c>
      <c r="F694" s="42" t="s">
        <v>31</v>
      </c>
      <c r="G694" s="42" t="s">
        <v>68</v>
      </c>
      <c r="H694" s="42" t="s">
        <v>137</v>
      </c>
      <c r="I694" s="48" t="s">
        <v>1647</v>
      </c>
      <c r="J694" s="42" t="s">
        <v>71</v>
      </c>
      <c r="K694" s="42"/>
      <c r="L694" s="52">
        <v>45595</v>
      </c>
      <c r="M694" s="52">
        <v>48517</v>
      </c>
      <c r="N694" s="53" t="s">
        <v>1648</v>
      </c>
      <c r="O694" s="11" t="s">
        <v>624</v>
      </c>
      <c r="P694" s="11" t="s">
        <v>84</v>
      </c>
      <c r="Q694" s="20" t="s">
        <v>1649</v>
      </c>
      <c r="R694" s="11">
        <v>0.5</v>
      </c>
      <c r="S694" s="11"/>
      <c r="T694" s="12" t="s">
        <v>1577</v>
      </c>
      <c r="U694" s="12">
        <v>46344</v>
      </c>
      <c r="V694" s="13" t="s">
        <v>1650</v>
      </c>
      <c r="W694" s="11" t="s">
        <v>1489</v>
      </c>
      <c r="X694" s="11" t="s">
        <v>42</v>
      </c>
      <c r="Y694" s="11" t="s">
        <v>1490</v>
      </c>
      <c r="Z694" s="11">
        <v>0.2</v>
      </c>
      <c r="AA694" s="11"/>
      <c r="AB694" s="12" t="s">
        <v>634</v>
      </c>
      <c r="AC694" s="12">
        <v>47598</v>
      </c>
      <c r="AD694" s="12" t="s">
        <v>124</v>
      </c>
      <c r="AE694" s="42"/>
      <c r="AF694" s="43" t="s">
        <v>45</v>
      </c>
    </row>
    <row r="695" spans="1:32" ht="25.5" x14ac:dyDescent="0.25">
      <c r="A695" s="44"/>
      <c r="B695" s="42"/>
      <c r="C695" s="42"/>
      <c r="D695" s="42"/>
      <c r="E695" s="42"/>
      <c r="F695" s="42"/>
      <c r="G695" s="42"/>
      <c r="H695" s="42"/>
      <c r="I695" s="48"/>
      <c r="J695" s="42"/>
      <c r="K695" s="42"/>
      <c r="L695" s="42"/>
      <c r="M695" s="42"/>
      <c r="N695" s="53"/>
      <c r="O695" s="11" t="s">
        <v>77</v>
      </c>
      <c r="P695" s="11" t="s">
        <v>77</v>
      </c>
      <c r="Q695" s="11" t="s">
        <v>77</v>
      </c>
      <c r="R695" s="11" t="s">
        <v>77</v>
      </c>
      <c r="S695" s="11"/>
      <c r="T695" s="12" t="s">
        <v>77</v>
      </c>
      <c r="U695" s="12" t="s">
        <v>77</v>
      </c>
      <c r="V695" s="4"/>
      <c r="W695" s="11" t="s">
        <v>1489</v>
      </c>
      <c r="X695" s="11" t="s">
        <v>42</v>
      </c>
      <c r="Y695" s="11" t="s">
        <v>1491</v>
      </c>
      <c r="Z695" s="11">
        <v>0.2</v>
      </c>
      <c r="AA695" s="11"/>
      <c r="AB695" s="12" t="s">
        <v>634</v>
      </c>
      <c r="AC695" s="12">
        <v>47598</v>
      </c>
      <c r="AD695" s="12" t="s">
        <v>124</v>
      </c>
      <c r="AE695" s="42"/>
      <c r="AF695" s="42"/>
    </row>
    <row r="696" spans="1:32" ht="45" x14ac:dyDescent="0.25">
      <c r="A696" s="44"/>
      <c r="B696" s="42"/>
      <c r="C696" s="42"/>
      <c r="D696" s="42"/>
      <c r="E696" s="42"/>
      <c r="F696" s="42"/>
      <c r="G696" s="42"/>
      <c r="H696" s="42"/>
      <c r="I696" s="48"/>
      <c r="J696" s="42"/>
      <c r="K696" s="42"/>
      <c r="L696" s="42"/>
      <c r="M696" s="42"/>
      <c r="N696" s="53"/>
      <c r="O696" s="11" t="s">
        <v>635</v>
      </c>
      <c r="P696" s="11" t="s">
        <v>84</v>
      </c>
      <c r="Q696" s="20">
        <v>51474</v>
      </c>
      <c r="R696" s="11">
        <v>0.5</v>
      </c>
      <c r="S696" s="11"/>
      <c r="T696" s="12" t="s">
        <v>1577</v>
      </c>
      <c r="U696" s="12">
        <v>46344</v>
      </c>
      <c r="V696" s="13" t="s">
        <v>1651</v>
      </c>
      <c r="W696" s="11" t="s">
        <v>1493</v>
      </c>
      <c r="X696" s="11" t="s">
        <v>42</v>
      </c>
      <c r="Y696" s="11" t="s">
        <v>1494</v>
      </c>
      <c r="Z696" s="11">
        <v>0.2</v>
      </c>
      <c r="AA696" s="11"/>
      <c r="AB696" s="12" t="s">
        <v>634</v>
      </c>
      <c r="AC696" s="12">
        <v>47598</v>
      </c>
      <c r="AD696" s="12" t="s">
        <v>124</v>
      </c>
      <c r="AE696" s="42"/>
      <c r="AF696" s="42"/>
    </row>
    <row r="697" spans="1:32" ht="23.85" customHeight="1" x14ac:dyDescent="0.25">
      <c r="A697" s="44">
        <v>230</v>
      </c>
      <c r="B697" s="42" t="s">
        <v>28</v>
      </c>
      <c r="C697" s="42" t="s">
        <v>1483</v>
      </c>
      <c r="D697" s="42">
        <v>284684</v>
      </c>
      <c r="E697" s="42" t="s">
        <v>1652</v>
      </c>
      <c r="F697" s="42" t="s">
        <v>31</v>
      </c>
      <c r="G697" s="42" t="s">
        <v>107</v>
      </c>
      <c r="H697" s="42" t="s">
        <v>69</v>
      </c>
      <c r="I697" s="48" t="s">
        <v>1653</v>
      </c>
      <c r="J697" s="42" t="s">
        <v>71</v>
      </c>
      <c r="K697" s="42"/>
      <c r="L697" s="42" t="s">
        <v>1593</v>
      </c>
      <c r="M697" s="52">
        <v>47084</v>
      </c>
      <c r="N697" s="53" t="s">
        <v>1654</v>
      </c>
      <c r="O697" s="11" t="s">
        <v>1011</v>
      </c>
      <c r="P697" s="11" t="s">
        <v>116</v>
      </c>
      <c r="Q697" s="11">
        <v>412</v>
      </c>
      <c r="R697" s="11">
        <v>0.2</v>
      </c>
      <c r="S697" s="11"/>
      <c r="T697" s="12" t="s">
        <v>1507</v>
      </c>
      <c r="U697" s="12">
        <v>46102</v>
      </c>
      <c r="V697" s="25" t="s">
        <v>1655</v>
      </c>
      <c r="W697" s="11" t="s">
        <v>1489</v>
      </c>
      <c r="X697" s="11" t="s">
        <v>42</v>
      </c>
      <c r="Y697" s="11" t="s">
        <v>1490</v>
      </c>
      <c r="Z697" s="11">
        <v>0.2</v>
      </c>
      <c r="AA697" s="11"/>
      <c r="AB697" s="12" t="s">
        <v>634</v>
      </c>
      <c r="AC697" s="12">
        <v>47598</v>
      </c>
      <c r="AD697" s="12" t="s">
        <v>124</v>
      </c>
      <c r="AE697" s="42"/>
      <c r="AF697" s="43" t="s">
        <v>45</v>
      </c>
    </row>
    <row r="698" spans="1:32" ht="45" x14ac:dyDescent="0.25">
      <c r="A698" s="44"/>
      <c r="B698" s="42"/>
      <c r="C698" s="42"/>
      <c r="D698" s="42"/>
      <c r="E698" s="42"/>
      <c r="F698" s="42"/>
      <c r="G698" s="42"/>
      <c r="H698" s="42"/>
      <c r="I698" s="48"/>
      <c r="J698" s="42"/>
      <c r="K698" s="42"/>
      <c r="L698" s="42"/>
      <c r="M698" s="42"/>
      <c r="N698" s="53"/>
      <c r="O698" s="11" t="s">
        <v>1011</v>
      </c>
      <c r="P698" s="11" t="s">
        <v>116</v>
      </c>
      <c r="Q698" s="11" t="s">
        <v>1656</v>
      </c>
      <c r="R698" s="11">
        <v>0.2</v>
      </c>
      <c r="S698" s="11"/>
      <c r="T698" s="12" t="s">
        <v>1507</v>
      </c>
      <c r="U698" s="12">
        <v>46102</v>
      </c>
      <c r="V698" s="25" t="s">
        <v>1657</v>
      </c>
      <c r="W698" s="11" t="s">
        <v>1489</v>
      </c>
      <c r="X698" s="11" t="s">
        <v>42</v>
      </c>
      <c r="Y698" s="11" t="s">
        <v>1491</v>
      </c>
      <c r="Z698" s="11">
        <v>0.2</v>
      </c>
      <c r="AA698" s="11"/>
      <c r="AB698" s="12" t="s">
        <v>634</v>
      </c>
      <c r="AC698" s="12">
        <v>47598</v>
      </c>
      <c r="AD698" s="12" t="s">
        <v>124</v>
      </c>
      <c r="AE698" s="42"/>
      <c r="AF698" s="42"/>
    </row>
    <row r="699" spans="1:32" ht="45" x14ac:dyDescent="0.25">
      <c r="A699" s="44"/>
      <c r="B699" s="42"/>
      <c r="C699" s="42"/>
      <c r="D699" s="42"/>
      <c r="E699" s="42"/>
      <c r="F699" s="42"/>
      <c r="G699" s="42"/>
      <c r="H699" s="42"/>
      <c r="I699" s="48"/>
      <c r="J699" s="42"/>
      <c r="K699" s="42"/>
      <c r="L699" s="42"/>
      <c r="M699" s="42"/>
      <c r="N699" s="53"/>
      <c r="O699" s="11" t="s">
        <v>1021</v>
      </c>
      <c r="P699" s="11" t="s">
        <v>116</v>
      </c>
      <c r="Q699" s="11" t="s">
        <v>1658</v>
      </c>
      <c r="R699" s="11">
        <v>0.2</v>
      </c>
      <c r="S699" s="11"/>
      <c r="T699" s="12" t="s">
        <v>1507</v>
      </c>
      <c r="U699" s="12">
        <v>46102</v>
      </c>
      <c r="V699" s="25" t="s">
        <v>1659</v>
      </c>
      <c r="W699" s="11" t="s">
        <v>1493</v>
      </c>
      <c r="X699" s="11" t="s">
        <v>42</v>
      </c>
      <c r="Y699" s="11" t="s">
        <v>1494</v>
      </c>
      <c r="Z699" s="11">
        <v>0.2</v>
      </c>
      <c r="AA699" s="11"/>
      <c r="AB699" s="12" t="s">
        <v>634</v>
      </c>
      <c r="AC699" s="12">
        <v>47598</v>
      </c>
      <c r="AD699" s="12" t="s">
        <v>124</v>
      </c>
      <c r="AE699" s="42"/>
      <c r="AF699" s="42"/>
    </row>
    <row r="700" spans="1:32" ht="23.85" customHeight="1" x14ac:dyDescent="0.25">
      <c r="A700" s="44">
        <v>231</v>
      </c>
      <c r="B700" s="42" t="s">
        <v>1660</v>
      </c>
      <c r="C700" s="42" t="s">
        <v>1661</v>
      </c>
      <c r="D700" s="42">
        <v>103725</v>
      </c>
      <c r="E700" s="42" t="s">
        <v>1662</v>
      </c>
      <c r="F700" s="42" t="s">
        <v>31</v>
      </c>
      <c r="G700" s="42" t="s">
        <v>68</v>
      </c>
      <c r="H700" s="42" t="s">
        <v>1663</v>
      </c>
      <c r="I700" s="48" t="s">
        <v>1664</v>
      </c>
      <c r="J700" s="42" t="s">
        <v>71</v>
      </c>
      <c r="K700" s="42"/>
      <c r="L700" s="42" t="s">
        <v>1665</v>
      </c>
      <c r="M700" s="52">
        <v>48796</v>
      </c>
      <c r="N700" s="53" t="s">
        <v>1666</v>
      </c>
      <c r="O700" s="11" t="s">
        <v>1261</v>
      </c>
      <c r="P700" s="11" t="s">
        <v>163</v>
      </c>
      <c r="Q700" s="11">
        <v>73801</v>
      </c>
      <c r="R700" s="11">
        <v>0.5</v>
      </c>
      <c r="S700" s="11"/>
      <c r="T700" s="12" t="s">
        <v>1507</v>
      </c>
      <c r="U700" s="12">
        <v>46102</v>
      </c>
      <c r="V700" s="25" t="s">
        <v>1667</v>
      </c>
      <c r="W700" s="11" t="s">
        <v>1668</v>
      </c>
      <c r="X700" s="11" t="s">
        <v>42</v>
      </c>
      <c r="Y700" s="11" t="s">
        <v>1669</v>
      </c>
      <c r="Z700" s="11">
        <v>0.5</v>
      </c>
      <c r="AA700" s="11"/>
      <c r="AB700" s="12" t="s">
        <v>1670</v>
      </c>
      <c r="AC700" s="12">
        <v>46103</v>
      </c>
      <c r="AD700" s="12" t="s">
        <v>124</v>
      </c>
      <c r="AE700" s="42"/>
      <c r="AF700" s="43" t="s">
        <v>1671</v>
      </c>
    </row>
    <row r="701" spans="1:32" x14ac:dyDescent="0.25">
      <c r="A701" s="44"/>
      <c r="B701" s="42"/>
      <c r="C701" s="42"/>
      <c r="D701" s="42"/>
      <c r="E701" s="42"/>
      <c r="F701" s="42"/>
      <c r="G701" s="42"/>
      <c r="H701" s="42"/>
      <c r="I701" s="48"/>
      <c r="J701" s="42"/>
      <c r="K701" s="42"/>
      <c r="L701" s="42"/>
      <c r="M701" s="42"/>
      <c r="N701" s="53"/>
      <c r="O701" s="11" t="s">
        <v>77</v>
      </c>
      <c r="P701" s="11" t="s">
        <v>77</v>
      </c>
      <c r="Q701" s="11" t="s">
        <v>77</v>
      </c>
      <c r="R701" s="11" t="s">
        <v>77</v>
      </c>
      <c r="S701" s="11"/>
      <c r="T701" s="12" t="s">
        <v>77</v>
      </c>
      <c r="U701" s="12" t="s">
        <v>77</v>
      </c>
      <c r="V701" s="4"/>
      <c r="W701" s="11" t="s">
        <v>1668</v>
      </c>
      <c r="X701" s="11" t="s">
        <v>42</v>
      </c>
      <c r="Y701" s="11" t="s">
        <v>1669</v>
      </c>
      <c r="Z701" s="11">
        <v>0.5</v>
      </c>
      <c r="AA701" s="11"/>
      <c r="AB701" s="12" t="s">
        <v>1670</v>
      </c>
      <c r="AC701" s="12">
        <v>46103</v>
      </c>
      <c r="AD701" s="12" t="s">
        <v>124</v>
      </c>
      <c r="AE701" s="42"/>
      <c r="AF701" s="42"/>
    </row>
    <row r="702" spans="1:32" ht="45" x14ac:dyDescent="0.25">
      <c r="A702" s="44"/>
      <c r="B702" s="42"/>
      <c r="C702" s="42"/>
      <c r="D702" s="42"/>
      <c r="E702" s="42"/>
      <c r="F702" s="42"/>
      <c r="G702" s="42"/>
      <c r="H702" s="42"/>
      <c r="I702" s="48"/>
      <c r="J702" s="42"/>
      <c r="K702" s="42"/>
      <c r="L702" s="42"/>
      <c r="M702" s="42"/>
      <c r="N702" s="53"/>
      <c r="O702" s="11" t="s">
        <v>1672</v>
      </c>
      <c r="P702" s="11" t="s">
        <v>163</v>
      </c>
      <c r="Q702" s="11">
        <v>73403</v>
      </c>
      <c r="R702" s="11">
        <v>0.5</v>
      </c>
      <c r="S702" s="11"/>
      <c r="T702" s="12" t="s">
        <v>1507</v>
      </c>
      <c r="U702" s="12">
        <v>46102</v>
      </c>
      <c r="V702" s="25" t="s">
        <v>1673</v>
      </c>
      <c r="W702" s="11" t="s">
        <v>1668</v>
      </c>
      <c r="X702" s="11" t="s">
        <v>42</v>
      </c>
      <c r="Y702" s="11" t="s">
        <v>1669</v>
      </c>
      <c r="Z702" s="11">
        <v>0.5</v>
      </c>
      <c r="AA702" s="11"/>
      <c r="AB702" s="12" t="s">
        <v>1670</v>
      </c>
      <c r="AC702" s="12">
        <v>46103</v>
      </c>
      <c r="AD702" s="12" t="s">
        <v>124</v>
      </c>
      <c r="AE702" s="42"/>
      <c r="AF702" s="42"/>
    </row>
    <row r="703" spans="1:32" ht="23.85" customHeight="1" x14ac:dyDescent="0.25">
      <c r="A703" s="44">
        <v>232</v>
      </c>
      <c r="B703" s="42" t="s">
        <v>1660</v>
      </c>
      <c r="C703" s="42" t="s">
        <v>1661</v>
      </c>
      <c r="D703" s="42">
        <v>103725</v>
      </c>
      <c r="E703" s="42" t="s">
        <v>1674</v>
      </c>
      <c r="F703" s="42" t="s">
        <v>31</v>
      </c>
      <c r="G703" s="42" t="s">
        <v>32</v>
      </c>
      <c r="H703" s="42" t="s">
        <v>1675</v>
      </c>
      <c r="I703" s="48" t="s">
        <v>1676</v>
      </c>
      <c r="J703" s="42" t="s">
        <v>71</v>
      </c>
      <c r="K703" s="42"/>
      <c r="L703" s="42" t="s">
        <v>241</v>
      </c>
      <c r="M703" s="52">
        <v>49266</v>
      </c>
      <c r="N703" s="53" t="s">
        <v>1677</v>
      </c>
      <c r="O703" s="11" t="s">
        <v>1261</v>
      </c>
      <c r="P703" s="11" t="s">
        <v>163</v>
      </c>
      <c r="Q703" s="11">
        <v>806</v>
      </c>
      <c r="R703" s="11">
        <v>0.5</v>
      </c>
      <c r="S703" s="11"/>
      <c r="T703" s="12" t="s">
        <v>1678</v>
      </c>
      <c r="U703" s="12">
        <v>46357</v>
      </c>
      <c r="V703" s="25" t="s">
        <v>1679</v>
      </c>
      <c r="W703" s="11" t="s">
        <v>1668</v>
      </c>
      <c r="X703" s="11" t="s">
        <v>42</v>
      </c>
      <c r="Y703" s="11" t="s">
        <v>1669</v>
      </c>
      <c r="Z703" s="11">
        <v>0.5</v>
      </c>
      <c r="AA703" s="11"/>
      <c r="AB703" s="12" t="s">
        <v>1670</v>
      </c>
      <c r="AC703" s="12">
        <v>46103</v>
      </c>
      <c r="AD703" s="12" t="s">
        <v>124</v>
      </c>
      <c r="AE703" s="42"/>
      <c r="AF703" s="43" t="s">
        <v>1671</v>
      </c>
    </row>
    <row r="704" spans="1:32" x14ac:dyDescent="0.25">
      <c r="A704" s="44"/>
      <c r="B704" s="42"/>
      <c r="C704" s="42"/>
      <c r="D704" s="42"/>
      <c r="E704" s="42"/>
      <c r="F704" s="42"/>
      <c r="G704" s="42"/>
      <c r="H704" s="42"/>
      <c r="I704" s="48"/>
      <c r="J704" s="42"/>
      <c r="K704" s="42"/>
      <c r="L704" s="42"/>
      <c r="M704" s="42"/>
      <c r="N704" s="53"/>
      <c r="O704" s="11" t="s">
        <v>77</v>
      </c>
      <c r="P704" s="11" t="s">
        <v>77</v>
      </c>
      <c r="Q704" s="11" t="s">
        <v>77</v>
      </c>
      <c r="R704" s="11" t="s">
        <v>77</v>
      </c>
      <c r="S704" s="11"/>
      <c r="T704" s="12" t="s">
        <v>77</v>
      </c>
      <c r="U704" s="12" t="s">
        <v>77</v>
      </c>
      <c r="V704" s="4"/>
      <c r="W704" s="11" t="s">
        <v>1668</v>
      </c>
      <c r="X704" s="11" t="s">
        <v>42</v>
      </c>
      <c r="Y704" s="11" t="s">
        <v>1669</v>
      </c>
      <c r="Z704" s="11">
        <v>0.5</v>
      </c>
      <c r="AA704" s="11"/>
      <c r="AB704" s="12" t="s">
        <v>1670</v>
      </c>
      <c r="AC704" s="12">
        <v>46103</v>
      </c>
      <c r="AD704" s="12" t="s">
        <v>124</v>
      </c>
      <c r="AE704" s="42"/>
      <c r="AF704" s="42"/>
    </row>
    <row r="705" spans="1:32" ht="45" x14ac:dyDescent="0.25">
      <c r="A705" s="44"/>
      <c r="B705" s="42"/>
      <c r="C705" s="42"/>
      <c r="D705" s="42"/>
      <c r="E705" s="42"/>
      <c r="F705" s="42"/>
      <c r="G705" s="42"/>
      <c r="H705" s="42"/>
      <c r="I705" s="48"/>
      <c r="J705" s="42"/>
      <c r="K705" s="42"/>
      <c r="L705" s="42"/>
      <c r="M705" s="42"/>
      <c r="N705" s="53"/>
      <c r="O705" s="11" t="s">
        <v>1672</v>
      </c>
      <c r="P705" s="11" t="s">
        <v>163</v>
      </c>
      <c r="Q705" s="11">
        <v>2661</v>
      </c>
      <c r="R705" s="11">
        <v>0.5</v>
      </c>
      <c r="S705" s="11"/>
      <c r="T705" s="12" t="s">
        <v>1678</v>
      </c>
      <c r="U705" s="12">
        <v>46357</v>
      </c>
      <c r="V705" s="26" t="s">
        <v>1680</v>
      </c>
      <c r="W705" s="11" t="s">
        <v>1668</v>
      </c>
      <c r="X705" s="11" t="s">
        <v>42</v>
      </c>
      <c r="Y705" s="11" t="s">
        <v>1669</v>
      </c>
      <c r="Z705" s="11">
        <v>0.5</v>
      </c>
      <c r="AA705" s="11"/>
      <c r="AB705" s="12" t="s">
        <v>1670</v>
      </c>
      <c r="AC705" s="12">
        <v>46103</v>
      </c>
      <c r="AD705" s="12" t="s">
        <v>124</v>
      </c>
      <c r="AE705" s="42"/>
      <c r="AF705" s="42"/>
    </row>
    <row r="706" spans="1:32" ht="23.85" customHeight="1" x14ac:dyDescent="0.25">
      <c r="A706" s="44">
        <v>233</v>
      </c>
      <c r="B706" s="42" t="s">
        <v>1660</v>
      </c>
      <c r="C706" s="42" t="s">
        <v>1661</v>
      </c>
      <c r="D706" s="42">
        <v>103725</v>
      </c>
      <c r="E706" s="42" t="s">
        <v>1681</v>
      </c>
      <c r="F706" s="42" t="s">
        <v>31</v>
      </c>
      <c r="G706" s="42" t="s">
        <v>32</v>
      </c>
      <c r="H706" s="42" t="s">
        <v>1663</v>
      </c>
      <c r="I706" s="48" t="s">
        <v>1682</v>
      </c>
      <c r="J706" s="42" t="s">
        <v>71</v>
      </c>
      <c r="K706" s="42"/>
      <c r="L706" s="42" t="s">
        <v>1683</v>
      </c>
      <c r="M706" s="52">
        <v>48760</v>
      </c>
      <c r="N706" s="53" t="s">
        <v>1684</v>
      </c>
      <c r="O706" s="11" t="s">
        <v>1261</v>
      </c>
      <c r="P706" s="11" t="s">
        <v>163</v>
      </c>
      <c r="Q706" s="11">
        <v>2668</v>
      </c>
      <c r="R706" s="11">
        <v>0.5</v>
      </c>
      <c r="S706" s="11"/>
      <c r="T706" s="12" t="s">
        <v>1678</v>
      </c>
      <c r="U706" s="12">
        <v>46357</v>
      </c>
      <c r="V706" s="25" t="s">
        <v>1685</v>
      </c>
      <c r="W706" s="11" t="s">
        <v>1668</v>
      </c>
      <c r="X706" s="11" t="s">
        <v>42</v>
      </c>
      <c r="Y706" s="11" t="s">
        <v>1669</v>
      </c>
      <c r="Z706" s="11">
        <v>0.5</v>
      </c>
      <c r="AA706" s="11"/>
      <c r="AB706" s="12" t="s">
        <v>1670</v>
      </c>
      <c r="AC706" s="12">
        <v>46103</v>
      </c>
      <c r="AD706" s="12" t="s">
        <v>124</v>
      </c>
      <c r="AE706" s="42"/>
      <c r="AF706" s="43" t="s">
        <v>1671</v>
      </c>
    </row>
    <row r="707" spans="1:32" x14ac:dyDescent="0.25">
      <c r="A707" s="44"/>
      <c r="B707" s="42"/>
      <c r="C707" s="42"/>
      <c r="D707" s="42"/>
      <c r="E707" s="42"/>
      <c r="F707" s="42"/>
      <c r="G707" s="42"/>
      <c r="H707" s="42"/>
      <c r="I707" s="48"/>
      <c r="J707" s="42"/>
      <c r="K707" s="42"/>
      <c r="L707" s="42"/>
      <c r="M707" s="42"/>
      <c r="N707" s="53"/>
      <c r="O707" s="11" t="s">
        <v>77</v>
      </c>
      <c r="P707" s="11" t="s">
        <v>77</v>
      </c>
      <c r="Q707" s="11" t="s">
        <v>77</v>
      </c>
      <c r="R707" s="11" t="s">
        <v>77</v>
      </c>
      <c r="S707" s="11"/>
      <c r="T707" s="12" t="s">
        <v>77</v>
      </c>
      <c r="U707" s="12" t="s">
        <v>77</v>
      </c>
      <c r="V707" s="4"/>
      <c r="W707" s="11" t="s">
        <v>1668</v>
      </c>
      <c r="X707" s="11" t="s">
        <v>42</v>
      </c>
      <c r="Y707" s="11" t="s">
        <v>1669</v>
      </c>
      <c r="Z707" s="11">
        <v>0.5</v>
      </c>
      <c r="AA707" s="11"/>
      <c r="AB707" s="12" t="s">
        <v>1670</v>
      </c>
      <c r="AC707" s="12">
        <v>46103</v>
      </c>
      <c r="AD707" s="12" t="s">
        <v>124</v>
      </c>
      <c r="AE707" s="42"/>
      <c r="AF707" s="42"/>
    </row>
    <row r="708" spans="1:32" ht="45" x14ac:dyDescent="0.25">
      <c r="A708" s="44"/>
      <c r="B708" s="42"/>
      <c r="C708" s="42"/>
      <c r="D708" s="42"/>
      <c r="E708" s="42"/>
      <c r="F708" s="42"/>
      <c r="G708" s="42"/>
      <c r="H708" s="42"/>
      <c r="I708" s="48"/>
      <c r="J708" s="42"/>
      <c r="K708" s="42"/>
      <c r="L708" s="42"/>
      <c r="M708" s="42"/>
      <c r="N708" s="53"/>
      <c r="O708" s="11" t="s">
        <v>1672</v>
      </c>
      <c r="P708" s="11" t="s">
        <v>163</v>
      </c>
      <c r="Q708" s="11">
        <v>2665</v>
      </c>
      <c r="R708" s="11">
        <v>0.5</v>
      </c>
      <c r="S708" s="11"/>
      <c r="T708" s="12" t="s">
        <v>1678</v>
      </c>
      <c r="U708" s="12">
        <v>46357</v>
      </c>
      <c r="V708" s="26" t="s">
        <v>1686</v>
      </c>
      <c r="W708" s="11" t="s">
        <v>1668</v>
      </c>
      <c r="X708" s="11" t="s">
        <v>42</v>
      </c>
      <c r="Y708" s="11" t="s">
        <v>1669</v>
      </c>
      <c r="Z708" s="11">
        <v>0.5</v>
      </c>
      <c r="AA708" s="11"/>
      <c r="AB708" s="12" t="s">
        <v>1670</v>
      </c>
      <c r="AC708" s="12">
        <v>46103</v>
      </c>
      <c r="AD708" s="12" t="s">
        <v>124</v>
      </c>
      <c r="AE708" s="42"/>
      <c r="AF708" s="42"/>
    </row>
    <row r="709" spans="1:32" ht="23.85" customHeight="1" x14ac:dyDescent="0.25">
      <c r="A709" s="44">
        <v>234</v>
      </c>
      <c r="B709" s="42" t="s">
        <v>1660</v>
      </c>
      <c r="C709" s="42" t="s">
        <v>1661</v>
      </c>
      <c r="D709" s="42">
        <v>103725</v>
      </c>
      <c r="E709" s="42" t="s">
        <v>1687</v>
      </c>
      <c r="F709" s="42" t="s">
        <v>31</v>
      </c>
      <c r="G709" s="42" t="s">
        <v>32</v>
      </c>
      <c r="H709" s="42" t="s">
        <v>1663</v>
      </c>
      <c r="I709" s="48" t="s">
        <v>1688</v>
      </c>
      <c r="J709" s="42" t="s">
        <v>71</v>
      </c>
      <c r="K709" s="42"/>
      <c r="L709" s="42" t="s">
        <v>1689</v>
      </c>
      <c r="M709" s="52">
        <v>48795</v>
      </c>
      <c r="N709" s="53" t="s">
        <v>1690</v>
      </c>
      <c r="O709" s="11" t="s">
        <v>1261</v>
      </c>
      <c r="P709" s="11" t="s">
        <v>84</v>
      </c>
      <c r="Q709" s="11">
        <v>75095</v>
      </c>
      <c r="R709" s="11">
        <v>0.5</v>
      </c>
      <c r="S709" s="11"/>
      <c r="T709" s="12" t="s">
        <v>1507</v>
      </c>
      <c r="U709" s="12">
        <v>46102</v>
      </c>
      <c r="V709" s="25" t="s">
        <v>1691</v>
      </c>
      <c r="W709" s="11" t="s">
        <v>1668</v>
      </c>
      <c r="X709" s="11" t="s">
        <v>42</v>
      </c>
      <c r="Y709" s="11" t="s">
        <v>1669</v>
      </c>
      <c r="Z709" s="11">
        <v>0.5</v>
      </c>
      <c r="AA709" s="11"/>
      <c r="AB709" s="12" t="s">
        <v>1670</v>
      </c>
      <c r="AC709" s="12">
        <v>46103</v>
      </c>
      <c r="AD709" s="12" t="s">
        <v>124</v>
      </c>
      <c r="AE709" s="42"/>
      <c r="AF709" s="43" t="s">
        <v>1671</v>
      </c>
    </row>
    <row r="710" spans="1:32" x14ac:dyDescent="0.25">
      <c r="A710" s="44"/>
      <c r="B710" s="42"/>
      <c r="C710" s="42"/>
      <c r="D710" s="42"/>
      <c r="E710" s="42"/>
      <c r="F710" s="42"/>
      <c r="G710" s="42"/>
      <c r="H710" s="42"/>
      <c r="I710" s="48"/>
      <c r="J710" s="42"/>
      <c r="K710" s="42"/>
      <c r="L710" s="42"/>
      <c r="M710" s="42"/>
      <c r="N710" s="53"/>
      <c r="O710" s="11" t="s">
        <v>77</v>
      </c>
      <c r="P710" s="11" t="s">
        <v>77</v>
      </c>
      <c r="Q710" s="11" t="s">
        <v>77</v>
      </c>
      <c r="R710" s="11" t="s">
        <v>77</v>
      </c>
      <c r="S710" s="11"/>
      <c r="T710" s="12" t="s">
        <v>77</v>
      </c>
      <c r="U710" s="12" t="s">
        <v>77</v>
      </c>
      <c r="V710" s="4"/>
      <c r="W710" s="11" t="s">
        <v>1668</v>
      </c>
      <c r="X710" s="11" t="s">
        <v>42</v>
      </c>
      <c r="Y710" s="11" t="s">
        <v>1669</v>
      </c>
      <c r="Z710" s="11">
        <v>0.5</v>
      </c>
      <c r="AA710" s="11"/>
      <c r="AB710" s="12" t="s">
        <v>1670</v>
      </c>
      <c r="AC710" s="12">
        <v>46103</v>
      </c>
      <c r="AD710" s="12" t="s">
        <v>124</v>
      </c>
      <c r="AE710" s="42"/>
      <c r="AF710" s="42"/>
    </row>
    <row r="711" spans="1:32" ht="45" x14ac:dyDescent="0.25">
      <c r="A711" s="44"/>
      <c r="B711" s="42"/>
      <c r="C711" s="42"/>
      <c r="D711" s="42"/>
      <c r="E711" s="42"/>
      <c r="F711" s="42"/>
      <c r="G711" s="42"/>
      <c r="H711" s="42"/>
      <c r="I711" s="48"/>
      <c r="J711" s="42"/>
      <c r="K711" s="42"/>
      <c r="L711" s="42"/>
      <c r="M711" s="42"/>
      <c r="N711" s="53"/>
      <c r="O711" s="11" t="s">
        <v>1672</v>
      </c>
      <c r="P711" s="11" t="s">
        <v>84</v>
      </c>
      <c r="Q711" s="11">
        <v>55506</v>
      </c>
      <c r="R711" s="11">
        <v>0.5</v>
      </c>
      <c r="S711" s="11"/>
      <c r="T711" s="12" t="s">
        <v>1512</v>
      </c>
      <c r="U711" s="12">
        <v>46104</v>
      </c>
      <c r="V711" s="26" t="s">
        <v>1692</v>
      </c>
      <c r="W711" s="11" t="s">
        <v>1668</v>
      </c>
      <c r="X711" s="11" t="s">
        <v>42</v>
      </c>
      <c r="Y711" s="11" t="s">
        <v>1669</v>
      </c>
      <c r="Z711" s="11">
        <v>0.5</v>
      </c>
      <c r="AA711" s="11"/>
      <c r="AB711" s="12" t="s">
        <v>1670</v>
      </c>
      <c r="AC711" s="12">
        <v>46103</v>
      </c>
      <c r="AD711" s="12" t="s">
        <v>124</v>
      </c>
      <c r="AE711" s="42"/>
      <c r="AF711" s="42"/>
    </row>
    <row r="712" spans="1:32" ht="23.85" customHeight="1" x14ac:dyDescent="0.25">
      <c r="A712" s="44">
        <v>235</v>
      </c>
      <c r="B712" s="42" t="s">
        <v>1660</v>
      </c>
      <c r="C712" s="42" t="s">
        <v>1661</v>
      </c>
      <c r="D712" s="42">
        <v>103725</v>
      </c>
      <c r="E712" s="42" t="s">
        <v>1693</v>
      </c>
      <c r="F712" s="42" t="s">
        <v>31</v>
      </c>
      <c r="G712" s="42" t="s">
        <v>32</v>
      </c>
      <c r="H712" s="42" t="s">
        <v>1663</v>
      </c>
      <c r="I712" s="48" t="s">
        <v>1694</v>
      </c>
      <c r="J712" s="42" t="s">
        <v>71</v>
      </c>
      <c r="K712" s="42"/>
      <c r="L712" s="42" t="s">
        <v>1695</v>
      </c>
      <c r="M712" s="52">
        <v>48759</v>
      </c>
      <c r="N712" s="53" t="s">
        <v>1696</v>
      </c>
      <c r="O712" s="11" t="s">
        <v>1261</v>
      </c>
      <c r="P712" s="11" t="s">
        <v>163</v>
      </c>
      <c r="Q712" s="11">
        <v>67331</v>
      </c>
      <c r="R712" s="11">
        <v>0.5</v>
      </c>
      <c r="S712" s="11"/>
      <c r="T712" s="12" t="s">
        <v>1507</v>
      </c>
      <c r="U712" s="12">
        <v>46102</v>
      </c>
      <c r="V712" s="25" t="s">
        <v>1697</v>
      </c>
      <c r="W712" s="11" t="s">
        <v>1668</v>
      </c>
      <c r="X712" s="11" t="s">
        <v>42</v>
      </c>
      <c r="Y712" s="11" t="s">
        <v>1669</v>
      </c>
      <c r="Z712" s="11">
        <v>0.5</v>
      </c>
      <c r="AA712" s="11"/>
      <c r="AB712" s="12" t="s">
        <v>1670</v>
      </c>
      <c r="AC712" s="12">
        <v>46103</v>
      </c>
      <c r="AD712" s="12" t="s">
        <v>124</v>
      </c>
      <c r="AE712" s="42"/>
      <c r="AF712" s="43" t="s">
        <v>1671</v>
      </c>
    </row>
    <row r="713" spans="1:32" x14ac:dyDescent="0.25">
      <c r="A713" s="44"/>
      <c r="B713" s="42"/>
      <c r="C713" s="42"/>
      <c r="D713" s="42"/>
      <c r="E713" s="42"/>
      <c r="F713" s="42"/>
      <c r="G713" s="42"/>
      <c r="H713" s="42"/>
      <c r="I713" s="48"/>
      <c r="J713" s="42"/>
      <c r="K713" s="42"/>
      <c r="L713" s="42"/>
      <c r="M713" s="42"/>
      <c r="N713" s="53"/>
      <c r="O713" s="11" t="s">
        <v>77</v>
      </c>
      <c r="P713" s="11" t="s">
        <v>77</v>
      </c>
      <c r="Q713" s="11" t="s">
        <v>77</v>
      </c>
      <c r="R713" s="11" t="s">
        <v>77</v>
      </c>
      <c r="S713" s="11"/>
      <c r="T713" s="12" t="s">
        <v>77</v>
      </c>
      <c r="U713" s="12" t="s">
        <v>77</v>
      </c>
      <c r="V713" s="4"/>
      <c r="W713" s="11" t="s">
        <v>1668</v>
      </c>
      <c r="X713" s="11" t="s">
        <v>42</v>
      </c>
      <c r="Y713" s="11" t="s">
        <v>1669</v>
      </c>
      <c r="Z713" s="11">
        <v>0.5</v>
      </c>
      <c r="AA713" s="11"/>
      <c r="AB713" s="12" t="s">
        <v>1670</v>
      </c>
      <c r="AC713" s="12">
        <v>46103</v>
      </c>
      <c r="AD713" s="12" t="s">
        <v>124</v>
      </c>
      <c r="AE713" s="42"/>
      <c r="AF713" s="42"/>
    </row>
    <row r="714" spans="1:32" ht="45" x14ac:dyDescent="0.25">
      <c r="A714" s="44"/>
      <c r="B714" s="42"/>
      <c r="C714" s="42"/>
      <c r="D714" s="42"/>
      <c r="E714" s="42"/>
      <c r="F714" s="42"/>
      <c r="G714" s="42"/>
      <c r="H714" s="42"/>
      <c r="I714" s="48"/>
      <c r="J714" s="42"/>
      <c r="K714" s="42"/>
      <c r="L714" s="42"/>
      <c r="M714" s="42"/>
      <c r="N714" s="53"/>
      <c r="O714" s="11" t="s">
        <v>1672</v>
      </c>
      <c r="P714" s="11" t="s">
        <v>163</v>
      </c>
      <c r="Q714" s="11">
        <v>66429</v>
      </c>
      <c r="R714" s="11">
        <v>0.5</v>
      </c>
      <c r="S714" s="11"/>
      <c r="T714" s="12" t="s">
        <v>1507</v>
      </c>
      <c r="U714" s="12">
        <v>46102</v>
      </c>
      <c r="V714" s="26" t="s">
        <v>1698</v>
      </c>
      <c r="W714" s="11" t="s">
        <v>1668</v>
      </c>
      <c r="X714" s="11" t="s">
        <v>42</v>
      </c>
      <c r="Y714" s="11" t="s">
        <v>1669</v>
      </c>
      <c r="Z714" s="11">
        <v>0.5</v>
      </c>
      <c r="AA714" s="11"/>
      <c r="AB714" s="12" t="s">
        <v>1670</v>
      </c>
      <c r="AC714" s="12">
        <v>46103</v>
      </c>
      <c r="AD714" s="12" t="s">
        <v>124</v>
      </c>
      <c r="AE714" s="42"/>
      <c r="AF714" s="42"/>
    </row>
    <row r="715" spans="1:32" ht="23.85" customHeight="1" x14ac:dyDescent="0.25">
      <c r="A715" s="44">
        <v>236</v>
      </c>
      <c r="B715" s="42" t="s">
        <v>1660</v>
      </c>
      <c r="C715" s="42" t="s">
        <v>1661</v>
      </c>
      <c r="D715" s="42">
        <v>103725</v>
      </c>
      <c r="E715" s="42" t="s">
        <v>1699</v>
      </c>
      <c r="F715" s="42" t="s">
        <v>31</v>
      </c>
      <c r="G715" s="42" t="s">
        <v>32</v>
      </c>
      <c r="H715" s="42" t="s">
        <v>1663</v>
      </c>
      <c r="I715" s="48" t="s">
        <v>1700</v>
      </c>
      <c r="J715" s="42" t="s">
        <v>71</v>
      </c>
      <c r="K715" s="42"/>
      <c r="L715" s="42" t="s">
        <v>1701</v>
      </c>
      <c r="M715" s="52">
        <v>48797</v>
      </c>
      <c r="N715" s="53" t="s">
        <v>1702</v>
      </c>
      <c r="O715" s="11" t="s">
        <v>1703</v>
      </c>
      <c r="P715" s="11" t="s">
        <v>1704</v>
      </c>
      <c r="Q715" s="11">
        <v>14961</v>
      </c>
      <c r="R715" s="11">
        <v>0.5</v>
      </c>
      <c r="S715" s="11"/>
      <c r="T715" s="12" t="s">
        <v>1512</v>
      </c>
      <c r="U715" s="12">
        <v>46104</v>
      </c>
      <c r="V715" s="25" t="s">
        <v>1705</v>
      </c>
      <c r="W715" s="11" t="s">
        <v>77</v>
      </c>
      <c r="X715" s="11" t="s">
        <v>77</v>
      </c>
      <c r="Y715" s="11" t="s">
        <v>77</v>
      </c>
      <c r="Z715" s="11">
        <v>0</v>
      </c>
      <c r="AA715" s="11"/>
      <c r="AB715" s="12" t="s">
        <v>77</v>
      </c>
      <c r="AC715" s="12" t="s">
        <v>77</v>
      </c>
      <c r="AD715" s="12"/>
      <c r="AE715" s="42"/>
      <c r="AF715" s="43" t="s">
        <v>995</v>
      </c>
    </row>
    <row r="716" spans="1:32" ht="45" x14ac:dyDescent="0.25">
      <c r="A716" s="44"/>
      <c r="B716" s="42"/>
      <c r="C716" s="42"/>
      <c r="D716" s="42"/>
      <c r="E716" s="42"/>
      <c r="F716" s="42"/>
      <c r="G716" s="42"/>
      <c r="H716" s="42"/>
      <c r="I716" s="48"/>
      <c r="J716" s="42"/>
      <c r="K716" s="42"/>
      <c r="L716" s="42"/>
      <c r="M716" s="42"/>
      <c r="N716" s="53"/>
      <c r="O716" s="11" t="s">
        <v>1703</v>
      </c>
      <c r="P716" s="11" t="s">
        <v>1704</v>
      </c>
      <c r="Q716" s="11">
        <v>12020</v>
      </c>
      <c r="R716" s="11">
        <v>0.5</v>
      </c>
      <c r="S716" s="11"/>
      <c r="T716" s="12" t="s">
        <v>1670</v>
      </c>
      <c r="U716" s="12">
        <v>46103</v>
      </c>
      <c r="V716" s="26" t="s">
        <v>1706</v>
      </c>
      <c r="W716" s="11" t="s">
        <v>77</v>
      </c>
      <c r="X716" s="11" t="s">
        <v>77</v>
      </c>
      <c r="Y716" s="11" t="s">
        <v>77</v>
      </c>
      <c r="Z716" s="11" t="s">
        <v>77</v>
      </c>
      <c r="AA716" s="11"/>
      <c r="AB716" s="12" t="s">
        <v>77</v>
      </c>
      <c r="AC716" s="12" t="s">
        <v>77</v>
      </c>
      <c r="AD716" s="12"/>
      <c r="AE716" s="42"/>
      <c r="AF716" s="42"/>
    </row>
    <row r="717" spans="1:32" ht="45" x14ac:dyDescent="0.25">
      <c r="A717" s="44"/>
      <c r="B717" s="42"/>
      <c r="C717" s="42"/>
      <c r="D717" s="42"/>
      <c r="E717" s="42"/>
      <c r="F717" s="42"/>
      <c r="G717" s="42"/>
      <c r="H717" s="42"/>
      <c r="I717" s="48"/>
      <c r="J717" s="42"/>
      <c r="K717" s="42"/>
      <c r="L717" s="42"/>
      <c r="M717" s="42"/>
      <c r="N717" s="53"/>
      <c r="O717" s="11" t="s">
        <v>1707</v>
      </c>
      <c r="P717" s="11" t="s">
        <v>1704</v>
      </c>
      <c r="Q717" s="11">
        <v>55391</v>
      </c>
      <c r="R717" s="11">
        <v>0.5</v>
      </c>
      <c r="S717" s="11"/>
      <c r="T717" s="12" t="s">
        <v>1670</v>
      </c>
      <c r="U717" s="12">
        <v>46103</v>
      </c>
      <c r="V717" s="25" t="s">
        <v>1708</v>
      </c>
      <c r="W717" s="11" t="s">
        <v>77</v>
      </c>
      <c r="X717" s="11" t="s">
        <v>77</v>
      </c>
      <c r="Y717" s="11" t="s">
        <v>77</v>
      </c>
      <c r="Z717" s="11" t="s">
        <v>77</v>
      </c>
      <c r="AA717" s="11"/>
      <c r="AB717" s="12" t="s">
        <v>77</v>
      </c>
      <c r="AC717" s="12" t="s">
        <v>77</v>
      </c>
      <c r="AD717" s="12"/>
      <c r="AE717" s="42"/>
      <c r="AF717" s="42"/>
    </row>
    <row r="718" spans="1:32" ht="23.85" customHeight="1" x14ac:dyDescent="0.25">
      <c r="A718" s="44">
        <v>237</v>
      </c>
      <c r="B718" s="42" t="s">
        <v>1660</v>
      </c>
      <c r="C718" s="42" t="s">
        <v>1709</v>
      </c>
      <c r="D718" s="42">
        <v>94927</v>
      </c>
      <c r="E718" s="42" t="s">
        <v>1710</v>
      </c>
      <c r="F718" s="42" t="s">
        <v>31</v>
      </c>
      <c r="G718" s="42" t="s">
        <v>32</v>
      </c>
      <c r="H718" s="42" t="s">
        <v>1663</v>
      </c>
      <c r="I718" s="48" t="s">
        <v>1711</v>
      </c>
      <c r="J718" s="42" t="s">
        <v>71</v>
      </c>
      <c r="K718" s="42"/>
      <c r="L718" s="42" t="s">
        <v>1701</v>
      </c>
      <c r="M718" s="52">
        <v>48797</v>
      </c>
      <c r="N718" s="53" t="s">
        <v>1712</v>
      </c>
      <c r="O718" s="11" t="s">
        <v>1713</v>
      </c>
      <c r="P718" s="11" t="s">
        <v>156</v>
      </c>
      <c r="Q718" s="11" t="s">
        <v>1714</v>
      </c>
      <c r="R718" s="11">
        <v>0.5</v>
      </c>
      <c r="S718" s="11"/>
      <c r="T718" s="12">
        <v>44715</v>
      </c>
      <c r="U718" s="12">
        <v>46176</v>
      </c>
      <c r="V718" s="13" t="s">
        <v>1715</v>
      </c>
      <c r="W718" s="11" t="s">
        <v>1716</v>
      </c>
      <c r="X718" s="11" t="s">
        <v>42</v>
      </c>
      <c r="Y718" s="11" t="s">
        <v>1717</v>
      </c>
      <c r="Z718" s="11">
        <v>0.5</v>
      </c>
      <c r="AA718" s="11"/>
      <c r="AB718" s="12">
        <v>45096</v>
      </c>
      <c r="AC718" s="12">
        <v>46923</v>
      </c>
      <c r="AD718" s="14" t="s">
        <v>1718</v>
      </c>
      <c r="AE718" s="42"/>
      <c r="AF718" s="43" t="s">
        <v>1671</v>
      </c>
    </row>
    <row r="719" spans="1:32" ht="90" x14ac:dyDescent="0.25">
      <c r="A719" s="44"/>
      <c r="B719" s="42"/>
      <c r="C719" s="42"/>
      <c r="D719" s="42"/>
      <c r="E719" s="42"/>
      <c r="F719" s="42"/>
      <c r="G719" s="42"/>
      <c r="H719" s="42"/>
      <c r="I719" s="48"/>
      <c r="J719" s="42"/>
      <c r="K719" s="42"/>
      <c r="L719" s="42"/>
      <c r="M719" s="42"/>
      <c r="N719" s="53"/>
      <c r="O719" s="11" t="s">
        <v>1713</v>
      </c>
      <c r="P719" s="11" t="s">
        <v>156</v>
      </c>
      <c r="Q719" s="11" t="s">
        <v>1719</v>
      </c>
      <c r="R719" s="11">
        <v>0.5</v>
      </c>
      <c r="S719" s="11"/>
      <c r="T719" s="12">
        <v>44715</v>
      </c>
      <c r="U719" s="12">
        <v>46176</v>
      </c>
      <c r="V719" s="13" t="s">
        <v>1720</v>
      </c>
      <c r="W719" s="11" t="s">
        <v>1716</v>
      </c>
      <c r="X719" s="11" t="s">
        <v>42</v>
      </c>
      <c r="Y719" s="11" t="s">
        <v>1717</v>
      </c>
      <c r="Z719" s="11">
        <v>0.5</v>
      </c>
      <c r="AA719" s="11"/>
      <c r="AB719" s="12">
        <v>45096</v>
      </c>
      <c r="AC719" s="12">
        <v>46923</v>
      </c>
      <c r="AD719" s="14" t="s">
        <v>1718</v>
      </c>
      <c r="AE719" s="42"/>
      <c r="AF719" s="42"/>
    </row>
    <row r="720" spans="1:32" ht="90" x14ac:dyDescent="0.25">
      <c r="A720" s="44"/>
      <c r="B720" s="42"/>
      <c r="C720" s="42"/>
      <c r="D720" s="42"/>
      <c r="E720" s="42"/>
      <c r="F720" s="42"/>
      <c r="G720" s="42"/>
      <c r="H720" s="42"/>
      <c r="I720" s="48"/>
      <c r="J720" s="42"/>
      <c r="K720" s="42"/>
      <c r="L720" s="42"/>
      <c r="M720" s="42"/>
      <c r="N720" s="53"/>
      <c r="O720" s="11" t="s">
        <v>1721</v>
      </c>
      <c r="P720" s="11" t="s">
        <v>156</v>
      </c>
      <c r="Q720" s="11">
        <v>7991</v>
      </c>
      <c r="R720" s="11">
        <v>0.5</v>
      </c>
      <c r="S720" s="11"/>
      <c r="T720" s="12">
        <v>44715</v>
      </c>
      <c r="U720" s="12">
        <v>46176</v>
      </c>
      <c r="V720" s="13" t="s">
        <v>1722</v>
      </c>
      <c r="W720" s="11" t="s">
        <v>1716</v>
      </c>
      <c r="X720" s="11" t="s">
        <v>42</v>
      </c>
      <c r="Y720" s="11" t="s">
        <v>1717</v>
      </c>
      <c r="Z720" s="11">
        <v>0.5</v>
      </c>
      <c r="AA720" s="11"/>
      <c r="AB720" s="12">
        <v>45096</v>
      </c>
      <c r="AC720" s="12">
        <v>46923</v>
      </c>
      <c r="AD720" s="14" t="s">
        <v>1718</v>
      </c>
      <c r="AE720" s="42"/>
      <c r="AF720" s="42"/>
    </row>
    <row r="721" spans="1:32" ht="23.85" customHeight="1" x14ac:dyDescent="0.25">
      <c r="A721" s="44">
        <v>238</v>
      </c>
      <c r="B721" s="42" t="s">
        <v>1660</v>
      </c>
      <c r="C721" s="42" t="s">
        <v>1709</v>
      </c>
      <c r="D721" s="42">
        <v>94927</v>
      </c>
      <c r="E721" s="42" t="s">
        <v>1723</v>
      </c>
      <c r="F721" s="42" t="s">
        <v>31</v>
      </c>
      <c r="G721" s="42" t="s">
        <v>68</v>
      </c>
      <c r="H721" s="42" t="s">
        <v>1663</v>
      </c>
      <c r="I721" s="48" t="s">
        <v>1724</v>
      </c>
      <c r="J721" s="42" t="s">
        <v>71</v>
      </c>
      <c r="K721" s="42"/>
      <c r="L721" s="42" t="s">
        <v>1665</v>
      </c>
      <c r="M721" s="52">
        <v>48796</v>
      </c>
      <c r="N721" s="53" t="s">
        <v>1725</v>
      </c>
      <c r="O721" s="11" t="s">
        <v>1713</v>
      </c>
      <c r="P721" s="11" t="s">
        <v>433</v>
      </c>
      <c r="Q721" s="11" t="s">
        <v>1726</v>
      </c>
      <c r="R721" s="11">
        <v>0.5</v>
      </c>
      <c r="S721" s="11"/>
      <c r="T721" s="12" t="s">
        <v>1727</v>
      </c>
      <c r="U721" s="12">
        <v>46364</v>
      </c>
      <c r="V721" s="4" t="s">
        <v>124</v>
      </c>
      <c r="W721" s="11" t="s">
        <v>1716</v>
      </c>
      <c r="X721" s="11" t="s">
        <v>42</v>
      </c>
      <c r="Y721" s="11" t="s">
        <v>1717</v>
      </c>
      <c r="Z721" s="11">
        <v>0.5</v>
      </c>
      <c r="AA721" s="11"/>
      <c r="AB721" s="12">
        <v>45096</v>
      </c>
      <c r="AC721" s="12">
        <v>46923</v>
      </c>
      <c r="AD721" s="14" t="s">
        <v>1718</v>
      </c>
      <c r="AE721" s="42"/>
      <c r="AF721" s="43" t="s">
        <v>1671</v>
      </c>
    </row>
    <row r="722" spans="1:32" ht="90" x14ac:dyDescent="0.25">
      <c r="A722" s="44"/>
      <c r="B722" s="42"/>
      <c r="C722" s="42"/>
      <c r="D722" s="42"/>
      <c r="E722" s="42"/>
      <c r="F722" s="42"/>
      <c r="G722" s="42"/>
      <c r="H722" s="42"/>
      <c r="I722" s="48"/>
      <c r="J722" s="42"/>
      <c r="K722" s="42"/>
      <c r="L722" s="42"/>
      <c r="M722" s="42"/>
      <c r="N722" s="53"/>
      <c r="O722" s="11" t="s">
        <v>1713</v>
      </c>
      <c r="P722" s="11" t="s">
        <v>433</v>
      </c>
      <c r="Q722" s="11" t="s">
        <v>1728</v>
      </c>
      <c r="R722" s="11">
        <v>0.5</v>
      </c>
      <c r="S722" s="11"/>
      <c r="T722" s="12" t="s">
        <v>1727</v>
      </c>
      <c r="U722" s="12">
        <v>46364</v>
      </c>
      <c r="V722" s="4" t="s">
        <v>124</v>
      </c>
      <c r="W722" s="11" t="s">
        <v>1716</v>
      </c>
      <c r="X722" s="11" t="s">
        <v>42</v>
      </c>
      <c r="Y722" s="11" t="s">
        <v>1717</v>
      </c>
      <c r="Z722" s="11">
        <v>0.5</v>
      </c>
      <c r="AA722" s="11"/>
      <c r="AB722" s="12">
        <v>45096</v>
      </c>
      <c r="AC722" s="12">
        <v>46923</v>
      </c>
      <c r="AD722" s="14" t="s">
        <v>1718</v>
      </c>
      <c r="AE722" s="42"/>
      <c r="AF722" s="42"/>
    </row>
    <row r="723" spans="1:32" ht="90" x14ac:dyDescent="0.25">
      <c r="A723" s="44"/>
      <c r="B723" s="42"/>
      <c r="C723" s="42"/>
      <c r="D723" s="42"/>
      <c r="E723" s="42"/>
      <c r="F723" s="42"/>
      <c r="G723" s="42"/>
      <c r="H723" s="42"/>
      <c r="I723" s="48"/>
      <c r="J723" s="42"/>
      <c r="K723" s="42"/>
      <c r="L723" s="42"/>
      <c r="M723" s="42"/>
      <c r="N723" s="53"/>
      <c r="O723" s="11" t="s">
        <v>1721</v>
      </c>
      <c r="P723" s="11" t="s">
        <v>433</v>
      </c>
      <c r="Q723" s="11" t="s">
        <v>1729</v>
      </c>
      <c r="R723" s="11">
        <v>0.5</v>
      </c>
      <c r="S723" s="11"/>
      <c r="T723" s="12" t="s">
        <v>1727</v>
      </c>
      <c r="U723" s="12">
        <v>46364</v>
      </c>
      <c r="V723" s="4" t="s">
        <v>124</v>
      </c>
      <c r="W723" s="11" t="s">
        <v>1716</v>
      </c>
      <c r="X723" s="11" t="s">
        <v>42</v>
      </c>
      <c r="Y723" s="11" t="s">
        <v>1717</v>
      </c>
      <c r="Z723" s="11">
        <v>0.5</v>
      </c>
      <c r="AA723" s="11"/>
      <c r="AB723" s="12">
        <v>45096</v>
      </c>
      <c r="AC723" s="12">
        <v>46923</v>
      </c>
      <c r="AD723" s="14" t="s">
        <v>1718</v>
      </c>
      <c r="AE723" s="42"/>
      <c r="AF723" s="42"/>
    </row>
    <row r="724" spans="1:32" ht="23.85" customHeight="1" x14ac:dyDescent="0.25">
      <c r="A724" s="44">
        <v>239</v>
      </c>
      <c r="B724" s="42" t="s">
        <v>1660</v>
      </c>
      <c r="C724" s="42" t="s">
        <v>1709</v>
      </c>
      <c r="D724" s="42">
        <v>94927</v>
      </c>
      <c r="E724" s="42" t="s">
        <v>1730</v>
      </c>
      <c r="F724" s="42" t="s">
        <v>31</v>
      </c>
      <c r="G724" s="42" t="s">
        <v>68</v>
      </c>
      <c r="H724" s="42" t="s">
        <v>1663</v>
      </c>
      <c r="I724" s="48" t="s">
        <v>1731</v>
      </c>
      <c r="J724" s="42" t="s">
        <v>71</v>
      </c>
      <c r="K724" s="42"/>
      <c r="L724" s="42" t="s">
        <v>1701</v>
      </c>
      <c r="M724" s="52">
        <v>48797</v>
      </c>
      <c r="N724" s="53" t="s">
        <v>1732</v>
      </c>
      <c r="O724" s="11" t="s">
        <v>1713</v>
      </c>
      <c r="P724" s="11" t="s">
        <v>156</v>
      </c>
      <c r="Q724" s="11" t="s">
        <v>1733</v>
      </c>
      <c r="R724" s="11">
        <v>0.5</v>
      </c>
      <c r="S724" s="11"/>
      <c r="T724" s="12" t="s">
        <v>1727</v>
      </c>
      <c r="U724" s="12">
        <v>46364</v>
      </c>
      <c r="V724" s="4" t="s">
        <v>124</v>
      </c>
      <c r="W724" s="11" t="s">
        <v>1716</v>
      </c>
      <c r="X724" s="11" t="s">
        <v>42</v>
      </c>
      <c r="Y724" s="11" t="s">
        <v>1717</v>
      </c>
      <c r="Z724" s="11">
        <v>0.5</v>
      </c>
      <c r="AA724" s="11"/>
      <c r="AB724" s="12">
        <v>45096</v>
      </c>
      <c r="AC724" s="12">
        <v>46923</v>
      </c>
      <c r="AD724" s="14" t="s">
        <v>1718</v>
      </c>
      <c r="AE724" s="42"/>
      <c r="AF724" s="43" t="s">
        <v>1671</v>
      </c>
    </row>
    <row r="725" spans="1:32" ht="90" x14ac:dyDescent="0.25">
      <c r="A725" s="44"/>
      <c r="B725" s="42"/>
      <c r="C725" s="42"/>
      <c r="D725" s="42"/>
      <c r="E725" s="42"/>
      <c r="F725" s="42"/>
      <c r="G725" s="42"/>
      <c r="H725" s="42"/>
      <c r="I725" s="48"/>
      <c r="J725" s="42"/>
      <c r="K725" s="42"/>
      <c r="L725" s="42"/>
      <c r="M725" s="42"/>
      <c r="N725" s="53"/>
      <c r="O725" s="11" t="s">
        <v>1713</v>
      </c>
      <c r="P725" s="11" t="s">
        <v>156</v>
      </c>
      <c r="Q725" s="11" t="s">
        <v>1734</v>
      </c>
      <c r="R725" s="11">
        <v>0.5</v>
      </c>
      <c r="S725" s="11"/>
      <c r="T725" s="12" t="s">
        <v>1727</v>
      </c>
      <c r="U725" s="12">
        <v>46364</v>
      </c>
      <c r="V725" s="4" t="s">
        <v>124</v>
      </c>
      <c r="W725" s="11" t="s">
        <v>1716</v>
      </c>
      <c r="X725" s="11" t="s">
        <v>42</v>
      </c>
      <c r="Y725" s="11" t="s">
        <v>1717</v>
      </c>
      <c r="Z725" s="11">
        <v>0.5</v>
      </c>
      <c r="AA725" s="11"/>
      <c r="AB725" s="12">
        <v>45096</v>
      </c>
      <c r="AC725" s="12">
        <v>46923</v>
      </c>
      <c r="AD725" s="14" t="s">
        <v>1718</v>
      </c>
      <c r="AE725" s="42"/>
      <c r="AF725" s="42"/>
    </row>
    <row r="726" spans="1:32" ht="90" x14ac:dyDescent="0.25">
      <c r="A726" s="44"/>
      <c r="B726" s="42"/>
      <c r="C726" s="42"/>
      <c r="D726" s="42"/>
      <c r="E726" s="42"/>
      <c r="F726" s="42"/>
      <c r="G726" s="42"/>
      <c r="H726" s="42"/>
      <c r="I726" s="48"/>
      <c r="J726" s="42"/>
      <c r="K726" s="42"/>
      <c r="L726" s="42"/>
      <c r="M726" s="42"/>
      <c r="N726" s="53"/>
      <c r="O726" s="11" t="s">
        <v>1721</v>
      </c>
      <c r="P726" s="11" t="s">
        <v>156</v>
      </c>
      <c r="Q726" s="11" t="s">
        <v>1735</v>
      </c>
      <c r="R726" s="11">
        <v>0.5</v>
      </c>
      <c r="S726" s="11"/>
      <c r="T726" s="12" t="s">
        <v>1727</v>
      </c>
      <c r="U726" s="12">
        <v>46364</v>
      </c>
      <c r="V726" s="4" t="s">
        <v>124</v>
      </c>
      <c r="W726" s="11" t="s">
        <v>1716</v>
      </c>
      <c r="X726" s="11" t="s">
        <v>42</v>
      </c>
      <c r="Y726" s="11" t="s">
        <v>1717</v>
      </c>
      <c r="Z726" s="11">
        <v>0.5</v>
      </c>
      <c r="AA726" s="11"/>
      <c r="AB726" s="12">
        <v>45096</v>
      </c>
      <c r="AC726" s="12">
        <v>46923</v>
      </c>
      <c r="AD726" s="14" t="s">
        <v>1718</v>
      </c>
      <c r="AE726" s="42"/>
      <c r="AF726" s="42"/>
    </row>
    <row r="727" spans="1:32" ht="23.85" customHeight="1" x14ac:dyDescent="0.25">
      <c r="A727" s="44">
        <v>240</v>
      </c>
      <c r="B727" s="42" t="s">
        <v>1660</v>
      </c>
      <c r="C727" s="42" t="s">
        <v>1709</v>
      </c>
      <c r="D727" s="42">
        <v>94927</v>
      </c>
      <c r="E727" s="42" t="s">
        <v>1736</v>
      </c>
      <c r="F727" s="42" t="s">
        <v>31</v>
      </c>
      <c r="G727" s="42" t="s">
        <v>32</v>
      </c>
      <c r="H727" s="42" t="s">
        <v>1663</v>
      </c>
      <c r="I727" s="48" t="s">
        <v>1737</v>
      </c>
      <c r="J727" s="42" t="s">
        <v>71</v>
      </c>
      <c r="K727" s="42"/>
      <c r="L727" s="42" t="s">
        <v>1665</v>
      </c>
      <c r="M727" s="52">
        <v>48796</v>
      </c>
      <c r="N727" s="53" t="s">
        <v>1738</v>
      </c>
      <c r="O727" s="11" t="s">
        <v>1713</v>
      </c>
      <c r="P727" s="11" t="s">
        <v>93</v>
      </c>
      <c r="Q727" s="11" t="s">
        <v>1739</v>
      </c>
      <c r="R727" s="11">
        <v>0.5</v>
      </c>
      <c r="S727" s="11"/>
      <c r="T727" s="12" t="s">
        <v>1740</v>
      </c>
      <c r="U727" s="12">
        <v>46068</v>
      </c>
      <c r="V727" s="4" t="s">
        <v>124</v>
      </c>
      <c r="W727" s="11" t="s">
        <v>1716</v>
      </c>
      <c r="X727" s="11" t="s">
        <v>42</v>
      </c>
      <c r="Y727" s="11" t="s">
        <v>1717</v>
      </c>
      <c r="Z727" s="11">
        <v>0.5</v>
      </c>
      <c r="AA727" s="11"/>
      <c r="AB727" s="12">
        <v>45096</v>
      </c>
      <c r="AC727" s="12">
        <v>46923</v>
      </c>
      <c r="AD727" s="14" t="s">
        <v>1718</v>
      </c>
      <c r="AE727" s="42"/>
      <c r="AF727" s="43" t="s">
        <v>1671</v>
      </c>
    </row>
    <row r="728" spans="1:32" ht="90" x14ac:dyDescent="0.25">
      <c r="A728" s="44"/>
      <c r="B728" s="42"/>
      <c r="C728" s="42"/>
      <c r="D728" s="42"/>
      <c r="E728" s="42"/>
      <c r="F728" s="42"/>
      <c r="G728" s="42"/>
      <c r="H728" s="42"/>
      <c r="I728" s="48"/>
      <c r="J728" s="42"/>
      <c r="K728" s="42"/>
      <c r="L728" s="42"/>
      <c r="M728" s="42"/>
      <c r="N728" s="53"/>
      <c r="O728" s="11" t="s">
        <v>77</v>
      </c>
      <c r="P728" s="11" t="s">
        <v>77</v>
      </c>
      <c r="Q728" s="11" t="s">
        <v>77</v>
      </c>
      <c r="R728" s="11" t="s">
        <v>77</v>
      </c>
      <c r="S728" s="11"/>
      <c r="T728" s="12" t="s">
        <v>77</v>
      </c>
      <c r="U728" s="12" t="s">
        <v>77</v>
      </c>
      <c r="V728" s="4"/>
      <c r="W728" s="11" t="s">
        <v>1716</v>
      </c>
      <c r="X728" s="11" t="s">
        <v>42</v>
      </c>
      <c r="Y728" s="11" t="s">
        <v>1717</v>
      </c>
      <c r="Z728" s="11">
        <v>0.5</v>
      </c>
      <c r="AA728" s="11"/>
      <c r="AB728" s="12">
        <v>45096</v>
      </c>
      <c r="AC728" s="12">
        <v>46923</v>
      </c>
      <c r="AD728" s="14" t="s">
        <v>1718</v>
      </c>
      <c r="AE728" s="42"/>
      <c r="AF728" s="42"/>
    </row>
    <row r="729" spans="1:32" ht="90" x14ac:dyDescent="0.25">
      <c r="A729" s="44"/>
      <c r="B729" s="42"/>
      <c r="C729" s="42"/>
      <c r="D729" s="42"/>
      <c r="E729" s="42"/>
      <c r="F729" s="42"/>
      <c r="G729" s="42"/>
      <c r="H729" s="42"/>
      <c r="I729" s="48"/>
      <c r="J729" s="42"/>
      <c r="K729" s="42"/>
      <c r="L729" s="42"/>
      <c r="M729" s="42"/>
      <c r="N729" s="53"/>
      <c r="O729" s="11" t="s">
        <v>1721</v>
      </c>
      <c r="P729" s="11" t="s">
        <v>93</v>
      </c>
      <c r="Q729" s="11" t="s">
        <v>1741</v>
      </c>
      <c r="R729" s="11">
        <v>0.5</v>
      </c>
      <c r="S729" s="11"/>
      <c r="T729" s="12">
        <v>44880</v>
      </c>
      <c r="U729" s="12">
        <v>47802</v>
      </c>
      <c r="V729" s="13" t="s">
        <v>1742</v>
      </c>
      <c r="W729" s="11" t="s">
        <v>1716</v>
      </c>
      <c r="X729" s="11" t="s">
        <v>42</v>
      </c>
      <c r="Y729" s="11" t="s">
        <v>1717</v>
      </c>
      <c r="Z729" s="11">
        <v>0.5</v>
      </c>
      <c r="AA729" s="11"/>
      <c r="AB729" s="12">
        <v>45096</v>
      </c>
      <c r="AC729" s="12">
        <v>46923</v>
      </c>
      <c r="AD729" s="14" t="s">
        <v>1718</v>
      </c>
      <c r="AE729" s="42"/>
      <c r="AF729" s="42"/>
    </row>
    <row r="730" spans="1:32" ht="23.85" customHeight="1" x14ac:dyDescent="0.25">
      <c r="A730" s="44">
        <v>241</v>
      </c>
      <c r="B730" s="42" t="s">
        <v>1660</v>
      </c>
      <c r="C730" s="42" t="s">
        <v>1709</v>
      </c>
      <c r="D730" s="42">
        <v>94927</v>
      </c>
      <c r="E730" s="42" t="s">
        <v>1743</v>
      </c>
      <c r="F730" s="42" t="s">
        <v>31</v>
      </c>
      <c r="G730" s="42" t="s">
        <v>32</v>
      </c>
      <c r="H730" s="42" t="s">
        <v>1663</v>
      </c>
      <c r="I730" s="48" t="s">
        <v>1744</v>
      </c>
      <c r="J730" s="42" t="s">
        <v>71</v>
      </c>
      <c r="K730" s="42"/>
      <c r="L730" s="42" t="s">
        <v>1689</v>
      </c>
      <c r="M730" s="52">
        <v>48795</v>
      </c>
      <c r="N730" s="53" t="s">
        <v>1745</v>
      </c>
      <c r="O730" s="11" t="s">
        <v>1713</v>
      </c>
      <c r="P730" s="11" t="s">
        <v>116</v>
      </c>
      <c r="Q730" s="11" t="s">
        <v>1746</v>
      </c>
      <c r="R730" s="11">
        <v>0.5</v>
      </c>
      <c r="S730" s="11"/>
      <c r="T730" s="12">
        <v>44715</v>
      </c>
      <c r="U730" s="12">
        <v>46176</v>
      </c>
      <c r="V730" s="13" t="s">
        <v>1747</v>
      </c>
      <c r="W730" s="11" t="s">
        <v>1748</v>
      </c>
      <c r="X730" s="11" t="s">
        <v>42</v>
      </c>
      <c r="Y730" s="11" t="s">
        <v>1749</v>
      </c>
      <c r="Z730" s="11">
        <v>0.5</v>
      </c>
      <c r="AA730" s="11"/>
      <c r="AB730" s="12" t="s">
        <v>1750</v>
      </c>
      <c r="AC730" s="12">
        <v>46176</v>
      </c>
      <c r="AD730" s="12" t="s">
        <v>124</v>
      </c>
      <c r="AE730" s="42"/>
      <c r="AF730" s="43" t="s">
        <v>1671</v>
      </c>
    </row>
    <row r="731" spans="1:32" ht="45" x14ac:dyDescent="0.25">
      <c r="A731" s="44"/>
      <c r="B731" s="42"/>
      <c r="C731" s="42"/>
      <c r="D731" s="42"/>
      <c r="E731" s="42"/>
      <c r="F731" s="42"/>
      <c r="G731" s="42"/>
      <c r="H731" s="42"/>
      <c r="I731" s="48"/>
      <c r="J731" s="42"/>
      <c r="K731" s="42"/>
      <c r="L731" s="42"/>
      <c r="M731" s="42"/>
      <c r="N731" s="53"/>
      <c r="O731" s="11" t="s">
        <v>1713</v>
      </c>
      <c r="P731" s="11" t="s">
        <v>116</v>
      </c>
      <c r="Q731" s="11" t="s">
        <v>1751</v>
      </c>
      <c r="R731" s="11">
        <v>0.5</v>
      </c>
      <c r="S731" s="11"/>
      <c r="T731" s="12">
        <v>44715</v>
      </c>
      <c r="U731" s="12">
        <v>46176</v>
      </c>
      <c r="V731" s="13" t="s">
        <v>1752</v>
      </c>
      <c r="W731" s="11" t="s">
        <v>1748</v>
      </c>
      <c r="X731" s="11" t="s">
        <v>42</v>
      </c>
      <c r="Y731" s="11" t="s">
        <v>1753</v>
      </c>
      <c r="Z731" s="11">
        <v>0.5</v>
      </c>
      <c r="AA731" s="11"/>
      <c r="AB731" s="12" t="s">
        <v>1750</v>
      </c>
      <c r="AC731" s="12">
        <v>46176</v>
      </c>
      <c r="AD731" s="12" t="s">
        <v>124</v>
      </c>
      <c r="AE731" s="42"/>
      <c r="AF731" s="42"/>
    </row>
    <row r="732" spans="1:32" ht="45" x14ac:dyDescent="0.25">
      <c r="A732" s="44"/>
      <c r="B732" s="42"/>
      <c r="C732" s="42"/>
      <c r="D732" s="42"/>
      <c r="E732" s="42"/>
      <c r="F732" s="42"/>
      <c r="G732" s="42"/>
      <c r="H732" s="42"/>
      <c r="I732" s="48"/>
      <c r="J732" s="42"/>
      <c r="K732" s="42"/>
      <c r="L732" s="42"/>
      <c r="M732" s="42"/>
      <c r="N732" s="53"/>
      <c r="O732" s="11" t="s">
        <v>1721</v>
      </c>
      <c r="P732" s="11" t="s">
        <v>116</v>
      </c>
      <c r="Q732" s="11">
        <v>13433</v>
      </c>
      <c r="R732" s="11">
        <v>0.5</v>
      </c>
      <c r="S732" s="11"/>
      <c r="T732" s="12">
        <v>44715</v>
      </c>
      <c r="U732" s="12">
        <v>46176</v>
      </c>
      <c r="V732" s="13" t="s">
        <v>1754</v>
      </c>
      <c r="W732" s="11" t="s">
        <v>1755</v>
      </c>
      <c r="X732" s="11" t="s">
        <v>42</v>
      </c>
      <c r="Y732" s="11" t="s">
        <v>1756</v>
      </c>
      <c r="Z732" s="11">
        <v>0.5</v>
      </c>
      <c r="AA732" s="11"/>
      <c r="AB732" s="12" t="s">
        <v>1750</v>
      </c>
      <c r="AC732" s="12">
        <v>46176</v>
      </c>
      <c r="AD732" s="12" t="s">
        <v>124</v>
      </c>
      <c r="AE732" s="42"/>
      <c r="AF732" s="42"/>
    </row>
    <row r="733" spans="1:32" ht="23.85" customHeight="1" x14ac:dyDescent="0.25">
      <c r="A733" s="44">
        <v>242</v>
      </c>
      <c r="B733" s="42" t="s">
        <v>1660</v>
      </c>
      <c r="C733" s="42" t="s">
        <v>1709</v>
      </c>
      <c r="D733" s="42">
        <v>94927</v>
      </c>
      <c r="E733" s="42" t="s">
        <v>1757</v>
      </c>
      <c r="F733" s="42" t="s">
        <v>31</v>
      </c>
      <c r="G733" s="42" t="s">
        <v>68</v>
      </c>
      <c r="H733" s="42" t="s">
        <v>1663</v>
      </c>
      <c r="I733" s="48" t="s">
        <v>1758</v>
      </c>
      <c r="J733" s="42" t="s">
        <v>71</v>
      </c>
      <c r="K733" s="42"/>
      <c r="L733" s="42" t="s">
        <v>1689</v>
      </c>
      <c r="M733" s="52">
        <v>48795</v>
      </c>
      <c r="N733" s="53" t="s">
        <v>1759</v>
      </c>
      <c r="O733" s="11" t="s">
        <v>1713</v>
      </c>
      <c r="P733" s="11" t="s">
        <v>433</v>
      </c>
      <c r="Q733" s="11" t="s">
        <v>1760</v>
      </c>
      <c r="R733" s="11">
        <v>0.5</v>
      </c>
      <c r="S733" s="11"/>
      <c r="T733" s="12" t="s">
        <v>1727</v>
      </c>
      <c r="U733" s="12">
        <v>46364</v>
      </c>
      <c r="V733" s="4" t="s">
        <v>124</v>
      </c>
      <c r="W733" s="11" t="s">
        <v>1748</v>
      </c>
      <c r="X733" s="11" t="s">
        <v>42</v>
      </c>
      <c r="Y733" s="11" t="s">
        <v>1749</v>
      </c>
      <c r="Z733" s="11">
        <v>0.5</v>
      </c>
      <c r="AA733" s="11"/>
      <c r="AB733" s="12" t="s">
        <v>1750</v>
      </c>
      <c r="AC733" s="12">
        <v>46176</v>
      </c>
      <c r="AD733" s="12" t="s">
        <v>124</v>
      </c>
      <c r="AE733" s="42"/>
      <c r="AF733" s="43" t="s">
        <v>1671</v>
      </c>
    </row>
    <row r="734" spans="1:32" ht="25.5" x14ac:dyDescent="0.25">
      <c r="A734" s="44"/>
      <c r="B734" s="42"/>
      <c r="C734" s="42"/>
      <c r="D734" s="42"/>
      <c r="E734" s="42"/>
      <c r="F734" s="42"/>
      <c r="G734" s="42"/>
      <c r="H734" s="42"/>
      <c r="I734" s="48"/>
      <c r="J734" s="42"/>
      <c r="K734" s="42"/>
      <c r="L734" s="42"/>
      <c r="M734" s="42"/>
      <c r="N734" s="53"/>
      <c r="O734" s="11" t="s">
        <v>1713</v>
      </c>
      <c r="P734" s="11" t="s">
        <v>433</v>
      </c>
      <c r="Q734" s="11" t="s">
        <v>1761</v>
      </c>
      <c r="R734" s="11">
        <v>0.5</v>
      </c>
      <c r="S734" s="11"/>
      <c r="T734" s="12" t="s">
        <v>1727</v>
      </c>
      <c r="U734" s="12">
        <v>46364</v>
      </c>
      <c r="V734" s="4" t="s">
        <v>124</v>
      </c>
      <c r="W734" s="11" t="s">
        <v>1748</v>
      </c>
      <c r="X734" s="11" t="s">
        <v>42</v>
      </c>
      <c r="Y734" s="11" t="s">
        <v>1753</v>
      </c>
      <c r="Z734" s="11">
        <v>0.5</v>
      </c>
      <c r="AA734" s="11"/>
      <c r="AB734" s="12" t="s">
        <v>1750</v>
      </c>
      <c r="AC734" s="12">
        <v>46176</v>
      </c>
      <c r="AD734" s="12" t="s">
        <v>124</v>
      </c>
      <c r="AE734" s="42"/>
      <c r="AF734" s="42"/>
    </row>
    <row r="735" spans="1:32" x14ac:dyDescent="0.25">
      <c r="A735" s="44"/>
      <c r="B735" s="42"/>
      <c r="C735" s="42"/>
      <c r="D735" s="42"/>
      <c r="E735" s="42"/>
      <c r="F735" s="42"/>
      <c r="G735" s="42"/>
      <c r="H735" s="42"/>
      <c r="I735" s="48"/>
      <c r="J735" s="42"/>
      <c r="K735" s="42"/>
      <c r="L735" s="42"/>
      <c r="M735" s="42"/>
      <c r="N735" s="53"/>
      <c r="O735" s="11" t="s">
        <v>1721</v>
      </c>
      <c r="P735" s="11" t="s">
        <v>433</v>
      </c>
      <c r="Q735" s="11" t="s">
        <v>1762</v>
      </c>
      <c r="R735" s="11">
        <v>0.5</v>
      </c>
      <c r="S735" s="11"/>
      <c r="T735" s="12" t="s">
        <v>1727</v>
      </c>
      <c r="U735" s="12">
        <v>46364</v>
      </c>
      <c r="V735" s="4" t="s">
        <v>124</v>
      </c>
      <c r="W735" s="11" t="s">
        <v>1755</v>
      </c>
      <c r="X735" s="11" t="s">
        <v>42</v>
      </c>
      <c r="Y735" s="11" t="s">
        <v>1756</v>
      </c>
      <c r="Z735" s="11">
        <v>0.5</v>
      </c>
      <c r="AA735" s="11"/>
      <c r="AB735" s="12" t="s">
        <v>1750</v>
      </c>
      <c r="AC735" s="12">
        <v>46176</v>
      </c>
      <c r="AD735" s="12" t="s">
        <v>124</v>
      </c>
      <c r="AE735" s="42"/>
      <c r="AF735" s="42"/>
    </row>
    <row r="736" spans="1:32" ht="23.85" customHeight="1" x14ac:dyDescent="0.25">
      <c r="A736" s="44">
        <v>243</v>
      </c>
      <c r="B736" s="42" t="s">
        <v>1660</v>
      </c>
      <c r="C736" s="42" t="s">
        <v>1709</v>
      </c>
      <c r="D736" s="42">
        <v>94927</v>
      </c>
      <c r="E736" s="42" t="s">
        <v>1763</v>
      </c>
      <c r="F736" s="42" t="s">
        <v>31</v>
      </c>
      <c r="G736" s="42" t="s">
        <v>68</v>
      </c>
      <c r="H736" s="42" t="s">
        <v>1663</v>
      </c>
      <c r="I736" s="48" t="s">
        <v>1764</v>
      </c>
      <c r="J736" s="42" t="s">
        <v>71</v>
      </c>
      <c r="K736" s="42"/>
      <c r="L736" s="42" t="s">
        <v>1665</v>
      </c>
      <c r="M736" s="52">
        <v>48796</v>
      </c>
      <c r="N736" s="53" t="s">
        <v>1765</v>
      </c>
      <c r="O736" s="11" t="s">
        <v>1713</v>
      </c>
      <c r="P736" s="11" t="s">
        <v>156</v>
      </c>
      <c r="Q736" s="11" t="s">
        <v>1766</v>
      </c>
      <c r="R736" s="11">
        <v>0.5</v>
      </c>
      <c r="S736" s="11"/>
      <c r="T736" s="12" t="s">
        <v>1727</v>
      </c>
      <c r="U736" s="12">
        <v>46364</v>
      </c>
      <c r="V736" s="4" t="s">
        <v>124</v>
      </c>
      <c r="W736" s="11" t="s">
        <v>1748</v>
      </c>
      <c r="X736" s="11" t="s">
        <v>42</v>
      </c>
      <c r="Y736" s="11" t="s">
        <v>1749</v>
      </c>
      <c r="Z736" s="11">
        <v>0.5</v>
      </c>
      <c r="AA736" s="11"/>
      <c r="AB736" s="12" t="s">
        <v>1750</v>
      </c>
      <c r="AC736" s="12">
        <v>46176</v>
      </c>
      <c r="AD736" s="12" t="s">
        <v>124</v>
      </c>
      <c r="AE736" s="42"/>
      <c r="AF736" s="43" t="s">
        <v>1671</v>
      </c>
    </row>
    <row r="737" spans="1:32" ht="25.5" x14ac:dyDescent="0.25">
      <c r="A737" s="44"/>
      <c r="B737" s="42"/>
      <c r="C737" s="42"/>
      <c r="D737" s="42"/>
      <c r="E737" s="42"/>
      <c r="F737" s="42"/>
      <c r="G737" s="42"/>
      <c r="H737" s="42"/>
      <c r="I737" s="48"/>
      <c r="J737" s="42"/>
      <c r="K737" s="42"/>
      <c r="L737" s="42"/>
      <c r="M737" s="42"/>
      <c r="N737" s="53"/>
      <c r="O737" s="11" t="s">
        <v>1713</v>
      </c>
      <c r="P737" s="11" t="s">
        <v>156</v>
      </c>
      <c r="Q737" s="11" t="s">
        <v>1767</v>
      </c>
      <c r="R737" s="11">
        <v>0.5</v>
      </c>
      <c r="S737" s="11"/>
      <c r="T737" s="12" t="s">
        <v>1727</v>
      </c>
      <c r="U737" s="12">
        <v>46364</v>
      </c>
      <c r="V737" s="4" t="s">
        <v>124</v>
      </c>
      <c r="W737" s="11" t="s">
        <v>1748</v>
      </c>
      <c r="X737" s="11" t="s">
        <v>42</v>
      </c>
      <c r="Y737" s="11" t="s">
        <v>1753</v>
      </c>
      <c r="Z737" s="11">
        <v>0.5</v>
      </c>
      <c r="AA737" s="11"/>
      <c r="AB737" s="12" t="s">
        <v>1750</v>
      </c>
      <c r="AC737" s="12">
        <v>46176</v>
      </c>
      <c r="AD737" s="12" t="s">
        <v>124</v>
      </c>
      <c r="AE737" s="42"/>
      <c r="AF737" s="42"/>
    </row>
    <row r="738" spans="1:32" x14ac:dyDescent="0.25">
      <c r="A738" s="44"/>
      <c r="B738" s="42"/>
      <c r="C738" s="42"/>
      <c r="D738" s="42"/>
      <c r="E738" s="42"/>
      <c r="F738" s="42"/>
      <c r="G738" s="42"/>
      <c r="H738" s="42"/>
      <c r="I738" s="48"/>
      <c r="J738" s="42"/>
      <c r="K738" s="42"/>
      <c r="L738" s="42"/>
      <c r="M738" s="42"/>
      <c r="N738" s="53"/>
      <c r="O738" s="11" t="s">
        <v>1721</v>
      </c>
      <c r="P738" s="11" t="s">
        <v>156</v>
      </c>
      <c r="Q738" s="11" t="s">
        <v>1768</v>
      </c>
      <c r="R738" s="11">
        <v>0.5</v>
      </c>
      <c r="S738" s="11"/>
      <c r="T738" s="12" t="s">
        <v>1727</v>
      </c>
      <c r="U738" s="12">
        <v>46364</v>
      </c>
      <c r="V738" s="4" t="s">
        <v>124</v>
      </c>
      <c r="W738" s="11" t="s">
        <v>1755</v>
      </c>
      <c r="X738" s="11" t="s">
        <v>42</v>
      </c>
      <c r="Y738" s="11" t="s">
        <v>1756</v>
      </c>
      <c r="Z738" s="11">
        <v>0.5</v>
      </c>
      <c r="AA738" s="11"/>
      <c r="AB738" s="12" t="s">
        <v>1750</v>
      </c>
      <c r="AC738" s="12">
        <v>46176</v>
      </c>
      <c r="AD738" s="12" t="s">
        <v>124</v>
      </c>
      <c r="AE738" s="42"/>
      <c r="AF738" s="42"/>
    </row>
    <row r="739" spans="1:32" ht="23.85" customHeight="1" x14ac:dyDescent="0.25">
      <c r="A739" s="44">
        <v>244</v>
      </c>
      <c r="B739" s="42" t="s">
        <v>1660</v>
      </c>
      <c r="C739" s="42" t="s">
        <v>1709</v>
      </c>
      <c r="D739" s="42">
        <v>94927</v>
      </c>
      <c r="E739" s="42" t="s">
        <v>1769</v>
      </c>
      <c r="F739" s="42" t="s">
        <v>31</v>
      </c>
      <c r="G739" s="42" t="s">
        <v>32</v>
      </c>
      <c r="H739" s="42" t="s">
        <v>1663</v>
      </c>
      <c r="I739" s="48" t="s">
        <v>1770</v>
      </c>
      <c r="J739" s="42" t="s">
        <v>71</v>
      </c>
      <c r="K739" s="42"/>
      <c r="L739" s="42" t="s">
        <v>1665</v>
      </c>
      <c r="M739" s="52">
        <v>48796</v>
      </c>
      <c r="N739" s="53" t="s">
        <v>1771</v>
      </c>
      <c r="O739" s="11" t="s">
        <v>1713</v>
      </c>
      <c r="P739" s="11" t="s">
        <v>93</v>
      </c>
      <c r="Q739" s="11" t="s">
        <v>1772</v>
      </c>
      <c r="R739" s="11">
        <v>0.5</v>
      </c>
      <c r="S739" s="11"/>
      <c r="T739" s="12">
        <v>44715</v>
      </c>
      <c r="U739" s="12">
        <v>46176</v>
      </c>
      <c r="V739" s="13" t="s">
        <v>1773</v>
      </c>
      <c r="W739" s="11" t="s">
        <v>1748</v>
      </c>
      <c r="X739" s="11" t="s">
        <v>42</v>
      </c>
      <c r="Y739" s="11" t="s">
        <v>1749</v>
      </c>
      <c r="Z739" s="11">
        <v>0.5</v>
      </c>
      <c r="AA739" s="11"/>
      <c r="AB739" s="12" t="s">
        <v>1750</v>
      </c>
      <c r="AC739" s="12">
        <v>46176</v>
      </c>
      <c r="AD739" s="12" t="s">
        <v>124</v>
      </c>
      <c r="AE739" s="42"/>
      <c r="AF739" s="43" t="s">
        <v>1671</v>
      </c>
    </row>
    <row r="740" spans="1:32" ht="25.5" x14ac:dyDescent="0.25">
      <c r="A740" s="44"/>
      <c r="B740" s="42"/>
      <c r="C740" s="42"/>
      <c r="D740" s="42"/>
      <c r="E740" s="42"/>
      <c r="F740" s="42"/>
      <c r="G740" s="42"/>
      <c r="H740" s="42"/>
      <c r="I740" s="48"/>
      <c r="J740" s="42"/>
      <c r="K740" s="42"/>
      <c r="L740" s="42"/>
      <c r="M740" s="42"/>
      <c r="N740" s="53"/>
      <c r="O740" s="11" t="s">
        <v>77</v>
      </c>
      <c r="P740" s="11" t="s">
        <v>77</v>
      </c>
      <c r="Q740" s="11" t="s">
        <v>77</v>
      </c>
      <c r="R740" s="11" t="s">
        <v>77</v>
      </c>
      <c r="S740" s="11"/>
      <c r="T740" s="12" t="s">
        <v>77</v>
      </c>
      <c r="U740" s="12" t="s">
        <v>77</v>
      </c>
      <c r="V740" s="4"/>
      <c r="W740" s="11" t="s">
        <v>1748</v>
      </c>
      <c r="X740" s="11" t="s">
        <v>42</v>
      </c>
      <c r="Y740" s="11" t="s">
        <v>1753</v>
      </c>
      <c r="Z740" s="11">
        <v>0.5</v>
      </c>
      <c r="AA740" s="11"/>
      <c r="AB740" s="12" t="s">
        <v>1750</v>
      </c>
      <c r="AC740" s="12">
        <v>46176</v>
      </c>
      <c r="AD740" s="12" t="s">
        <v>124</v>
      </c>
      <c r="AE740" s="42"/>
      <c r="AF740" s="42"/>
    </row>
    <row r="741" spans="1:32" ht="45" x14ac:dyDescent="0.25">
      <c r="A741" s="44"/>
      <c r="B741" s="42"/>
      <c r="C741" s="42"/>
      <c r="D741" s="42"/>
      <c r="E741" s="42"/>
      <c r="F741" s="42"/>
      <c r="G741" s="42"/>
      <c r="H741" s="42"/>
      <c r="I741" s="48"/>
      <c r="J741" s="42"/>
      <c r="K741" s="42"/>
      <c r="L741" s="42"/>
      <c r="M741" s="42"/>
      <c r="N741" s="53"/>
      <c r="O741" s="11" t="s">
        <v>1721</v>
      </c>
      <c r="P741" s="11" t="s">
        <v>93</v>
      </c>
      <c r="Q741" s="11">
        <v>7864</v>
      </c>
      <c r="R741" s="11">
        <v>0.5</v>
      </c>
      <c r="S741" s="11"/>
      <c r="T741" s="12">
        <v>44715</v>
      </c>
      <c r="U741" s="12">
        <v>46176</v>
      </c>
      <c r="V741" s="13" t="s">
        <v>1774</v>
      </c>
      <c r="W741" s="11" t="s">
        <v>1755</v>
      </c>
      <c r="X741" s="11" t="s">
        <v>42</v>
      </c>
      <c r="Y741" s="11" t="s">
        <v>1756</v>
      </c>
      <c r="Z741" s="11">
        <v>0.5</v>
      </c>
      <c r="AA741" s="11"/>
      <c r="AB741" s="12" t="s">
        <v>1750</v>
      </c>
      <c r="AC741" s="12">
        <v>46176</v>
      </c>
      <c r="AD741" s="12" t="s">
        <v>124</v>
      </c>
      <c r="AE741" s="42"/>
      <c r="AF741" s="42"/>
    </row>
    <row r="742" spans="1:32" ht="23.85" customHeight="1" x14ac:dyDescent="0.25">
      <c r="A742" s="44">
        <v>245</v>
      </c>
      <c r="B742" s="42" t="s">
        <v>1660</v>
      </c>
      <c r="C742" s="42" t="s">
        <v>1709</v>
      </c>
      <c r="D742" s="42">
        <v>94927</v>
      </c>
      <c r="E742" s="42" t="s">
        <v>1775</v>
      </c>
      <c r="F742" s="42" t="s">
        <v>31</v>
      </c>
      <c r="G742" s="42" t="s">
        <v>68</v>
      </c>
      <c r="H742" s="42" t="s">
        <v>1663</v>
      </c>
      <c r="I742" s="48" t="s">
        <v>1776</v>
      </c>
      <c r="J742" s="42" t="s">
        <v>71</v>
      </c>
      <c r="K742" s="42"/>
      <c r="L742" s="42" t="s">
        <v>1683</v>
      </c>
      <c r="M742" s="52">
        <v>48760</v>
      </c>
      <c r="N742" s="53" t="s">
        <v>1777</v>
      </c>
      <c r="O742" s="11" t="s">
        <v>990</v>
      </c>
      <c r="P742" s="11" t="s">
        <v>84</v>
      </c>
      <c r="Q742" s="11" t="s">
        <v>1778</v>
      </c>
      <c r="R742" s="11">
        <v>0.5</v>
      </c>
      <c r="S742" s="11"/>
      <c r="T742" s="12" t="s">
        <v>1195</v>
      </c>
      <c r="U742" s="12">
        <v>49597</v>
      </c>
      <c r="V742" s="4" t="s">
        <v>124</v>
      </c>
      <c r="W742" s="11" t="s">
        <v>77</v>
      </c>
      <c r="X742" s="11" t="s">
        <v>77</v>
      </c>
      <c r="Y742" s="11" t="s">
        <v>77</v>
      </c>
      <c r="Z742" s="11">
        <v>0</v>
      </c>
      <c r="AA742" s="11"/>
      <c r="AB742" s="12" t="s">
        <v>77</v>
      </c>
      <c r="AC742" s="12" t="s">
        <v>77</v>
      </c>
      <c r="AD742" s="12"/>
      <c r="AE742" s="42"/>
      <c r="AF742" s="43" t="s">
        <v>995</v>
      </c>
    </row>
    <row r="743" spans="1:32" ht="25.5" x14ac:dyDescent="0.25">
      <c r="A743" s="44"/>
      <c r="B743" s="42"/>
      <c r="C743" s="42"/>
      <c r="D743" s="42"/>
      <c r="E743" s="42"/>
      <c r="F743" s="42"/>
      <c r="G743" s="42"/>
      <c r="H743" s="42"/>
      <c r="I743" s="48"/>
      <c r="J743" s="42"/>
      <c r="K743" s="42"/>
      <c r="L743" s="42"/>
      <c r="M743" s="42"/>
      <c r="N743" s="53"/>
      <c r="O743" s="11" t="s">
        <v>990</v>
      </c>
      <c r="P743" s="11" t="s">
        <v>84</v>
      </c>
      <c r="Q743" s="11" t="s">
        <v>1779</v>
      </c>
      <c r="R743" s="11">
        <v>0.5</v>
      </c>
      <c r="S743" s="11"/>
      <c r="T743" s="12" t="s">
        <v>1195</v>
      </c>
      <c r="U743" s="12">
        <v>49597</v>
      </c>
      <c r="V743" s="4" t="s">
        <v>124</v>
      </c>
      <c r="W743" s="11" t="s">
        <v>77</v>
      </c>
      <c r="X743" s="11" t="s">
        <v>77</v>
      </c>
      <c r="Y743" s="11" t="s">
        <v>77</v>
      </c>
      <c r="Z743" s="11" t="s">
        <v>77</v>
      </c>
      <c r="AA743" s="11"/>
      <c r="AB743" s="12" t="s">
        <v>77</v>
      </c>
      <c r="AC743" s="12" t="s">
        <v>77</v>
      </c>
      <c r="AD743" s="12"/>
      <c r="AE743" s="42"/>
      <c r="AF743" s="42"/>
    </row>
    <row r="744" spans="1:32" x14ac:dyDescent="0.25">
      <c r="A744" s="44"/>
      <c r="B744" s="42"/>
      <c r="C744" s="42"/>
      <c r="D744" s="42"/>
      <c r="E744" s="42"/>
      <c r="F744" s="42"/>
      <c r="G744" s="42"/>
      <c r="H744" s="42"/>
      <c r="I744" s="48"/>
      <c r="J744" s="42"/>
      <c r="K744" s="42"/>
      <c r="L744" s="42"/>
      <c r="M744" s="42"/>
      <c r="N744" s="53"/>
      <c r="O744" s="11" t="s">
        <v>997</v>
      </c>
      <c r="P744" s="11" t="s">
        <v>84</v>
      </c>
      <c r="Q744" s="11" t="s">
        <v>1780</v>
      </c>
      <c r="R744" s="11">
        <v>0.5</v>
      </c>
      <c r="S744" s="11"/>
      <c r="T744" s="12" t="s">
        <v>1195</v>
      </c>
      <c r="U744" s="12">
        <v>49597</v>
      </c>
      <c r="V744" s="4" t="s">
        <v>124</v>
      </c>
      <c r="W744" s="11" t="s">
        <v>77</v>
      </c>
      <c r="X744" s="11" t="s">
        <v>77</v>
      </c>
      <c r="Y744" s="11" t="s">
        <v>77</v>
      </c>
      <c r="Z744" s="11" t="s">
        <v>77</v>
      </c>
      <c r="AA744" s="11"/>
      <c r="AB744" s="12" t="s">
        <v>77</v>
      </c>
      <c r="AC744" s="12" t="s">
        <v>77</v>
      </c>
      <c r="AD744" s="12"/>
      <c r="AE744" s="42"/>
      <c r="AF744" s="42"/>
    </row>
    <row r="745" spans="1:32" ht="23.85" customHeight="1" x14ac:dyDescent="0.25">
      <c r="A745" s="44">
        <v>246</v>
      </c>
      <c r="B745" s="42" t="s">
        <v>1660</v>
      </c>
      <c r="C745" s="42" t="s">
        <v>1709</v>
      </c>
      <c r="D745" s="42">
        <v>94927</v>
      </c>
      <c r="E745" s="42" t="s">
        <v>1781</v>
      </c>
      <c r="F745" s="42" t="s">
        <v>31</v>
      </c>
      <c r="G745" s="42" t="s">
        <v>68</v>
      </c>
      <c r="H745" s="42" t="s">
        <v>1663</v>
      </c>
      <c r="I745" s="48" t="s">
        <v>1782</v>
      </c>
      <c r="J745" s="42" t="s">
        <v>71</v>
      </c>
      <c r="K745" s="42"/>
      <c r="L745" s="42" t="s">
        <v>1689</v>
      </c>
      <c r="M745" s="52">
        <v>48795</v>
      </c>
      <c r="N745" s="53" t="s">
        <v>1783</v>
      </c>
      <c r="O745" s="11" t="s">
        <v>990</v>
      </c>
      <c r="P745" s="11" t="s">
        <v>84</v>
      </c>
      <c r="Q745" s="11" t="s">
        <v>1784</v>
      </c>
      <c r="R745" s="11">
        <v>0.5</v>
      </c>
      <c r="S745" s="11"/>
      <c r="T745" s="12" t="s">
        <v>1195</v>
      </c>
      <c r="U745" s="12">
        <v>49597</v>
      </c>
      <c r="V745" s="4" t="s">
        <v>124</v>
      </c>
      <c r="W745" s="11" t="s">
        <v>77</v>
      </c>
      <c r="X745" s="11" t="s">
        <v>77</v>
      </c>
      <c r="Y745" s="11" t="s">
        <v>77</v>
      </c>
      <c r="Z745" s="11">
        <v>0</v>
      </c>
      <c r="AA745" s="11"/>
      <c r="AB745" s="12" t="s">
        <v>77</v>
      </c>
      <c r="AC745" s="12" t="s">
        <v>77</v>
      </c>
      <c r="AD745" s="12"/>
      <c r="AE745" s="42"/>
      <c r="AF745" s="43" t="s">
        <v>995</v>
      </c>
    </row>
    <row r="746" spans="1:32" ht="25.5" x14ac:dyDescent="0.25">
      <c r="A746" s="44"/>
      <c r="B746" s="42"/>
      <c r="C746" s="42"/>
      <c r="D746" s="42"/>
      <c r="E746" s="42"/>
      <c r="F746" s="42"/>
      <c r="G746" s="42"/>
      <c r="H746" s="42"/>
      <c r="I746" s="48"/>
      <c r="J746" s="42"/>
      <c r="K746" s="42"/>
      <c r="L746" s="42"/>
      <c r="M746" s="42"/>
      <c r="N746" s="53"/>
      <c r="O746" s="11" t="s">
        <v>990</v>
      </c>
      <c r="P746" s="11" t="s">
        <v>84</v>
      </c>
      <c r="Q746" s="11" t="s">
        <v>1785</v>
      </c>
      <c r="R746" s="11">
        <v>0.5</v>
      </c>
      <c r="S746" s="11"/>
      <c r="T746" s="12" t="s">
        <v>1195</v>
      </c>
      <c r="U746" s="12">
        <v>49597</v>
      </c>
      <c r="V746" s="4" t="s">
        <v>124</v>
      </c>
      <c r="W746" s="11" t="s">
        <v>77</v>
      </c>
      <c r="X746" s="11" t="s">
        <v>77</v>
      </c>
      <c r="Y746" s="11" t="s">
        <v>77</v>
      </c>
      <c r="Z746" s="11" t="s">
        <v>77</v>
      </c>
      <c r="AA746" s="11"/>
      <c r="AB746" s="12" t="s">
        <v>77</v>
      </c>
      <c r="AC746" s="12" t="s">
        <v>77</v>
      </c>
      <c r="AD746" s="12"/>
      <c r="AE746" s="42"/>
      <c r="AF746" s="42"/>
    </row>
    <row r="747" spans="1:32" x14ac:dyDescent="0.25">
      <c r="A747" s="44"/>
      <c r="B747" s="42"/>
      <c r="C747" s="42"/>
      <c r="D747" s="42"/>
      <c r="E747" s="42"/>
      <c r="F747" s="42"/>
      <c r="G747" s="42"/>
      <c r="H747" s="42"/>
      <c r="I747" s="48"/>
      <c r="J747" s="42"/>
      <c r="K747" s="42"/>
      <c r="L747" s="42"/>
      <c r="M747" s="42"/>
      <c r="N747" s="53"/>
      <c r="O747" s="11" t="s">
        <v>997</v>
      </c>
      <c r="P747" s="11" t="s">
        <v>84</v>
      </c>
      <c r="Q747" s="11" t="s">
        <v>1786</v>
      </c>
      <c r="R747" s="11">
        <v>0.5</v>
      </c>
      <c r="S747" s="11"/>
      <c r="T747" s="12" t="s">
        <v>1195</v>
      </c>
      <c r="U747" s="12">
        <v>49597</v>
      </c>
      <c r="V747" s="4" t="s">
        <v>124</v>
      </c>
      <c r="W747" s="11" t="s">
        <v>77</v>
      </c>
      <c r="X747" s="11" t="s">
        <v>77</v>
      </c>
      <c r="Y747" s="11" t="s">
        <v>77</v>
      </c>
      <c r="Z747" s="11" t="s">
        <v>77</v>
      </c>
      <c r="AA747" s="11"/>
      <c r="AB747" s="12" t="s">
        <v>77</v>
      </c>
      <c r="AC747" s="12" t="s">
        <v>77</v>
      </c>
      <c r="AD747" s="12"/>
      <c r="AE747" s="42"/>
      <c r="AF747" s="42"/>
    </row>
    <row r="748" spans="1:32" ht="23.85" customHeight="1" x14ac:dyDescent="0.25">
      <c r="A748" s="44">
        <v>247</v>
      </c>
      <c r="B748" s="42" t="s">
        <v>1660</v>
      </c>
      <c r="C748" s="42" t="s">
        <v>1787</v>
      </c>
      <c r="D748" s="42">
        <v>104211</v>
      </c>
      <c r="E748" s="42" t="s">
        <v>1788</v>
      </c>
      <c r="F748" s="42" t="s">
        <v>31</v>
      </c>
      <c r="G748" s="42" t="s">
        <v>32</v>
      </c>
      <c r="H748" s="42" t="s">
        <v>1663</v>
      </c>
      <c r="I748" s="48" t="s">
        <v>1789</v>
      </c>
      <c r="J748" s="42" t="s">
        <v>71</v>
      </c>
      <c r="K748" s="42"/>
      <c r="L748" s="42" t="s">
        <v>1701</v>
      </c>
      <c r="M748" s="52">
        <v>48797</v>
      </c>
      <c r="N748" s="53" t="s">
        <v>1790</v>
      </c>
      <c r="O748" s="11" t="s">
        <v>1791</v>
      </c>
      <c r="P748" s="11" t="s">
        <v>156</v>
      </c>
      <c r="Q748" s="20" t="s">
        <v>1792</v>
      </c>
      <c r="R748" s="11">
        <v>0.5</v>
      </c>
      <c r="S748" s="11"/>
      <c r="T748" s="12" t="s">
        <v>1793</v>
      </c>
      <c r="U748" s="12">
        <v>46339</v>
      </c>
      <c r="V748" s="13" t="s">
        <v>1794</v>
      </c>
      <c r="W748" s="11" t="s">
        <v>1668</v>
      </c>
      <c r="X748" s="11" t="s">
        <v>42</v>
      </c>
      <c r="Y748" s="11" t="s">
        <v>1795</v>
      </c>
      <c r="Z748" s="11">
        <v>0.5</v>
      </c>
      <c r="AA748" s="11"/>
      <c r="AB748" s="12" t="s">
        <v>1678</v>
      </c>
      <c r="AC748" s="12">
        <v>46357</v>
      </c>
      <c r="AD748" s="12" t="s">
        <v>124</v>
      </c>
      <c r="AE748" s="42"/>
      <c r="AF748" s="43" t="s">
        <v>45</v>
      </c>
    </row>
    <row r="749" spans="1:32" x14ac:dyDescent="0.25">
      <c r="A749" s="44"/>
      <c r="B749" s="42"/>
      <c r="C749" s="42"/>
      <c r="D749" s="42"/>
      <c r="E749" s="42"/>
      <c r="F749" s="42"/>
      <c r="G749" s="42"/>
      <c r="H749" s="42"/>
      <c r="I749" s="48"/>
      <c r="J749" s="42"/>
      <c r="K749" s="42"/>
      <c r="L749" s="42"/>
      <c r="M749" s="42"/>
      <c r="N749" s="53"/>
      <c r="O749" s="11" t="s">
        <v>77</v>
      </c>
      <c r="P749" s="11" t="s">
        <v>77</v>
      </c>
      <c r="Q749" s="11" t="s">
        <v>77</v>
      </c>
      <c r="R749" s="11" t="s">
        <v>77</v>
      </c>
      <c r="S749" s="11"/>
      <c r="T749" s="12" t="s">
        <v>77</v>
      </c>
      <c r="U749" s="12" t="s">
        <v>77</v>
      </c>
      <c r="V749" s="4"/>
      <c r="W749" s="11" t="s">
        <v>1668</v>
      </c>
      <c r="X749" s="11" t="s">
        <v>42</v>
      </c>
      <c r="Y749" s="11" t="s">
        <v>1795</v>
      </c>
      <c r="Z749" s="11">
        <v>0.5</v>
      </c>
      <c r="AA749" s="11"/>
      <c r="AB749" s="12" t="s">
        <v>1678</v>
      </c>
      <c r="AC749" s="12">
        <v>46357</v>
      </c>
      <c r="AD749" s="12" t="s">
        <v>124</v>
      </c>
      <c r="AE749" s="42"/>
      <c r="AF749" s="42"/>
    </row>
    <row r="750" spans="1:32" ht="45" x14ac:dyDescent="0.25">
      <c r="A750" s="44"/>
      <c r="B750" s="42"/>
      <c r="C750" s="42"/>
      <c r="D750" s="42"/>
      <c r="E750" s="42"/>
      <c r="F750" s="42"/>
      <c r="G750" s="42"/>
      <c r="H750" s="42"/>
      <c r="I750" s="48"/>
      <c r="J750" s="42"/>
      <c r="K750" s="42"/>
      <c r="L750" s="42"/>
      <c r="M750" s="42"/>
      <c r="N750" s="53"/>
      <c r="O750" s="11" t="s">
        <v>1796</v>
      </c>
      <c r="P750" s="11" t="s">
        <v>156</v>
      </c>
      <c r="Q750" s="20">
        <v>563</v>
      </c>
      <c r="R750" s="11">
        <v>0.5</v>
      </c>
      <c r="S750" s="11"/>
      <c r="T750" s="12" t="s">
        <v>1793</v>
      </c>
      <c r="U750" s="12">
        <v>46339</v>
      </c>
      <c r="V750" s="13" t="s">
        <v>1797</v>
      </c>
      <c r="W750" s="11" t="s">
        <v>1668</v>
      </c>
      <c r="X750" s="11" t="s">
        <v>42</v>
      </c>
      <c r="Y750" s="11" t="s">
        <v>1795</v>
      </c>
      <c r="Z750" s="11">
        <v>0.5</v>
      </c>
      <c r="AA750" s="11"/>
      <c r="AB750" s="12" t="s">
        <v>1678</v>
      </c>
      <c r="AC750" s="12">
        <v>46357</v>
      </c>
      <c r="AD750" s="12" t="s">
        <v>124</v>
      </c>
      <c r="AE750" s="42"/>
      <c r="AF750" s="42"/>
    </row>
    <row r="751" spans="1:32" ht="23.85" customHeight="1" x14ac:dyDescent="0.25">
      <c r="A751" s="44">
        <v>248</v>
      </c>
      <c r="B751" s="42" t="s">
        <v>1660</v>
      </c>
      <c r="C751" s="42" t="s">
        <v>1787</v>
      </c>
      <c r="D751" s="42">
        <v>104211</v>
      </c>
      <c r="E751" s="42" t="s">
        <v>1798</v>
      </c>
      <c r="F751" s="42" t="s">
        <v>31</v>
      </c>
      <c r="G751" s="42" t="s">
        <v>68</v>
      </c>
      <c r="H751" s="42" t="s">
        <v>1663</v>
      </c>
      <c r="I751" s="48" t="s">
        <v>1799</v>
      </c>
      <c r="J751" s="42" t="s">
        <v>71</v>
      </c>
      <c r="K751" s="42"/>
      <c r="L751" s="42" t="s">
        <v>1701</v>
      </c>
      <c r="M751" s="52">
        <v>48797</v>
      </c>
      <c r="N751" s="53" t="s">
        <v>1800</v>
      </c>
      <c r="O751" s="11" t="s">
        <v>1791</v>
      </c>
      <c r="P751" s="11" t="s">
        <v>116</v>
      </c>
      <c r="Q751" s="20" t="s">
        <v>1801</v>
      </c>
      <c r="R751" s="11">
        <v>0.5</v>
      </c>
      <c r="S751" s="11"/>
      <c r="T751" s="12" t="s">
        <v>1802</v>
      </c>
      <c r="U751" s="12">
        <v>46338</v>
      </c>
      <c r="V751" s="13" t="s">
        <v>1803</v>
      </c>
      <c r="W751" s="11" t="s">
        <v>1668</v>
      </c>
      <c r="X751" s="11" t="s">
        <v>42</v>
      </c>
      <c r="Y751" s="11" t="s">
        <v>1795</v>
      </c>
      <c r="Z751" s="11">
        <v>0.5</v>
      </c>
      <c r="AA751" s="11"/>
      <c r="AB751" s="12" t="s">
        <v>1678</v>
      </c>
      <c r="AC751" s="12">
        <v>46357</v>
      </c>
      <c r="AD751" s="12" t="s">
        <v>124</v>
      </c>
      <c r="AE751" s="42"/>
      <c r="AF751" s="43" t="s">
        <v>45</v>
      </c>
    </row>
    <row r="752" spans="1:32" x14ac:dyDescent="0.25">
      <c r="A752" s="44"/>
      <c r="B752" s="42"/>
      <c r="C752" s="42"/>
      <c r="D752" s="42"/>
      <c r="E752" s="42"/>
      <c r="F752" s="42"/>
      <c r="G752" s="42"/>
      <c r="H752" s="42"/>
      <c r="I752" s="48"/>
      <c r="J752" s="42"/>
      <c r="K752" s="42"/>
      <c r="L752" s="42"/>
      <c r="M752" s="42"/>
      <c r="N752" s="53"/>
      <c r="O752" s="11" t="s">
        <v>77</v>
      </c>
      <c r="P752" s="11" t="s">
        <v>77</v>
      </c>
      <c r="Q752" s="11" t="s">
        <v>77</v>
      </c>
      <c r="R752" s="11" t="s">
        <v>77</v>
      </c>
      <c r="S752" s="11"/>
      <c r="T752" s="12" t="s">
        <v>77</v>
      </c>
      <c r="U752" s="12" t="s">
        <v>77</v>
      </c>
      <c r="V752" s="4"/>
      <c r="W752" s="11" t="s">
        <v>1668</v>
      </c>
      <c r="X752" s="11" t="s">
        <v>42</v>
      </c>
      <c r="Y752" s="11" t="s">
        <v>1795</v>
      </c>
      <c r="Z752" s="11">
        <v>0.5</v>
      </c>
      <c r="AA752" s="11"/>
      <c r="AB752" s="12" t="s">
        <v>1678</v>
      </c>
      <c r="AC752" s="12">
        <v>46357</v>
      </c>
      <c r="AD752" s="12" t="s">
        <v>124</v>
      </c>
      <c r="AE752" s="42"/>
      <c r="AF752" s="42"/>
    </row>
    <row r="753" spans="1:32" ht="45" x14ac:dyDescent="0.25">
      <c r="A753" s="44"/>
      <c r="B753" s="42"/>
      <c r="C753" s="42"/>
      <c r="D753" s="42"/>
      <c r="E753" s="42"/>
      <c r="F753" s="42"/>
      <c r="G753" s="42"/>
      <c r="H753" s="42"/>
      <c r="I753" s="48"/>
      <c r="J753" s="42"/>
      <c r="K753" s="42"/>
      <c r="L753" s="42"/>
      <c r="M753" s="42"/>
      <c r="N753" s="53"/>
      <c r="O753" s="11" t="s">
        <v>1796</v>
      </c>
      <c r="P753" s="11" t="s">
        <v>116</v>
      </c>
      <c r="Q753" s="20">
        <v>7917</v>
      </c>
      <c r="R753" s="11">
        <v>0.5</v>
      </c>
      <c r="S753" s="11"/>
      <c r="T753" s="12" t="s">
        <v>1802</v>
      </c>
      <c r="U753" s="12">
        <v>46338</v>
      </c>
      <c r="V753" s="13" t="s">
        <v>1804</v>
      </c>
      <c r="W753" s="11" t="s">
        <v>1668</v>
      </c>
      <c r="X753" s="11" t="s">
        <v>42</v>
      </c>
      <c r="Y753" s="11" t="s">
        <v>1795</v>
      </c>
      <c r="Z753" s="11">
        <v>0.5</v>
      </c>
      <c r="AA753" s="11"/>
      <c r="AB753" s="12" t="s">
        <v>1678</v>
      </c>
      <c r="AC753" s="12">
        <v>46357</v>
      </c>
      <c r="AD753" s="12" t="s">
        <v>124</v>
      </c>
      <c r="AE753" s="42"/>
      <c r="AF753" s="42"/>
    </row>
    <row r="754" spans="1:32" ht="23.85" customHeight="1" x14ac:dyDescent="0.25">
      <c r="A754" s="44">
        <v>249</v>
      </c>
      <c r="B754" s="42" t="s">
        <v>1660</v>
      </c>
      <c r="C754" s="42" t="s">
        <v>1787</v>
      </c>
      <c r="D754" s="42">
        <v>104211</v>
      </c>
      <c r="E754" s="42" t="s">
        <v>1805</v>
      </c>
      <c r="F754" s="42" t="s">
        <v>31</v>
      </c>
      <c r="G754" s="42" t="s">
        <v>68</v>
      </c>
      <c r="H754" s="42" t="s">
        <v>1663</v>
      </c>
      <c r="I754" s="48" t="s">
        <v>1806</v>
      </c>
      <c r="J754" s="42" t="s">
        <v>71</v>
      </c>
      <c r="K754" s="42"/>
      <c r="L754" s="42" t="s">
        <v>1701</v>
      </c>
      <c r="M754" s="52">
        <v>48797</v>
      </c>
      <c r="N754" s="53" t="s">
        <v>1807</v>
      </c>
      <c r="O754" s="11" t="s">
        <v>1791</v>
      </c>
      <c r="P754" s="11" t="s">
        <v>156</v>
      </c>
      <c r="Q754" s="20" t="s">
        <v>1808</v>
      </c>
      <c r="R754" s="11">
        <v>0.5</v>
      </c>
      <c r="S754" s="11"/>
      <c r="T754" s="12" t="s">
        <v>1802</v>
      </c>
      <c r="U754" s="12">
        <v>46338</v>
      </c>
      <c r="V754" s="13" t="s">
        <v>1809</v>
      </c>
      <c r="W754" s="11" t="s">
        <v>1668</v>
      </c>
      <c r="X754" s="11" t="s">
        <v>42</v>
      </c>
      <c r="Y754" s="11" t="s">
        <v>1795</v>
      </c>
      <c r="Z754" s="11">
        <v>0.5</v>
      </c>
      <c r="AA754" s="11"/>
      <c r="AB754" s="12" t="s">
        <v>1678</v>
      </c>
      <c r="AC754" s="12">
        <v>46357</v>
      </c>
      <c r="AD754" s="12" t="s">
        <v>124</v>
      </c>
      <c r="AE754" s="42"/>
      <c r="AF754" s="43" t="s">
        <v>45</v>
      </c>
    </row>
    <row r="755" spans="1:32" x14ac:dyDescent="0.25">
      <c r="A755" s="44"/>
      <c r="B755" s="42"/>
      <c r="C755" s="42"/>
      <c r="D755" s="42"/>
      <c r="E755" s="42"/>
      <c r="F755" s="42"/>
      <c r="G755" s="42"/>
      <c r="H755" s="42"/>
      <c r="I755" s="48"/>
      <c r="J755" s="42"/>
      <c r="K755" s="42"/>
      <c r="L755" s="42"/>
      <c r="M755" s="42"/>
      <c r="N755" s="53"/>
      <c r="O755" s="11" t="s">
        <v>77</v>
      </c>
      <c r="P755" s="11" t="s">
        <v>77</v>
      </c>
      <c r="Q755" s="11" t="s">
        <v>77</v>
      </c>
      <c r="R755" s="11" t="s">
        <v>77</v>
      </c>
      <c r="S755" s="11"/>
      <c r="T755" s="12" t="s">
        <v>77</v>
      </c>
      <c r="U755" s="12" t="s">
        <v>77</v>
      </c>
      <c r="V755" s="4"/>
      <c r="W755" s="11" t="s">
        <v>1668</v>
      </c>
      <c r="X755" s="11" t="s">
        <v>42</v>
      </c>
      <c r="Y755" s="11" t="s">
        <v>1795</v>
      </c>
      <c r="Z755" s="11">
        <v>0.5</v>
      </c>
      <c r="AA755" s="11"/>
      <c r="AB755" s="12" t="s">
        <v>1678</v>
      </c>
      <c r="AC755" s="12">
        <v>46357</v>
      </c>
      <c r="AD755" s="12" t="s">
        <v>124</v>
      </c>
      <c r="AE755" s="42"/>
      <c r="AF755" s="42"/>
    </row>
    <row r="756" spans="1:32" ht="45" x14ac:dyDescent="0.25">
      <c r="A756" s="44"/>
      <c r="B756" s="42"/>
      <c r="C756" s="42"/>
      <c r="D756" s="42"/>
      <c r="E756" s="42"/>
      <c r="F756" s="42"/>
      <c r="G756" s="42"/>
      <c r="H756" s="42"/>
      <c r="I756" s="48"/>
      <c r="J756" s="42"/>
      <c r="K756" s="42"/>
      <c r="L756" s="42"/>
      <c r="M756" s="42"/>
      <c r="N756" s="53"/>
      <c r="O756" s="11" t="s">
        <v>1796</v>
      </c>
      <c r="P756" s="11" t="s">
        <v>156</v>
      </c>
      <c r="Q756" s="20" t="s">
        <v>1810</v>
      </c>
      <c r="R756" s="11">
        <v>0.5</v>
      </c>
      <c r="S756" s="11"/>
      <c r="T756" s="12" t="s">
        <v>1802</v>
      </c>
      <c r="U756" s="12">
        <v>46338</v>
      </c>
      <c r="V756" s="13" t="s">
        <v>1811</v>
      </c>
      <c r="W756" s="11" t="s">
        <v>1668</v>
      </c>
      <c r="X756" s="11" t="s">
        <v>42</v>
      </c>
      <c r="Y756" s="11" t="s">
        <v>1795</v>
      </c>
      <c r="Z756" s="11">
        <v>0.5</v>
      </c>
      <c r="AA756" s="11"/>
      <c r="AB756" s="12" t="s">
        <v>1678</v>
      </c>
      <c r="AC756" s="12">
        <v>46357</v>
      </c>
      <c r="AD756" s="12" t="s">
        <v>124</v>
      </c>
      <c r="AE756" s="42"/>
      <c r="AF756" s="42"/>
    </row>
    <row r="757" spans="1:32" ht="23.85" customHeight="1" x14ac:dyDescent="0.25">
      <c r="A757" s="44">
        <v>250</v>
      </c>
      <c r="B757" s="42" t="s">
        <v>1660</v>
      </c>
      <c r="C757" s="42" t="s">
        <v>1787</v>
      </c>
      <c r="D757" s="42">
        <v>104211</v>
      </c>
      <c r="E757" s="42" t="s">
        <v>1730</v>
      </c>
      <c r="F757" s="42" t="s">
        <v>31</v>
      </c>
      <c r="G757" s="42" t="s">
        <v>68</v>
      </c>
      <c r="H757" s="42" t="s">
        <v>1663</v>
      </c>
      <c r="I757" s="48" t="s">
        <v>1812</v>
      </c>
      <c r="J757" s="42" t="s">
        <v>71</v>
      </c>
      <c r="K757" s="42"/>
      <c r="L757" s="42" t="s">
        <v>1701</v>
      </c>
      <c r="M757" s="52">
        <v>48797</v>
      </c>
      <c r="N757" s="53" t="s">
        <v>1813</v>
      </c>
      <c r="O757" s="11" t="s">
        <v>1791</v>
      </c>
      <c r="P757" s="11" t="s">
        <v>433</v>
      </c>
      <c r="Q757" s="20" t="s">
        <v>1814</v>
      </c>
      <c r="R757" s="11">
        <v>0.5</v>
      </c>
      <c r="S757" s="11"/>
      <c r="T757" s="12" t="s">
        <v>1815</v>
      </c>
      <c r="U757" s="12">
        <v>46364</v>
      </c>
      <c r="V757" s="13" t="s">
        <v>1816</v>
      </c>
      <c r="W757" s="11" t="s">
        <v>1668</v>
      </c>
      <c r="X757" s="11" t="s">
        <v>42</v>
      </c>
      <c r="Y757" s="11" t="s">
        <v>1795</v>
      </c>
      <c r="Z757" s="11">
        <v>0.5</v>
      </c>
      <c r="AA757" s="11"/>
      <c r="AB757" s="12" t="s">
        <v>1678</v>
      </c>
      <c r="AC757" s="12">
        <v>46357</v>
      </c>
      <c r="AD757" s="12" t="s">
        <v>124</v>
      </c>
      <c r="AE757" s="42"/>
      <c r="AF757" s="43" t="s">
        <v>45</v>
      </c>
    </row>
    <row r="758" spans="1:32" x14ac:dyDescent="0.25">
      <c r="A758" s="44"/>
      <c r="B758" s="42"/>
      <c r="C758" s="42"/>
      <c r="D758" s="42"/>
      <c r="E758" s="42"/>
      <c r="F758" s="42"/>
      <c r="G758" s="42"/>
      <c r="H758" s="42"/>
      <c r="I758" s="48"/>
      <c r="J758" s="42"/>
      <c r="K758" s="42"/>
      <c r="L758" s="42"/>
      <c r="M758" s="42"/>
      <c r="N758" s="53"/>
      <c r="O758" s="11" t="s">
        <v>77</v>
      </c>
      <c r="P758" s="11" t="s">
        <v>77</v>
      </c>
      <c r="Q758" s="11" t="s">
        <v>77</v>
      </c>
      <c r="R758" s="11" t="s">
        <v>77</v>
      </c>
      <c r="S758" s="11"/>
      <c r="T758" s="12" t="s">
        <v>77</v>
      </c>
      <c r="U758" s="12" t="s">
        <v>77</v>
      </c>
      <c r="V758" s="4"/>
      <c r="W758" s="11" t="s">
        <v>1668</v>
      </c>
      <c r="X758" s="11" t="s">
        <v>42</v>
      </c>
      <c r="Y758" s="11" t="s">
        <v>1795</v>
      </c>
      <c r="Z758" s="11">
        <v>0.5</v>
      </c>
      <c r="AA758" s="11"/>
      <c r="AB758" s="12" t="s">
        <v>1678</v>
      </c>
      <c r="AC758" s="12">
        <v>46357</v>
      </c>
      <c r="AD758" s="12" t="s">
        <v>124</v>
      </c>
      <c r="AE758" s="42"/>
      <c r="AF758" s="42"/>
    </row>
    <row r="759" spans="1:32" ht="45" x14ac:dyDescent="0.25">
      <c r="A759" s="44"/>
      <c r="B759" s="42"/>
      <c r="C759" s="42"/>
      <c r="D759" s="42"/>
      <c r="E759" s="42"/>
      <c r="F759" s="42"/>
      <c r="G759" s="42"/>
      <c r="H759" s="42"/>
      <c r="I759" s="48"/>
      <c r="J759" s="42"/>
      <c r="K759" s="42"/>
      <c r="L759" s="42"/>
      <c r="M759" s="42"/>
      <c r="N759" s="53"/>
      <c r="O759" s="11" t="s">
        <v>1796</v>
      </c>
      <c r="P759" s="11" t="s">
        <v>433</v>
      </c>
      <c r="Q759" s="20" t="s">
        <v>1817</v>
      </c>
      <c r="R759" s="11">
        <v>0.5</v>
      </c>
      <c r="S759" s="11"/>
      <c r="T759" s="12" t="s">
        <v>1802</v>
      </c>
      <c r="U759" s="12">
        <v>46338</v>
      </c>
      <c r="V759" s="13" t="s">
        <v>1818</v>
      </c>
      <c r="W759" s="11" t="s">
        <v>1668</v>
      </c>
      <c r="X759" s="11" t="s">
        <v>42</v>
      </c>
      <c r="Y759" s="11" t="s">
        <v>1795</v>
      </c>
      <c r="Z759" s="11">
        <v>0.5</v>
      </c>
      <c r="AA759" s="11"/>
      <c r="AB759" s="12" t="s">
        <v>1678</v>
      </c>
      <c r="AC759" s="12">
        <v>46357</v>
      </c>
      <c r="AD759" s="12" t="s">
        <v>124</v>
      </c>
      <c r="AE759" s="42"/>
      <c r="AF759" s="42"/>
    </row>
    <row r="760" spans="1:32" ht="23.85" customHeight="1" x14ac:dyDescent="0.25">
      <c r="A760" s="44">
        <v>251</v>
      </c>
      <c r="B760" s="42" t="s">
        <v>1660</v>
      </c>
      <c r="C760" s="42" t="s">
        <v>1787</v>
      </c>
      <c r="D760" s="42">
        <v>104211</v>
      </c>
      <c r="E760" s="42" t="s">
        <v>1819</v>
      </c>
      <c r="F760" s="42" t="s">
        <v>31</v>
      </c>
      <c r="G760" s="42" t="s">
        <v>32</v>
      </c>
      <c r="H760" s="42" t="s">
        <v>1663</v>
      </c>
      <c r="I760" s="48" t="s">
        <v>1820</v>
      </c>
      <c r="J760" s="42" t="s">
        <v>71</v>
      </c>
      <c r="K760" s="42"/>
      <c r="L760" s="42" t="s">
        <v>1689</v>
      </c>
      <c r="M760" s="52">
        <v>48795</v>
      </c>
      <c r="N760" s="53" t="s">
        <v>1821</v>
      </c>
      <c r="O760" s="11" t="s">
        <v>1791</v>
      </c>
      <c r="P760" s="11" t="s">
        <v>163</v>
      </c>
      <c r="Q760" s="20" t="s">
        <v>1822</v>
      </c>
      <c r="R760" s="11">
        <v>0.5</v>
      </c>
      <c r="S760" s="11"/>
      <c r="T760" s="12" t="s">
        <v>1793</v>
      </c>
      <c r="U760" s="12">
        <v>46339</v>
      </c>
      <c r="V760" s="13" t="s">
        <v>1823</v>
      </c>
      <c r="W760" s="11" t="s">
        <v>1668</v>
      </c>
      <c r="X760" s="11" t="s">
        <v>42</v>
      </c>
      <c r="Y760" s="11" t="s">
        <v>1795</v>
      </c>
      <c r="Z760" s="11">
        <v>0.5</v>
      </c>
      <c r="AA760" s="11"/>
      <c r="AB760" s="12" t="s">
        <v>1678</v>
      </c>
      <c r="AC760" s="12">
        <v>46357</v>
      </c>
      <c r="AD760" s="12" t="s">
        <v>124</v>
      </c>
      <c r="AE760" s="42"/>
      <c r="AF760" s="43" t="s">
        <v>45</v>
      </c>
    </row>
    <row r="761" spans="1:32" x14ac:dyDescent="0.25">
      <c r="A761" s="44"/>
      <c r="B761" s="42"/>
      <c r="C761" s="42"/>
      <c r="D761" s="42"/>
      <c r="E761" s="42"/>
      <c r="F761" s="42"/>
      <c r="G761" s="42"/>
      <c r="H761" s="42"/>
      <c r="I761" s="48"/>
      <c r="J761" s="42"/>
      <c r="K761" s="42"/>
      <c r="L761" s="42"/>
      <c r="M761" s="42"/>
      <c r="N761" s="53"/>
      <c r="O761" s="11" t="s">
        <v>77</v>
      </c>
      <c r="P761" s="11" t="s">
        <v>77</v>
      </c>
      <c r="Q761" s="11" t="s">
        <v>77</v>
      </c>
      <c r="R761" s="11" t="s">
        <v>77</v>
      </c>
      <c r="S761" s="11"/>
      <c r="T761" s="12" t="s">
        <v>77</v>
      </c>
      <c r="U761" s="12" t="s">
        <v>77</v>
      </c>
      <c r="V761" s="4"/>
      <c r="W761" s="11" t="s">
        <v>1668</v>
      </c>
      <c r="X761" s="11" t="s">
        <v>42</v>
      </c>
      <c r="Y761" s="11" t="s">
        <v>1795</v>
      </c>
      <c r="Z761" s="11">
        <v>0.5</v>
      </c>
      <c r="AA761" s="11"/>
      <c r="AB761" s="12" t="s">
        <v>1678</v>
      </c>
      <c r="AC761" s="12">
        <v>46357</v>
      </c>
      <c r="AD761" s="12" t="s">
        <v>124</v>
      </c>
      <c r="AE761" s="42"/>
      <c r="AF761" s="42"/>
    </row>
    <row r="762" spans="1:32" ht="45" x14ac:dyDescent="0.25">
      <c r="A762" s="44"/>
      <c r="B762" s="42"/>
      <c r="C762" s="42"/>
      <c r="D762" s="42"/>
      <c r="E762" s="42"/>
      <c r="F762" s="42"/>
      <c r="G762" s="42"/>
      <c r="H762" s="42"/>
      <c r="I762" s="48"/>
      <c r="J762" s="42"/>
      <c r="K762" s="42"/>
      <c r="L762" s="42"/>
      <c r="M762" s="42"/>
      <c r="N762" s="53"/>
      <c r="O762" s="11" t="s">
        <v>1796</v>
      </c>
      <c r="P762" s="11" t="s">
        <v>163</v>
      </c>
      <c r="Q762" s="20" t="s">
        <v>1824</v>
      </c>
      <c r="R762" s="11">
        <v>0.5</v>
      </c>
      <c r="S762" s="11"/>
      <c r="T762" s="12" t="s">
        <v>1793</v>
      </c>
      <c r="U762" s="12">
        <v>46339</v>
      </c>
      <c r="V762" s="13" t="s">
        <v>1825</v>
      </c>
      <c r="W762" s="11" t="s">
        <v>1668</v>
      </c>
      <c r="X762" s="11" t="s">
        <v>42</v>
      </c>
      <c r="Y762" s="11" t="s">
        <v>1795</v>
      </c>
      <c r="Z762" s="11">
        <v>0.5</v>
      </c>
      <c r="AA762" s="11"/>
      <c r="AB762" s="12" t="s">
        <v>1678</v>
      </c>
      <c r="AC762" s="12">
        <v>46357</v>
      </c>
      <c r="AD762" s="12" t="s">
        <v>124</v>
      </c>
      <c r="AE762" s="42"/>
      <c r="AF762" s="42"/>
    </row>
    <row r="763" spans="1:32" ht="23.85" customHeight="1" x14ac:dyDescent="0.25">
      <c r="A763" s="44">
        <v>252</v>
      </c>
      <c r="B763" s="42" t="s">
        <v>1660</v>
      </c>
      <c r="C763" s="42" t="s">
        <v>1787</v>
      </c>
      <c r="D763" s="42">
        <v>104211</v>
      </c>
      <c r="E763" s="42" t="s">
        <v>1826</v>
      </c>
      <c r="F763" s="42" t="s">
        <v>31</v>
      </c>
      <c r="G763" s="42" t="s">
        <v>68</v>
      </c>
      <c r="H763" s="42" t="s">
        <v>1663</v>
      </c>
      <c r="I763" s="48" t="s">
        <v>1827</v>
      </c>
      <c r="J763" s="42" t="s">
        <v>71</v>
      </c>
      <c r="K763" s="42"/>
      <c r="L763" s="42" t="s">
        <v>1689</v>
      </c>
      <c r="M763" s="52">
        <v>48795</v>
      </c>
      <c r="N763" s="53" t="s">
        <v>1828</v>
      </c>
      <c r="O763" s="11" t="s">
        <v>1791</v>
      </c>
      <c r="P763" s="11" t="s">
        <v>156</v>
      </c>
      <c r="Q763" s="20" t="s">
        <v>1829</v>
      </c>
      <c r="R763" s="11">
        <v>0.5</v>
      </c>
      <c r="S763" s="11"/>
      <c r="T763" s="12" t="s">
        <v>844</v>
      </c>
      <c r="U763" s="12">
        <v>46343</v>
      </c>
      <c r="V763" s="13" t="s">
        <v>1830</v>
      </c>
      <c r="W763" s="11" t="s">
        <v>1668</v>
      </c>
      <c r="X763" s="11" t="s">
        <v>42</v>
      </c>
      <c r="Y763" s="11" t="s">
        <v>1831</v>
      </c>
      <c r="Z763" s="11">
        <v>0.5</v>
      </c>
      <c r="AA763" s="11"/>
      <c r="AB763" s="12" t="s">
        <v>1678</v>
      </c>
      <c r="AC763" s="12">
        <v>46357</v>
      </c>
      <c r="AD763" s="12" t="s">
        <v>124</v>
      </c>
      <c r="AE763" s="42"/>
      <c r="AF763" s="43" t="s">
        <v>45</v>
      </c>
    </row>
    <row r="764" spans="1:32" x14ac:dyDescent="0.25">
      <c r="A764" s="44"/>
      <c r="B764" s="42"/>
      <c r="C764" s="42"/>
      <c r="D764" s="42"/>
      <c r="E764" s="42"/>
      <c r="F764" s="42"/>
      <c r="G764" s="42"/>
      <c r="H764" s="42"/>
      <c r="I764" s="48"/>
      <c r="J764" s="42"/>
      <c r="K764" s="42"/>
      <c r="L764" s="42"/>
      <c r="M764" s="42"/>
      <c r="N764" s="53"/>
      <c r="O764" s="11" t="s">
        <v>77</v>
      </c>
      <c r="P764" s="11" t="s">
        <v>77</v>
      </c>
      <c r="Q764" s="11" t="s">
        <v>77</v>
      </c>
      <c r="R764" s="11" t="s">
        <v>77</v>
      </c>
      <c r="S764" s="11"/>
      <c r="T764" s="12" t="s">
        <v>77</v>
      </c>
      <c r="U764" s="12" t="s">
        <v>77</v>
      </c>
      <c r="V764" s="4"/>
      <c r="W764" s="11" t="s">
        <v>1668</v>
      </c>
      <c r="X764" s="11" t="s">
        <v>42</v>
      </c>
      <c r="Y764" s="11" t="s">
        <v>1831</v>
      </c>
      <c r="Z764" s="11">
        <v>0.5</v>
      </c>
      <c r="AA764" s="11"/>
      <c r="AB764" s="12" t="s">
        <v>1678</v>
      </c>
      <c r="AC764" s="12">
        <v>46357</v>
      </c>
      <c r="AD764" s="12" t="s">
        <v>124</v>
      </c>
      <c r="AE764" s="42"/>
      <c r="AF764" s="42"/>
    </row>
    <row r="765" spans="1:32" ht="45" x14ac:dyDescent="0.25">
      <c r="A765" s="44"/>
      <c r="B765" s="42"/>
      <c r="C765" s="42"/>
      <c r="D765" s="42"/>
      <c r="E765" s="42"/>
      <c r="F765" s="42"/>
      <c r="G765" s="42"/>
      <c r="H765" s="42"/>
      <c r="I765" s="48"/>
      <c r="J765" s="42"/>
      <c r="K765" s="42"/>
      <c r="L765" s="42"/>
      <c r="M765" s="42"/>
      <c r="N765" s="53"/>
      <c r="O765" s="11" t="s">
        <v>1796</v>
      </c>
      <c r="P765" s="11" t="s">
        <v>156</v>
      </c>
      <c r="Q765" s="20" t="s">
        <v>1832</v>
      </c>
      <c r="R765" s="11">
        <v>0.5</v>
      </c>
      <c r="S765" s="11"/>
      <c r="T765" s="12" t="s">
        <v>844</v>
      </c>
      <c r="U765" s="12">
        <v>46343</v>
      </c>
      <c r="V765" s="13" t="s">
        <v>1833</v>
      </c>
      <c r="W765" s="11" t="s">
        <v>1668</v>
      </c>
      <c r="X765" s="11" t="s">
        <v>42</v>
      </c>
      <c r="Y765" s="11" t="s">
        <v>1831</v>
      </c>
      <c r="Z765" s="11">
        <v>0.5</v>
      </c>
      <c r="AA765" s="11"/>
      <c r="AB765" s="12" t="s">
        <v>1678</v>
      </c>
      <c r="AC765" s="12">
        <v>46357</v>
      </c>
      <c r="AD765" s="12" t="s">
        <v>124</v>
      </c>
      <c r="AE765" s="42"/>
      <c r="AF765" s="42"/>
    </row>
    <row r="766" spans="1:32" ht="23.85" customHeight="1" x14ac:dyDescent="0.25">
      <c r="A766" s="44">
        <v>253</v>
      </c>
      <c r="B766" s="42" t="s">
        <v>1660</v>
      </c>
      <c r="C766" s="42" t="s">
        <v>1787</v>
      </c>
      <c r="D766" s="42">
        <v>104211</v>
      </c>
      <c r="E766" s="42" t="s">
        <v>1834</v>
      </c>
      <c r="F766" s="42" t="s">
        <v>31</v>
      </c>
      <c r="G766" s="42" t="s">
        <v>68</v>
      </c>
      <c r="H766" s="42" t="s">
        <v>1663</v>
      </c>
      <c r="I766" s="48" t="s">
        <v>1835</v>
      </c>
      <c r="J766" s="42" t="s">
        <v>71</v>
      </c>
      <c r="K766" s="42"/>
      <c r="L766" s="42" t="s">
        <v>1689</v>
      </c>
      <c r="M766" s="52">
        <v>48795</v>
      </c>
      <c r="N766" s="53" t="s">
        <v>1836</v>
      </c>
      <c r="O766" s="11" t="s">
        <v>1791</v>
      </c>
      <c r="P766" s="11" t="s">
        <v>433</v>
      </c>
      <c r="Q766" s="20" t="s">
        <v>131</v>
      </c>
      <c r="R766" s="11">
        <v>0.5</v>
      </c>
      <c r="S766" s="11"/>
      <c r="T766" s="12" t="s">
        <v>844</v>
      </c>
      <c r="U766" s="12">
        <v>46343</v>
      </c>
      <c r="V766" s="13" t="s">
        <v>1837</v>
      </c>
      <c r="W766" s="11" t="s">
        <v>1668</v>
      </c>
      <c r="X766" s="11" t="s">
        <v>42</v>
      </c>
      <c r="Y766" s="11" t="s">
        <v>1831</v>
      </c>
      <c r="Z766" s="11">
        <v>0.5</v>
      </c>
      <c r="AA766" s="11"/>
      <c r="AB766" s="12" t="s">
        <v>1678</v>
      </c>
      <c r="AC766" s="12">
        <v>46357</v>
      </c>
      <c r="AD766" s="12" t="s">
        <v>124</v>
      </c>
      <c r="AE766" s="42"/>
      <c r="AF766" s="43" t="s">
        <v>45</v>
      </c>
    </row>
    <row r="767" spans="1:32" x14ac:dyDescent="0.25">
      <c r="A767" s="44"/>
      <c r="B767" s="42"/>
      <c r="C767" s="42"/>
      <c r="D767" s="42"/>
      <c r="E767" s="42"/>
      <c r="F767" s="42"/>
      <c r="G767" s="42"/>
      <c r="H767" s="42"/>
      <c r="I767" s="48"/>
      <c r="J767" s="42"/>
      <c r="K767" s="42"/>
      <c r="L767" s="42"/>
      <c r="M767" s="42"/>
      <c r="N767" s="53"/>
      <c r="O767" s="11" t="s">
        <v>77</v>
      </c>
      <c r="P767" s="11" t="s">
        <v>77</v>
      </c>
      <c r="Q767" s="11" t="s">
        <v>77</v>
      </c>
      <c r="R767" s="11" t="s">
        <v>77</v>
      </c>
      <c r="S767" s="11"/>
      <c r="T767" s="12" t="s">
        <v>77</v>
      </c>
      <c r="U767" s="12" t="s">
        <v>77</v>
      </c>
      <c r="V767" s="4"/>
      <c r="W767" s="11" t="s">
        <v>1668</v>
      </c>
      <c r="X767" s="11" t="s">
        <v>42</v>
      </c>
      <c r="Y767" s="11" t="s">
        <v>1831</v>
      </c>
      <c r="Z767" s="11">
        <v>0.5</v>
      </c>
      <c r="AA767" s="11"/>
      <c r="AB767" s="12" t="s">
        <v>1678</v>
      </c>
      <c r="AC767" s="12">
        <v>46357</v>
      </c>
      <c r="AD767" s="12" t="s">
        <v>124</v>
      </c>
      <c r="AE767" s="42"/>
      <c r="AF767" s="42"/>
    </row>
    <row r="768" spans="1:32" ht="45" x14ac:dyDescent="0.25">
      <c r="A768" s="44"/>
      <c r="B768" s="42"/>
      <c r="C768" s="42"/>
      <c r="D768" s="42"/>
      <c r="E768" s="42"/>
      <c r="F768" s="42"/>
      <c r="G768" s="42"/>
      <c r="H768" s="42"/>
      <c r="I768" s="48"/>
      <c r="J768" s="42"/>
      <c r="K768" s="42"/>
      <c r="L768" s="42"/>
      <c r="M768" s="42"/>
      <c r="N768" s="53"/>
      <c r="O768" s="11" t="s">
        <v>1796</v>
      </c>
      <c r="P768" s="11" t="s">
        <v>433</v>
      </c>
      <c r="Q768" s="20" t="s">
        <v>1838</v>
      </c>
      <c r="R768" s="11">
        <v>0.5</v>
      </c>
      <c r="S768" s="11"/>
      <c r="T768" s="12" t="s">
        <v>844</v>
      </c>
      <c r="U768" s="12">
        <v>46343</v>
      </c>
      <c r="V768" s="13" t="s">
        <v>1839</v>
      </c>
      <c r="W768" s="11" t="s">
        <v>1668</v>
      </c>
      <c r="X768" s="11" t="s">
        <v>42</v>
      </c>
      <c r="Y768" s="11" t="s">
        <v>1831</v>
      </c>
      <c r="Z768" s="11">
        <v>0.5</v>
      </c>
      <c r="AA768" s="11"/>
      <c r="AB768" s="12" t="s">
        <v>1678</v>
      </c>
      <c r="AC768" s="12">
        <v>46357</v>
      </c>
      <c r="AD768" s="12" t="s">
        <v>124</v>
      </c>
      <c r="AE768" s="42"/>
      <c r="AF768" s="42"/>
    </row>
    <row r="769" spans="1:32" ht="23.85" customHeight="1" x14ac:dyDescent="0.25">
      <c r="A769" s="44">
        <v>254</v>
      </c>
      <c r="B769" s="42" t="s">
        <v>1660</v>
      </c>
      <c r="C769" s="42" t="s">
        <v>1787</v>
      </c>
      <c r="D769" s="42">
        <v>104211</v>
      </c>
      <c r="E769" s="42" t="s">
        <v>1840</v>
      </c>
      <c r="F769" s="42" t="s">
        <v>31</v>
      </c>
      <c r="G769" s="42" t="s">
        <v>68</v>
      </c>
      <c r="H769" s="42" t="s">
        <v>1663</v>
      </c>
      <c r="I769" s="48" t="s">
        <v>1841</v>
      </c>
      <c r="J769" s="42" t="s">
        <v>71</v>
      </c>
      <c r="K769" s="42"/>
      <c r="L769" s="42" t="s">
        <v>1689</v>
      </c>
      <c r="M769" s="52">
        <v>48795</v>
      </c>
      <c r="N769" s="53" t="s">
        <v>1842</v>
      </c>
      <c r="O769" s="11" t="s">
        <v>1791</v>
      </c>
      <c r="P769" s="11" t="s">
        <v>433</v>
      </c>
      <c r="Q769" s="20" t="s">
        <v>1843</v>
      </c>
      <c r="R769" s="11">
        <v>0.5</v>
      </c>
      <c r="S769" s="11"/>
      <c r="T769" s="12" t="s">
        <v>844</v>
      </c>
      <c r="U769" s="12">
        <v>46343</v>
      </c>
      <c r="V769" s="13" t="s">
        <v>1844</v>
      </c>
      <c r="W769" s="11" t="s">
        <v>1668</v>
      </c>
      <c r="X769" s="11" t="s">
        <v>42</v>
      </c>
      <c r="Y769" s="11" t="s">
        <v>1831</v>
      </c>
      <c r="Z769" s="11">
        <v>0.5</v>
      </c>
      <c r="AA769" s="11"/>
      <c r="AB769" s="12" t="s">
        <v>1678</v>
      </c>
      <c r="AC769" s="12">
        <v>46357</v>
      </c>
      <c r="AD769" s="12" t="s">
        <v>124</v>
      </c>
      <c r="AE769" s="42"/>
      <c r="AF769" s="43" t="s">
        <v>45</v>
      </c>
    </row>
    <row r="770" spans="1:32" x14ac:dyDescent="0.25">
      <c r="A770" s="44"/>
      <c r="B770" s="42"/>
      <c r="C770" s="42"/>
      <c r="D770" s="42"/>
      <c r="E770" s="42"/>
      <c r="F770" s="42"/>
      <c r="G770" s="42"/>
      <c r="H770" s="42"/>
      <c r="I770" s="48"/>
      <c r="J770" s="42"/>
      <c r="K770" s="42"/>
      <c r="L770" s="42"/>
      <c r="M770" s="42"/>
      <c r="N770" s="53"/>
      <c r="O770" s="11" t="s">
        <v>77</v>
      </c>
      <c r="P770" s="11" t="s">
        <v>77</v>
      </c>
      <c r="Q770" s="11" t="s">
        <v>77</v>
      </c>
      <c r="R770" s="11" t="s">
        <v>77</v>
      </c>
      <c r="S770" s="11"/>
      <c r="T770" s="12" t="s">
        <v>77</v>
      </c>
      <c r="U770" s="12" t="s">
        <v>77</v>
      </c>
      <c r="V770" s="4"/>
      <c r="W770" s="11" t="s">
        <v>1668</v>
      </c>
      <c r="X770" s="11" t="s">
        <v>42</v>
      </c>
      <c r="Y770" s="11" t="s">
        <v>1831</v>
      </c>
      <c r="Z770" s="11">
        <v>0.5</v>
      </c>
      <c r="AA770" s="11"/>
      <c r="AB770" s="12" t="s">
        <v>1678</v>
      </c>
      <c r="AC770" s="12">
        <v>46357</v>
      </c>
      <c r="AD770" s="12" t="s">
        <v>124</v>
      </c>
      <c r="AE770" s="42"/>
      <c r="AF770" s="42"/>
    </row>
    <row r="771" spans="1:32" ht="45" x14ac:dyDescent="0.25">
      <c r="A771" s="44"/>
      <c r="B771" s="42"/>
      <c r="C771" s="42"/>
      <c r="D771" s="42"/>
      <c r="E771" s="42"/>
      <c r="F771" s="42"/>
      <c r="G771" s="42"/>
      <c r="H771" s="42"/>
      <c r="I771" s="48"/>
      <c r="J771" s="42"/>
      <c r="K771" s="42"/>
      <c r="L771" s="42"/>
      <c r="M771" s="42"/>
      <c r="N771" s="53"/>
      <c r="O771" s="11" t="s">
        <v>1796</v>
      </c>
      <c r="P771" s="11" t="s">
        <v>433</v>
      </c>
      <c r="Q771" s="20" t="s">
        <v>1845</v>
      </c>
      <c r="R771" s="11">
        <v>0.5</v>
      </c>
      <c r="S771" s="11"/>
      <c r="T771" s="12" t="s">
        <v>844</v>
      </c>
      <c r="U771" s="12">
        <v>46343</v>
      </c>
      <c r="V771" s="13" t="s">
        <v>1846</v>
      </c>
      <c r="W771" s="11" t="s">
        <v>1668</v>
      </c>
      <c r="X771" s="11" t="s">
        <v>42</v>
      </c>
      <c r="Y771" s="11" t="s">
        <v>1831</v>
      </c>
      <c r="Z771" s="11">
        <v>0.5</v>
      </c>
      <c r="AA771" s="11"/>
      <c r="AB771" s="12" t="s">
        <v>1678</v>
      </c>
      <c r="AC771" s="12">
        <v>46357</v>
      </c>
      <c r="AD771" s="12" t="s">
        <v>124</v>
      </c>
      <c r="AE771" s="42"/>
      <c r="AF771" s="42"/>
    </row>
    <row r="772" spans="1:32" ht="23.85" customHeight="1" x14ac:dyDescent="0.25">
      <c r="A772" s="44">
        <v>255</v>
      </c>
      <c r="B772" s="42" t="s">
        <v>1660</v>
      </c>
      <c r="C772" s="42" t="s">
        <v>1787</v>
      </c>
      <c r="D772" s="42">
        <v>104211</v>
      </c>
      <c r="E772" s="42" t="s">
        <v>1847</v>
      </c>
      <c r="F772" s="42" t="s">
        <v>31</v>
      </c>
      <c r="G772" s="42" t="s">
        <v>68</v>
      </c>
      <c r="H772" s="42" t="s">
        <v>1663</v>
      </c>
      <c r="I772" s="48" t="s">
        <v>1848</v>
      </c>
      <c r="J772" s="42" t="s">
        <v>71</v>
      </c>
      <c r="K772" s="42"/>
      <c r="L772" s="42" t="s">
        <v>1701</v>
      </c>
      <c r="M772" s="52">
        <v>48797</v>
      </c>
      <c r="N772" s="53" t="s">
        <v>1849</v>
      </c>
      <c r="O772" s="11" t="s">
        <v>1791</v>
      </c>
      <c r="P772" s="11" t="s">
        <v>116</v>
      </c>
      <c r="Q772" s="20" t="s">
        <v>1850</v>
      </c>
      <c r="R772" s="11">
        <v>0.5</v>
      </c>
      <c r="S772" s="11"/>
      <c r="T772" s="12" t="s">
        <v>844</v>
      </c>
      <c r="U772" s="12">
        <v>46343</v>
      </c>
      <c r="V772" s="13" t="s">
        <v>1851</v>
      </c>
      <c r="W772" s="11" t="s">
        <v>1668</v>
      </c>
      <c r="X772" s="11" t="s">
        <v>42</v>
      </c>
      <c r="Y772" s="11" t="s">
        <v>1831</v>
      </c>
      <c r="Z772" s="11">
        <v>0.5</v>
      </c>
      <c r="AA772" s="11"/>
      <c r="AB772" s="12" t="s">
        <v>1678</v>
      </c>
      <c r="AC772" s="12">
        <v>46357</v>
      </c>
      <c r="AD772" s="12" t="s">
        <v>124</v>
      </c>
      <c r="AE772" s="42"/>
      <c r="AF772" s="43" t="s">
        <v>45</v>
      </c>
    </row>
    <row r="773" spans="1:32" x14ac:dyDescent="0.25">
      <c r="A773" s="44"/>
      <c r="B773" s="42"/>
      <c r="C773" s="42"/>
      <c r="D773" s="42"/>
      <c r="E773" s="42"/>
      <c r="F773" s="42"/>
      <c r="G773" s="42"/>
      <c r="H773" s="42"/>
      <c r="I773" s="48"/>
      <c r="J773" s="42"/>
      <c r="K773" s="42"/>
      <c r="L773" s="42"/>
      <c r="M773" s="42"/>
      <c r="N773" s="53"/>
      <c r="O773" s="11" t="s">
        <v>77</v>
      </c>
      <c r="P773" s="11" t="s">
        <v>77</v>
      </c>
      <c r="Q773" s="11" t="s">
        <v>77</v>
      </c>
      <c r="R773" s="11" t="s">
        <v>77</v>
      </c>
      <c r="S773" s="11"/>
      <c r="T773" s="12" t="s">
        <v>77</v>
      </c>
      <c r="U773" s="12" t="s">
        <v>77</v>
      </c>
      <c r="V773" s="4"/>
      <c r="W773" s="11" t="s">
        <v>1668</v>
      </c>
      <c r="X773" s="11" t="s">
        <v>42</v>
      </c>
      <c r="Y773" s="11" t="s">
        <v>1831</v>
      </c>
      <c r="Z773" s="11">
        <v>0.5</v>
      </c>
      <c r="AA773" s="11"/>
      <c r="AB773" s="12" t="s">
        <v>1678</v>
      </c>
      <c r="AC773" s="12">
        <v>46357</v>
      </c>
      <c r="AD773" s="12" t="s">
        <v>124</v>
      </c>
      <c r="AE773" s="42"/>
      <c r="AF773" s="42"/>
    </row>
    <row r="774" spans="1:32" ht="45" x14ac:dyDescent="0.25">
      <c r="A774" s="44"/>
      <c r="B774" s="42"/>
      <c r="C774" s="42"/>
      <c r="D774" s="42"/>
      <c r="E774" s="42"/>
      <c r="F774" s="42"/>
      <c r="G774" s="42"/>
      <c r="H774" s="42"/>
      <c r="I774" s="48"/>
      <c r="J774" s="42"/>
      <c r="K774" s="42"/>
      <c r="L774" s="42"/>
      <c r="M774" s="42"/>
      <c r="N774" s="53"/>
      <c r="O774" s="11" t="s">
        <v>1796</v>
      </c>
      <c r="P774" s="11" t="s">
        <v>116</v>
      </c>
      <c r="Q774" s="20" t="s">
        <v>1852</v>
      </c>
      <c r="R774" s="11">
        <v>0.5</v>
      </c>
      <c r="S774" s="11"/>
      <c r="T774" s="12" t="s">
        <v>844</v>
      </c>
      <c r="U774" s="12">
        <v>46343</v>
      </c>
      <c r="V774" s="13" t="s">
        <v>1853</v>
      </c>
      <c r="W774" s="11" t="s">
        <v>1668</v>
      </c>
      <c r="X774" s="11" t="s">
        <v>42</v>
      </c>
      <c r="Y774" s="11" t="s">
        <v>1831</v>
      </c>
      <c r="Z774" s="11">
        <v>0.5</v>
      </c>
      <c r="AA774" s="11"/>
      <c r="AB774" s="12" t="s">
        <v>1678</v>
      </c>
      <c r="AC774" s="12">
        <v>46357</v>
      </c>
      <c r="AD774" s="12" t="s">
        <v>124</v>
      </c>
      <c r="AE774" s="42"/>
      <c r="AF774" s="42"/>
    </row>
    <row r="775" spans="1:32" ht="23.85" customHeight="1" x14ac:dyDescent="0.25">
      <c r="A775" s="44">
        <v>256</v>
      </c>
      <c r="B775" s="42" t="s">
        <v>1660</v>
      </c>
      <c r="C775" s="42" t="s">
        <v>1787</v>
      </c>
      <c r="D775" s="42">
        <v>104211</v>
      </c>
      <c r="E775" s="42" t="s">
        <v>1854</v>
      </c>
      <c r="F775" s="42" t="s">
        <v>31</v>
      </c>
      <c r="G775" s="42" t="s">
        <v>32</v>
      </c>
      <c r="H775" s="42" t="s">
        <v>1663</v>
      </c>
      <c r="I775" s="48" t="s">
        <v>1855</v>
      </c>
      <c r="J775" s="42" t="s">
        <v>71</v>
      </c>
      <c r="K775" s="42"/>
      <c r="L775" s="42" t="s">
        <v>1665</v>
      </c>
      <c r="M775" s="52">
        <v>48796</v>
      </c>
      <c r="N775" s="53" t="s">
        <v>1856</v>
      </c>
      <c r="O775" s="11" t="s">
        <v>1791</v>
      </c>
      <c r="P775" s="11" t="s">
        <v>163</v>
      </c>
      <c r="Q775" s="20" t="s">
        <v>1857</v>
      </c>
      <c r="R775" s="11">
        <v>0.5</v>
      </c>
      <c r="S775" s="11"/>
      <c r="T775" s="12" t="s">
        <v>844</v>
      </c>
      <c r="U775" s="12">
        <v>46343</v>
      </c>
      <c r="V775" s="13" t="s">
        <v>1858</v>
      </c>
      <c r="W775" s="11" t="s">
        <v>1668</v>
      </c>
      <c r="X775" s="11" t="s">
        <v>42</v>
      </c>
      <c r="Y775" s="11" t="s">
        <v>1831</v>
      </c>
      <c r="Z775" s="11">
        <v>0.5</v>
      </c>
      <c r="AA775" s="11"/>
      <c r="AB775" s="12" t="s">
        <v>1678</v>
      </c>
      <c r="AC775" s="12">
        <v>46357</v>
      </c>
      <c r="AD775" s="12" t="s">
        <v>124</v>
      </c>
      <c r="AE775" s="42"/>
      <c r="AF775" s="43" t="s">
        <v>45</v>
      </c>
    </row>
    <row r="776" spans="1:32" x14ac:dyDescent="0.25">
      <c r="A776" s="44"/>
      <c r="B776" s="42"/>
      <c r="C776" s="42"/>
      <c r="D776" s="42"/>
      <c r="E776" s="42"/>
      <c r="F776" s="42"/>
      <c r="G776" s="42"/>
      <c r="H776" s="42"/>
      <c r="I776" s="48"/>
      <c r="J776" s="42"/>
      <c r="K776" s="42"/>
      <c r="L776" s="42"/>
      <c r="M776" s="42"/>
      <c r="N776" s="53"/>
      <c r="O776" s="11" t="s">
        <v>77</v>
      </c>
      <c r="P776" s="11" t="s">
        <v>77</v>
      </c>
      <c r="Q776" s="11" t="s">
        <v>77</v>
      </c>
      <c r="R776" s="11" t="s">
        <v>77</v>
      </c>
      <c r="S776" s="11"/>
      <c r="T776" s="12" t="s">
        <v>77</v>
      </c>
      <c r="U776" s="12" t="s">
        <v>77</v>
      </c>
      <c r="V776" s="4"/>
      <c r="W776" s="11" t="s">
        <v>1668</v>
      </c>
      <c r="X776" s="11" t="s">
        <v>42</v>
      </c>
      <c r="Y776" s="11" t="s">
        <v>1831</v>
      </c>
      <c r="Z776" s="11">
        <v>0.5</v>
      </c>
      <c r="AA776" s="11"/>
      <c r="AB776" s="12" t="s">
        <v>1678</v>
      </c>
      <c r="AC776" s="12">
        <v>46357</v>
      </c>
      <c r="AD776" s="12" t="s">
        <v>124</v>
      </c>
      <c r="AE776" s="42"/>
      <c r="AF776" s="42"/>
    </row>
    <row r="777" spans="1:32" ht="45" x14ac:dyDescent="0.25">
      <c r="A777" s="44"/>
      <c r="B777" s="42"/>
      <c r="C777" s="42"/>
      <c r="D777" s="42"/>
      <c r="E777" s="42"/>
      <c r="F777" s="42"/>
      <c r="G777" s="42"/>
      <c r="H777" s="42"/>
      <c r="I777" s="48"/>
      <c r="J777" s="42"/>
      <c r="K777" s="42"/>
      <c r="L777" s="42"/>
      <c r="M777" s="42"/>
      <c r="N777" s="53"/>
      <c r="O777" s="11" t="s">
        <v>1796</v>
      </c>
      <c r="P777" s="11" t="s">
        <v>163</v>
      </c>
      <c r="Q777" s="20" t="s">
        <v>1859</v>
      </c>
      <c r="R777" s="11">
        <v>0.5</v>
      </c>
      <c r="S777" s="11"/>
      <c r="T777" s="12" t="s">
        <v>844</v>
      </c>
      <c r="U777" s="12">
        <v>46343</v>
      </c>
      <c r="V777" s="13" t="s">
        <v>1860</v>
      </c>
      <c r="W777" s="11" t="s">
        <v>1668</v>
      </c>
      <c r="X777" s="11" t="s">
        <v>42</v>
      </c>
      <c r="Y777" s="11" t="s">
        <v>1831</v>
      </c>
      <c r="Z777" s="11">
        <v>0.5</v>
      </c>
      <c r="AA777" s="11"/>
      <c r="AB777" s="12" t="s">
        <v>1678</v>
      </c>
      <c r="AC777" s="12">
        <v>46357</v>
      </c>
      <c r="AD777" s="12" t="s">
        <v>124</v>
      </c>
      <c r="AE777" s="42"/>
      <c r="AF777" s="42"/>
    </row>
    <row r="778" spans="1:32" ht="23.85" customHeight="1" x14ac:dyDescent="0.25">
      <c r="A778" s="44">
        <v>257</v>
      </c>
      <c r="B778" s="42" t="s">
        <v>1660</v>
      </c>
      <c r="C778" s="42" t="s">
        <v>1787</v>
      </c>
      <c r="D778" s="42">
        <v>104211</v>
      </c>
      <c r="E778" s="42" t="s">
        <v>1861</v>
      </c>
      <c r="F778" s="42" t="s">
        <v>31</v>
      </c>
      <c r="G778" s="42" t="s">
        <v>68</v>
      </c>
      <c r="H778" s="42" t="s">
        <v>1663</v>
      </c>
      <c r="I778" s="48" t="s">
        <v>1862</v>
      </c>
      <c r="J778" s="42" t="s">
        <v>71</v>
      </c>
      <c r="K778" s="42"/>
      <c r="L778" s="42" t="s">
        <v>1665</v>
      </c>
      <c r="M778" s="52">
        <v>48796</v>
      </c>
      <c r="N778" s="53" t="s">
        <v>1863</v>
      </c>
      <c r="O778" s="11" t="s">
        <v>1703</v>
      </c>
      <c r="P778" s="11" t="s">
        <v>1704</v>
      </c>
      <c r="Q778" s="11" t="s">
        <v>1864</v>
      </c>
      <c r="R778" s="11">
        <v>0.5</v>
      </c>
      <c r="S778" s="11"/>
      <c r="T778" s="12">
        <v>44788</v>
      </c>
      <c r="U778" s="12">
        <v>46249</v>
      </c>
      <c r="V778" s="13" t="s">
        <v>1865</v>
      </c>
      <c r="W778" s="11" t="s">
        <v>77</v>
      </c>
      <c r="X778" s="11" t="s">
        <v>77</v>
      </c>
      <c r="Y778" s="11" t="s">
        <v>77</v>
      </c>
      <c r="Z778" s="11">
        <v>0</v>
      </c>
      <c r="AA778" s="11"/>
      <c r="AB778" s="12" t="s">
        <v>77</v>
      </c>
      <c r="AC778" s="12" t="s">
        <v>77</v>
      </c>
      <c r="AD778" s="12"/>
      <c r="AE778" s="42"/>
      <c r="AF778" s="43" t="s">
        <v>995</v>
      </c>
    </row>
    <row r="779" spans="1:32" ht="45" x14ac:dyDescent="0.25">
      <c r="A779" s="44"/>
      <c r="B779" s="42"/>
      <c r="C779" s="42"/>
      <c r="D779" s="42"/>
      <c r="E779" s="42"/>
      <c r="F779" s="42"/>
      <c r="G779" s="42"/>
      <c r="H779" s="42"/>
      <c r="I779" s="48"/>
      <c r="J779" s="42"/>
      <c r="K779" s="42"/>
      <c r="L779" s="42"/>
      <c r="M779" s="42"/>
      <c r="N779" s="53"/>
      <c r="O779" s="11" t="s">
        <v>1703</v>
      </c>
      <c r="P779" s="11" t="s">
        <v>1704</v>
      </c>
      <c r="Q779" s="11" t="s">
        <v>1866</v>
      </c>
      <c r="R779" s="11">
        <v>0.5</v>
      </c>
      <c r="S779" s="11"/>
      <c r="T779" s="12">
        <v>44788</v>
      </c>
      <c r="U779" s="12">
        <v>46249</v>
      </c>
      <c r="V779" s="13" t="s">
        <v>1867</v>
      </c>
      <c r="W779" s="11" t="s">
        <v>77</v>
      </c>
      <c r="X779" s="11" t="s">
        <v>77</v>
      </c>
      <c r="Y779" s="11" t="s">
        <v>77</v>
      </c>
      <c r="Z779" s="11" t="s">
        <v>77</v>
      </c>
      <c r="AA779" s="11"/>
      <c r="AB779" s="12" t="s">
        <v>77</v>
      </c>
      <c r="AC779" s="12" t="s">
        <v>77</v>
      </c>
      <c r="AD779" s="12"/>
      <c r="AE779" s="42"/>
      <c r="AF779" s="42"/>
    </row>
    <row r="780" spans="1:32" ht="45" x14ac:dyDescent="0.25">
      <c r="A780" s="44"/>
      <c r="B780" s="42"/>
      <c r="C780" s="42"/>
      <c r="D780" s="42"/>
      <c r="E780" s="42"/>
      <c r="F780" s="42"/>
      <c r="G780" s="42"/>
      <c r="H780" s="42"/>
      <c r="I780" s="48"/>
      <c r="J780" s="42"/>
      <c r="K780" s="42"/>
      <c r="L780" s="42"/>
      <c r="M780" s="42"/>
      <c r="N780" s="53"/>
      <c r="O780" s="11" t="s">
        <v>1707</v>
      </c>
      <c r="P780" s="11" t="s">
        <v>1704</v>
      </c>
      <c r="Q780" s="11">
        <v>12023</v>
      </c>
      <c r="R780" s="11">
        <v>0.5</v>
      </c>
      <c r="S780" s="11"/>
      <c r="T780" s="12">
        <v>44788</v>
      </c>
      <c r="U780" s="12">
        <v>46249</v>
      </c>
      <c r="V780" s="13" t="s">
        <v>1868</v>
      </c>
      <c r="W780" s="11" t="s">
        <v>77</v>
      </c>
      <c r="X780" s="11" t="s">
        <v>77</v>
      </c>
      <c r="Y780" s="11" t="s">
        <v>77</v>
      </c>
      <c r="Z780" s="11" t="s">
        <v>77</v>
      </c>
      <c r="AA780" s="11"/>
      <c r="AB780" s="12" t="s">
        <v>77</v>
      </c>
      <c r="AC780" s="12" t="s">
        <v>77</v>
      </c>
      <c r="AD780" s="12"/>
      <c r="AE780" s="42"/>
      <c r="AF780" s="42"/>
    </row>
    <row r="781" spans="1:32" ht="23.85" customHeight="1" x14ac:dyDescent="0.25">
      <c r="A781" s="44">
        <v>258</v>
      </c>
      <c r="B781" s="42" t="s">
        <v>1660</v>
      </c>
      <c r="C781" s="42" t="s">
        <v>1869</v>
      </c>
      <c r="D781" s="42">
        <v>104237</v>
      </c>
      <c r="E781" s="42" t="s">
        <v>1870</v>
      </c>
      <c r="F781" s="42" t="s">
        <v>31</v>
      </c>
      <c r="G781" s="42" t="s">
        <v>68</v>
      </c>
      <c r="H781" s="42" t="s">
        <v>1663</v>
      </c>
      <c r="I781" s="48" t="s">
        <v>1871</v>
      </c>
      <c r="J781" s="42" t="s">
        <v>71</v>
      </c>
      <c r="K781" s="42"/>
      <c r="L781" s="42" t="s">
        <v>1701</v>
      </c>
      <c r="M781" s="52">
        <v>48797</v>
      </c>
      <c r="N781" s="53" t="s">
        <v>1872</v>
      </c>
      <c r="O781" s="11" t="s">
        <v>1791</v>
      </c>
      <c r="P781" s="11" t="s">
        <v>433</v>
      </c>
      <c r="Q781" s="11" t="s">
        <v>1873</v>
      </c>
      <c r="R781" s="11">
        <v>0.5</v>
      </c>
      <c r="S781" s="11"/>
      <c r="T781" s="12" t="s">
        <v>1874</v>
      </c>
      <c r="U781" s="12">
        <v>46328</v>
      </c>
      <c r="V781" s="13" t="s">
        <v>1875</v>
      </c>
      <c r="W781" s="11" t="s">
        <v>1668</v>
      </c>
      <c r="X781" s="11" t="s">
        <v>42</v>
      </c>
      <c r="Y781" s="11" t="s">
        <v>1876</v>
      </c>
      <c r="Z781" s="11">
        <v>0.5</v>
      </c>
      <c r="AA781" s="11"/>
      <c r="AB781" s="12" t="s">
        <v>1678</v>
      </c>
      <c r="AC781" s="12">
        <v>46357</v>
      </c>
      <c r="AD781" s="12" t="s">
        <v>124</v>
      </c>
      <c r="AE781" s="42"/>
      <c r="AF781" s="43" t="s">
        <v>45</v>
      </c>
    </row>
    <row r="782" spans="1:32" x14ac:dyDescent="0.25">
      <c r="A782" s="44"/>
      <c r="B782" s="42"/>
      <c r="C782" s="42"/>
      <c r="D782" s="42"/>
      <c r="E782" s="42"/>
      <c r="F782" s="42"/>
      <c r="G782" s="42"/>
      <c r="H782" s="42"/>
      <c r="I782" s="48"/>
      <c r="J782" s="42"/>
      <c r="K782" s="42"/>
      <c r="L782" s="42"/>
      <c r="M782" s="42"/>
      <c r="N782" s="53"/>
      <c r="O782" s="11" t="s">
        <v>77</v>
      </c>
      <c r="P782" s="11" t="s">
        <v>77</v>
      </c>
      <c r="Q782" s="11" t="s">
        <v>77</v>
      </c>
      <c r="R782" s="11" t="s">
        <v>77</v>
      </c>
      <c r="S782" s="11"/>
      <c r="T782" s="12" t="s">
        <v>77</v>
      </c>
      <c r="U782" s="12" t="s">
        <v>77</v>
      </c>
      <c r="V782" s="4"/>
      <c r="W782" s="11" t="s">
        <v>1668</v>
      </c>
      <c r="X782" s="11" t="s">
        <v>42</v>
      </c>
      <c r="Y782" s="11" t="s">
        <v>1876</v>
      </c>
      <c r="Z782" s="11">
        <v>0.5</v>
      </c>
      <c r="AA782" s="11"/>
      <c r="AB782" s="12" t="s">
        <v>1678</v>
      </c>
      <c r="AC782" s="12">
        <v>46357</v>
      </c>
      <c r="AD782" s="12" t="s">
        <v>124</v>
      </c>
      <c r="AE782" s="42"/>
      <c r="AF782" s="42"/>
    </row>
    <row r="783" spans="1:32" ht="45" x14ac:dyDescent="0.25">
      <c r="A783" s="44"/>
      <c r="B783" s="42"/>
      <c r="C783" s="42"/>
      <c r="D783" s="42"/>
      <c r="E783" s="42"/>
      <c r="F783" s="42"/>
      <c r="G783" s="42"/>
      <c r="H783" s="42"/>
      <c r="I783" s="48"/>
      <c r="J783" s="42"/>
      <c r="K783" s="42"/>
      <c r="L783" s="42"/>
      <c r="M783" s="42"/>
      <c r="N783" s="53"/>
      <c r="O783" s="11" t="s">
        <v>1796</v>
      </c>
      <c r="P783" s="11" t="s">
        <v>433</v>
      </c>
      <c r="Q783" s="11">
        <v>6685</v>
      </c>
      <c r="R783" s="11">
        <v>0.5</v>
      </c>
      <c r="S783" s="11"/>
      <c r="T783" s="12" t="s">
        <v>1874</v>
      </c>
      <c r="U783" s="12">
        <v>46328</v>
      </c>
      <c r="V783" s="13" t="s">
        <v>1877</v>
      </c>
      <c r="W783" s="11" t="s">
        <v>1668</v>
      </c>
      <c r="X783" s="11" t="s">
        <v>42</v>
      </c>
      <c r="Y783" s="11" t="s">
        <v>1876</v>
      </c>
      <c r="Z783" s="11">
        <v>0.5</v>
      </c>
      <c r="AA783" s="11"/>
      <c r="AB783" s="12" t="s">
        <v>1678</v>
      </c>
      <c r="AC783" s="12">
        <v>46357</v>
      </c>
      <c r="AD783" s="12" t="s">
        <v>124</v>
      </c>
      <c r="AE783" s="42"/>
      <c r="AF783" s="42"/>
    </row>
    <row r="784" spans="1:32" ht="23.85" customHeight="1" x14ac:dyDescent="0.25">
      <c r="A784" s="44">
        <v>259</v>
      </c>
      <c r="B784" s="42" t="s">
        <v>1660</v>
      </c>
      <c r="C784" s="42" t="s">
        <v>1869</v>
      </c>
      <c r="D784" s="42">
        <v>104237</v>
      </c>
      <c r="E784" s="42" t="s">
        <v>1798</v>
      </c>
      <c r="F784" s="42" t="s">
        <v>31</v>
      </c>
      <c r="G784" s="42" t="s">
        <v>68</v>
      </c>
      <c r="H784" s="42" t="s">
        <v>1663</v>
      </c>
      <c r="I784" s="48" t="s">
        <v>1878</v>
      </c>
      <c r="J784" s="42" t="s">
        <v>71</v>
      </c>
      <c r="K784" s="42"/>
      <c r="L784" s="42" t="s">
        <v>1665</v>
      </c>
      <c r="M784" s="52">
        <v>48796</v>
      </c>
      <c r="N784" s="53" t="s">
        <v>1879</v>
      </c>
      <c r="O784" s="11" t="s">
        <v>1791</v>
      </c>
      <c r="P784" s="11" t="s">
        <v>116</v>
      </c>
      <c r="Q784" s="20" t="s">
        <v>1880</v>
      </c>
      <c r="R784" s="11">
        <v>0.5</v>
      </c>
      <c r="S784" s="11"/>
      <c r="T784" s="12" t="s">
        <v>1881</v>
      </c>
      <c r="U784" s="12">
        <v>46331</v>
      </c>
      <c r="V784" s="13" t="s">
        <v>1882</v>
      </c>
      <c r="W784" s="11" t="s">
        <v>1668</v>
      </c>
      <c r="X784" s="11" t="s">
        <v>42</v>
      </c>
      <c r="Y784" s="11" t="s">
        <v>1876</v>
      </c>
      <c r="Z784" s="11">
        <v>0.5</v>
      </c>
      <c r="AA784" s="11"/>
      <c r="AB784" s="12" t="s">
        <v>1678</v>
      </c>
      <c r="AC784" s="12">
        <v>46357</v>
      </c>
      <c r="AD784" s="12" t="s">
        <v>124</v>
      </c>
      <c r="AE784" s="42"/>
      <c r="AF784" s="43" t="s">
        <v>45</v>
      </c>
    </row>
    <row r="785" spans="1:32" x14ac:dyDescent="0.25">
      <c r="A785" s="44"/>
      <c r="B785" s="42"/>
      <c r="C785" s="42"/>
      <c r="D785" s="42"/>
      <c r="E785" s="42"/>
      <c r="F785" s="42"/>
      <c r="G785" s="42"/>
      <c r="H785" s="42"/>
      <c r="I785" s="48"/>
      <c r="J785" s="42"/>
      <c r="K785" s="42"/>
      <c r="L785" s="42"/>
      <c r="M785" s="42"/>
      <c r="N785" s="53"/>
      <c r="O785" s="11" t="s">
        <v>77</v>
      </c>
      <c r="P785" s="11" t="s">
        <v>77</v>
      </c>
      <c r="Q785" s="11" t="s">
        <v>77</v>
      </c>
      <c r="R785" s="11" t="s">
        <v>77</v>
      </c>
      <c r="S785" s="11"/>
      <c r="T785" s="12" t="s">
        <v>77</v>
      </c>
      <c r="U785" s="12" t="s">
        <v>77</v>
      </c>
      <c r="V785" s="4"/>
      <c r="W785" s="11" t="s">
        <v>1668</v>
      </c>
      <c r="X785" s="11" t="s">
        <v>42</v>
      </c>
      <c r="Y785" s="11" t="s">
        <v>1876</v>
      </c>
      <c r="Z785" s="11">
        <v>0.5</v>
      </c>
      <c r="AA785" s="11"/>
      <c r="AB785" s="12" t="s">
        <v>1678</v>
      </c>
      <c r="AC785" s="12">
        <v>46357</v>
      </c>
      <c r="AD785" s="12" t="s">
        <v>124</v>
      </c>
      <c r="AE785" s="42"/>
      <c r="AF785" s="42"/>
    </row>
    <row r="786" spans="1:32" ht="45" x14ac:dyDescent="0.25">
      <c r="A786" s="44"/>
      <c r="B786" s="42"/>
      <c r="C786" s="42"/>
      <c r="D786" s="42"/>
      <c r="E786" s="42"/>
      <c r="F786" s="42"/>
      <c r="G786" s="42"/>
      <c r="H786" s="42"/>
      <c r="I786" s="48"/>
      <c r="J786" s="42"/>
      <c r="K786" s="42"/>
      <c r="L786" s="42"/>
      <c r="M786" s="42"/>
      <c r="N786" s="53"/>
      <c r="O786" s="11" t="s">
        <v>1796</v>
      </c>
      <c r="P786" s="11" t="s">
        <v>116</v>
      </c>
      <c r="Q786" s="20" t="s">
        <v>1883</v>
      </c>
      <c r="R786" s="11">
        <v>0.5</v>
      </c>
      <c r="S786" s="11"/>
      <c r="T786" s="12" t="s">
        <v>1881</v>
      </c>
      <c r="U786" s="12">
        <v>46331</v>
      </c>
      <c r="V786" s="13" t="s">
        <v>1884</v>
      </c>
      <c r="W786" s="11" t="s">
        <v>1668</v>
      </c>
      <c r="X786" s="11" t="s">
        <v>42</v>
      </c>
      <c r="Y786" s="11" t="s">
        <v>1876</v>
      </c>
      <c r="Z786" s="11">
        <v>0.5</v>
      </c>
      <c r="AA786" s="11"/>
      <c r="AB786" s="12" t="s">
        <v>1678</v>
      </c>
      <c r="AC786" s="12">
        <v>46357</v>
      </c>
      <c r="AD786" s="12" t="s">
        <v>124</v>
      </c>
      <c r="AE786" s="42"/>
      <c r="AF786" s="42"/>
    </row>
    <row r="787" spans="1:32" ht="23.85" customHeight="1" x14ac:dyDescent="0.25">
      <c r="A787" s="44">
        <v>260</v>
      </c>
      <c r="B787" s="42" t="s">
        <v>1660</v>
      </c>
      <c r="C787" s="42" t="s">
        <v>1869</v>
      </c>
      <c r="D787" s="42">
        <v>104237</v>
      </c>
      <c r="E787" s="42" t="s">
        <v>1730</v>
      </c>
      <c r="F787" s="42" t="s">
        <v>31</v>
      </c>
      <c r="G787" s="42" t="s">
        <v>68</v>
      </c>
      <c r="H787" s="42" t="s">
        <v>1663</v>
      </c>
      <c r="I787" s="48" t="s">
        <v>1885</v>
      </c>
      <c r="J787" s="42" t="s">
        <v>71</v>
      </c>
      <c r="K787" s="42"/>
      <c r="L787" s="42" t="s">
        <v>1665</v>
      </c>
      <c r="M787" s="52">
        <v>48796</v>
      </c>
      <c r="N787" s="53" t="s">
        <v>1886</v>
      </c>
      <c r="O787" s="11" t="s">
        <v>1791</v>
      </c>
      <c r="P787" s="11" t="s">
        <v>156</v>
      </c>
      <c r="Q787" s="20" t="s">
        <v>1887</v>
      </c>
      <c r="R787" s="11">
        <v>0.5</v>
      </c>
      <c r="S787" s="11"/>
      <c r="T787" s="12" t="s">
        <v>1881</v>
      </c>
      <c r="U787" s="12">
        <v>46331</v>
      </c>
      <c r="V787" s="13" t="s">
        <v>1888</v>
      </c>
      <c r="W787" s="11" t="s">
        <v>1668</v>
      </c>
      <c r="X787" s="11" t="s">
        <v>42</v>
      </c>
      <c r="Y787" s="11" t="s">
        <v>1876</v>
      </c>
      <c r="Z787" s="11">
        <v>0.5</v>
      </c>
      <c r="AA787" s="11"/>
      <c r="AB787" s="12" t="s">
        <v>1678</v>
      </c>
      <c r="AC787" s="12">
        <v>46357</v>
      </c>
      <c r="AD787" s="12" t="s">
        <v>124</v>
      </c>
      <c r="AE787" s="42"/>
      <c r="AF787" s="43" t="s">
        <v>45</v>
      </c>
    </row>
    <row r="788" spans="1:32" x14ac:dyDescent="0.25">
      <c r="A788" s="44"/>
      <c r="B788" s="42"/>
      <c r="C788" s="42"/>
      <c r="D788" s="42"/>
      <c r="E788" s="42"/>
      <c r="F788" s="42"/>
      <c r="G788" s="42"/>
      <c r="H788" s="42"/>
      <c r="I788" s="48"/>
      <c r="J788" s="42"/>
      <c r="K788" s="42"/>
      <c r="L788" s="42"/>
      <c r="M788" s="42"/>
      <c r="N788" s="53"/>
      <c r="O788" s="11" t="s">
        <v>77</v>
      </c>
      <c r="P788" s="11" t="s">
        <v>77</v>
      </c>
      <c r="Q788" s="11" t="s">
        <v>77</v>
      </c>
      <c r="R788" s="11" t="s">
        <v>77</v>
      </c>
      <c r="S788" s="11"/>
      <c r="T788" s="12" t="s">
        <v>77</v>
      </c>
      <c r="U788" s="12" t="s">
        <v>77</v>
      </c>
      <c r="V788" s="4"/>
      <c r="W788" s="11" t="s">
        <v>1668</v>
      </c>
      <c r="X788" s="11" t="s">
        <v>42</v>
      </c>
      <c r="Y788" s="11" t="s">
        <v>1876</v>
      </c>
      <c r="Z788" s="11">
        <v>0.5</v>
      </c>
      <c r="AA788" s="11"/>
      <c r="AB788" s="12" t="s">
        <v>1678</v>
      </c>
      <c r="AC788" s="12">
        <v>46357</v>
      </c>
      <c r="AD788" s="12" t="s">
        <v>124</v>
      </c>
      <c r="AE788" s="42"/>
      <c r="AF788" s="42"/>
    </row>
    <row r="789" spans="1:32" ht="45" x14ac:dyDescent="0.25">
      <c r="A789" s="44"/>
      <c r="B789" s="42"/>
      <c r="C789" s="42"/>
      <c r="D789" s="42"/>
      <c r="E789" s="42"/>
      <c r="F789" s="42"/>
      <c r="G789" s="42"/>
      <c r="H789" s="42"/>
      <c r="I789" s="48"/>
      <c r="J789" s="42"/>
      <c r="K789" s="42"/>
      <c r="L789" s="42"/>
      <c r="M789" s="42"/>
      <c r="N789" s="53"/>
      <c r="O789" s="11" t="s">
        <v>1796</v>
      </c>
      <c r="P789" s="11" t="s">
        <v>156</v>
      </c>
      <c r="Q789" s="20" t="s">
        <v>1889</v>
      </c>
      <c r="R789" s="11">
        <v>0.5</v>
      </c>
      <c r="S789" s="11"/>
      <c r="T789" s="12" t="s">
        <v>1881</v>
      </c>
      <c r="U789" s="12">
        <v>46331</v>
      </c>
      <c r="V789" s="13" t="s">
        <v>1890</v>
      </c>
      <c r="W789" s="11" t="s">
        <v>1668</v>
      </c>
      <c r="X789" s="11" t="s">
        <v>42</v>
      </c>
      <c r="Y789" s="11" t="s">
        <v>1876</v>
      </c>
      <c r="Z789" s="11">
        <v>0.5</v>
      </c>
      <c r="AA789" s="11"/>
      <c r="AB789" s="12" t="s">
        <v>1678</v>
      </c>
      <c r="AC789" s="12">
        <v>46357</v>
      </c>
      <c r="AD789" s="12" t="s">
        <v>124</v>
      </c>
      <c r="AE789" s="42"/>
      <c r="AF789" s="42"/>
    </row>
    <row r="790" spans="1:32" ht="23.85" customHeight="1" x14ac:dyDescent="0.25">
      <c r="A790" s="44">
        <v>261</v>
      </c>
      <c r="B790" s="42" t="s">
        <v>1660</v>
      </c>
      <c r="C790" s="42" t="s">
        <v>1869</v>
      </c>
      <c r="D790" s="42">
        <v>104237</v>
      </c>
      <c r="E790" s="42" t="s">
        <v>1819</v>
      </c>
      <c r="F790" s="42" t="s">
        <v>31</v>
      </c>
      <c r="G790" s="42" t="s">
        <v>32</v>
      </c>
      <c r="H790" s="42" t="s">
        <v>1663</v>
      </c>
      <c r="I790" s="48" t="s">
        <v>1891</v>
      </c>
      <c r="J790" s="42" t="s">
        <v>71</v>
      </c>
      <c r="K790" s="42"/>
      <c r="L790" s="42" t="s">
        <v>1701</v>
      </c>
      <c r="M790" s="52">
        <v>48797</v>
      </c>
      <c r="N790" s="53" t="s">
        <v>1892</v>
      </c>
      <c r="O790" s="11" t="s">
        <v>1791</v>
      </c>
      <c r="P790" s="11" t="s">
        <v>163</v>
      </c>
      <c r="Q790" s="20" t="s">
        <v>1893</v>
      </c>
      <c r="R790" s="11">
        <v>0.5</v>
      </c>
      <c r="S790" s="11"/>
      <c r="T790" s="12" t="s">
        <v>1881</v>
      </c>
      <c r="U790" s="12">
        <v>46331</v>
      </c>
      <c r="V790" s="13" t="s">
        <v>1894</v>
      </c>
      <c r="W790" s="11" t="s">
        <v>1668</v>
      </c>
      <c r="X790" s="11" t="s">
        <v>42</v>
      </c>
      <c r="Y790" s="11" t="s">
        <v>1876</v>
      </c>
      <c r="Z790" s="11">
        <v>0.5</v>
      </c>
      <c r="AA790" s="11"/>
      <c r="AB790" s="12" t="s">
        <v>1678</v>
      </c>
      <c r="AC790" s="12">
        <v>46357</v>
      </c>
      <c r="AD790" s="12" t="s">
        <v>124</v>
      </c>
      <c r="AE790" s="42"/>
      <c r="AF790" s="43" t="s">
        <v>45</v>
      </c>
    </row>
    <row r="791" spans="1:32" x14ac:dyDescent="0.25">
      <c r="A791" s="44"/>
      <c r="B791" s="42"/>
      <c r="C791" s="42"/>
      <c r="D791" s="42"/>
      <c r="E791" s="42"/>
      <c r="F791" s="42"/>
      <c r="G791" s="42"/>
      <c r="H791" s="42"/>
      <c r="I791" s="48"/>
      <c r="J791" s="42"/>
      <c r="K791" s="42"/>
      <c r="L791" s="42"/>
      <c r="M791" s="42"/>
      <c r="N791" s="53"/>
      <c r="O791" s="11" t="s">
        <v>77</v>
      </c>
      <c r="P791" s="11" t="s">
        <v>77</v>
      </c>
      <c r="Q791" s="11" t="s">
        <v>77</v>
      </c>
      <c r="R791" s="11" t="s">
        <v>77</v>
      </c>
      <c r="S791" s="11"/>
      <c r="T791" s="12" t="s">
        <v>77</v>
      </c>
      <c r="U791" s="12" t="s">
        <v>77</v>
      </c>
      <c r="V791" s="4"/>
      <c r="W791" s="11" t="s">
        <v>1668</v>
      </c>
      <c r="X791" s="11" t="s">
        <v>42</v>
      </c>
      <c r="Y791" s="11" t="s">
        <v>1876</v>
      </c>
      <c r="Z791" s="11">
        <v>0.5</v>
      </c>
      <c r="AA791" s="11"/>
      <c r="AB791" s="12" t="s">
        <v>1678</v>
      </c>
      <c r="AC791" s="12">
        <v>46357</v>
      </c>
      <c r="AD791" s="12" t="s">
        <v>124</v>
      </c>
      <c r="AE791" s="42"/>
      <c r="AF791" s="42"/>
    </row>
    <row r="792" spans="1:32" ht="45" x14ac:dyDescent="0.25">
      <c r="A792" s="44"/>
      <c r="B792" s="42"/>
      <c r="C792" s="42"/>
      <c r="D792" s="42"/>
      <c r="E792" s="42"/>
      <c r="F792" s="42"/>
      <c r="G792" s="42"/>
      <c r="H792" s="42"/>
      <c r="I792" s="48"/>
      <c r="J792" s="42"/>
      <c r="K792" s="42"/>
      <c r="L792" s="42"/>
      <c r="M792" s="42"/>
      <c r="N792" s="53"/>
      <c r="O792" s="11" t="s">
        <v>1796</v>
      </c>
      <c r="P792" s="11" t="s">
        <v>163</v>
      </c>
      <c r="Q792" s="20" t="s">
        <v>1895</v>
      </c>
      <c r="R792" s="11">
        <v>0.5</v>
      </c>
      <c r="S792" s="11"/>
      <c r="T792" s="12" t="s">
        <v>1881</v>
      </c>
      <c r="U792" s="12">
        <v>46331</v>
      </c>
      <c r="V792" s="13" t="s">
        <v>1896</v>
      </c>
      <c r="W792" s="11" t="s">
        <v>1668</v>
      </c>
      <c r="X792" s="11" t="s">
        <v>42</v>
      </c>
      <c r="Y792" s="11" t="s">
        <v>1876</v>
      </c>
      <c r="Z792" s="11">
        <v>0.5</v>
      </c>
      <c r="AA792" s="11"/>
      <c r="AB792" s="12" t="s">
        <v>1678</v>
      </c>
      <c r="AC792" s="12">
        <v>46357</v>
      </c>
      <c r="AD792" s="12" t="s">
        <v>124</v>
      </c>
      <c r="AE792" s="42"/>
      <c r="AF792" s="42"/>
    </row>
    <row r="793" spans="1:32" ht="23.85" customHeight="1" x14ac:dyDescent="0.25">
      <c r="A793" s="44">
        <v>262</v>
      </c>
      <c r="B793" s="42" t="s">
        <v>1660</v>
      </c>
      <c r="C793" s="42" t="s">
        <v>1869</v>
      </c>
      <c r="D793" s="42">
        <v>104237</v>
      </c>
      <c r="E793" s="42" t="s">
        <v>1897</v>
      </c>
      <c r="F793" s="42" t="s">
        <v>31</v>
      </c>
      <c r="G793" s="42" t="s">
        <v>68</v>
      </c>
      <c r="H793" s="42" t="s">
        <v>1663</v>
      </c>
      <c r="I793" s="48" t="s">
        <v>1898</v>
      </c>
      <c r="J793" s="42" t="s">
        <v>71</v>
      </c>
      <c r="K793" s="42"/>
      <c r="L793" s="42" t="s">
        <v>1665</v>
      </c>
      <c r="M793" s="52">
        <v>48796</v>
      </c>
      <c r="N793" s="53" t="s">
        <v>1899</v>
      </c>
      <c r="O793" s="11" t="s">
        <v>1791</v>
      </c>
      <c r="P793" s="11" t="s">
        <v>433</v>
      </c>
      <c r="Q793" s="20" t="s">
        <v>1900</v>
      </c>
      <c r="R793" s="11">
        <v>0.5</v>
      </c>
      <c r="S793" s="11"/>
      <c r="T793" s="12" t="s">
        <v>1901</v>
      </c>
      <c r="U793" s="12">
        <v>46336</v>
      </c>
      <c r="V793" s="13" t="s">
        <v>1902</v>
      </c>
      <c r="W793" s="11" t="s">
        <v>1668</v>
      </c>
      <c r="X793" s="11" t="s">
        <v>42</v>
      </c>
      <c r="Y793" s="11" t="s">
        <v>1876</v>
      </c>
      <c r="Z793" s="11">
        <v>0.5</v>
      </c>
      <c r="AA793" s="11"/>
      <c r="AB793" s="12" t="s">
        <v>1678</v>
      </c>
      <c r="AC793" s="12">
        <v>46357</v>
      </c>
      <c r="AD793" s="12" t="s">
        <v>124</v>
      </c>
      <c r="AE793" s="42"/>
      <c r="AF793" s="43" t="s">
        <v>45</v>
      </c>
    </row>
    <row r="794" spans="1:32" x14ac:dyDescent="0.25">
      <c r="A794" s="44"/>
      <c r="B794" s="42"/>
      <c r="C794" s="42"/>
      <c r="D794" s="42"/>
      <c r="E794" s="42"/>
      <c r="F794" s="42"/>
      <c r="G794" s="42"/>
      <c r="H794" s="42"/>
      <c r="I794" s="48"/>
      <c r="J794" s="42"/>
      <c r="K794" s="42"/>
      <c r="L794" s="42"/>
      <c r="M794" s="42"/>
      <c r="N794" s="53"/>
      <c r="O794" s="11" t="s">
        <v>77</v>
      </c>
      <c r="P794" s="11" t="s">
        <v>77</v>
      </c>
      <c r="Q794" s="11" t="s">
        <v>77</v>
      </c>
      <c r="R794" s="11" t="s">
        <v>77</v>
      </c>
      <c r="S794" s="11"/>
      <c r="T794" s="12" t="s">
        <v>77</v>
      </c>
      <c r="U794" s="12" t="s">
        <v>77</v>
      </c>
      <c r="V794" s="4"/>
      <c r="W794" s="11" t="s">
        <v>1668</v>
      </c>
      <c r="X794" s="11" t="s">
        <v>42</v>
      </c>
      <c r="Y794" s="11" t="s">
        <v>1876</v>
      </c>
      <c r="Z794" s="11">
        <v>0.5</v>
      </c>
      <c r="AA794" s="11"/>
      <c r="AB794" s="12" t="s">
        <v>1678</v>
      </c>
      <c r="AC794" s="12">
        <v>46357</v>
      </c>
      <c r="AD794" s="12" t="s">
        <v>124</v>
      </c>
      <c r="AE794" s="42"/>
      <c r="AF794" s="42"/>
    </row>
    <row r="795" spans="1:32" ht="45" x14ac:dyDescent="0.25">
      <c r="A795" s="44"/>
      <c r="B795" s="42"/>
      <c r="C795" s="42"/>
      <c r="D795" s="42"/>
      <c r="E795" s="42"/>
      <c r="F795" s="42"/>
      <c r="G795" s="42"/>
      <c r="H795" s="42"/>
      <c r="I795" s="48"/>
      <c r="J795" s="42"/>
      <c r="K795" s="42"/>
      <c r="L795" s="42"/>
      <c r="M795" s="42"/>
      <c r="N795" s="53"/>
      <c r="O795" s="11" t="s">
        <v>1796</v>
      </c>
      <c r="P795" s="11" t="s">
        <v>433</v>
      </c>
      <c r="Q795" s="20" t="s">
        <v>1903</v>
      </c>
      <c r="R795" s="11">
        <v>0.5</v>
      </c>
      <c r="S795" s="11"/>
      <c r="T795" s="12" t="s">
        <v>1901</v>
      </c>
      <c r="U795" s="12">
        <v>46336</v>
      </c>
      <c r="V795" s="13" t="s">
        <v>1904</v>
      </c>
      <c r="W795" s="11" t="s">
        <v>1668</v>
      </c>
      <c r="X795" s="11" t="s">
        <v>42</v>
      </c>
      <c r="Y795" s="11" t="s">
        <v>1876</v>
      </c>
      <c r="Z795" s="11">
        <v>0.5</v>
      </c>
      <c r="AA795" s="11"/>
      <c r="AB795" s="12" t="s">
        <v>1678</v>
      </c>
      <c r="AC795" s="12">
        <v>46357</v>
      </c>
      <c r="AD795" s="12" t="s">
        <v>124</v>
      </c>
      <c r="AE795" s="42"/>
      <c r="AF795" s="42"/>
    </row>
    <row r="796" spans="1:32" ht="23.85" customHeight="1" x14ac:dyDescent="0.25">
      <c r="A796" s="44">
        <v>263</v>
      </c>
      <c r="B796" s="42" t="s">
        <v>1660</v>
      </c>
      <c r="C796" s="42" t="s">
        <v>1869</v>
      </c>
      <c r="D796" s="42">
        <v>104237</v>
      </c>
      <c r="E796" s="42" t="s">
        <v>1826</v>
      </c>
      <c r="F796" s="42" t="s">
        <v>31</v>
      </c>
      <c r="G796" s="42" t="s">
        <v>68</v>
      </c>
      <c r="H796" s="42" t="s">
        <v>1663</v>
      </c>
      <c r="I796" s="48" t="s">
        <v>1905</v>
      </c>
      <c r="J796" s="42" t="s">
        <v>71</v>
      </c>
      <c r="K796" s="42"/>
      <c r="L796" s="42" t="s">
        <v>1701</v>
      </c>
      <c r="M796" s="52">
        <v>48797</v>
      </c>
      <c r="N796" s="53" t="s">
        <v>1906</v>
      </c>
      <c r="O796" s="11" t="s">
        <v>1791</v>
      </c>
      <c r="P796" s="11" t="s">
        <v>84</v>
      </c>
      <c r="Q796" s="20" t="s">
        <v>1907</v>
      </c>
      <c r="R796" s="11">
        <v>0.5</v>
      </c>
      <c r="S796" s="11"/>
      <c r="T796" s="12" t="s">
        <v>1901</v>
      </c>
      <c r="U796" s="12">
        <v>46336</v>
      </c>
      <c r="V796" s="13" t="s">
        <v>1908</v>
      </c>
      <c r="W796" s="11" t="s">
        <v>1668</v>
      </c>
      <c r="X796" s="11" t="s">
        <v>42</v>
      </c>
      <c r="Y796" s="11" t="s">
        <v>521</v>
      </c>
      <c r="Z796" s="11">
        <v>0.5</v>
      </c>
      <c r="AA796" s="11"/>
      <c r="AB796" s="12" t="s">
        <v>1678</v>
      </c>
      <c r="AC796" s="12">
        <v>46357</v>
      </c>
      <c r="AD796" s="12" t="s">
        <v>124</v>
      </c>
      <c r="AE796" s="42"/>
      <c r="AF796" s="43" t="s">
        <v>45</v>
      </c>
    </row>
    <row r="797" spans="1:32" x14ac:dyDescent="0.25">
      <c r="A797" s="44"/>
      <c r="B797" s="42"/>
      <c r="C797" s="42"/>
      <c r="D797" s="42"/>
      <c r="E797" s="42"/>
      <c r="F797" s="42"/>
      <c r="G797" s="42"/>
      <c r="H797" s="42"/>
      <c r="I797" s="48"/>
      <c r="J797" s="42"/>
      <c r="K797" s="42"/>
      <c r="L797" s="42"/>
      <c r="M797" s="42"/>
      <c r="N797" s="53"/>
      <c r="O797" s="11" t="s">
        <v>77</v>
      </c>
      <c r="P797" s="11" t="s">
        <v>77</v>
      </c>
      <c r="Q797" s="11" t="s">
        <v>77</v>
      </c>
      <c r="R797" s="11" t="s">
        <v>77</v>
      </c>
      <c r="S797" s="11"/>
      <c r="T797" s="12" t="s">
        <v>77</v>
      </c>
      <c r="U797" s="12" t="s">
        <v>77</v>
      </c>
      <c r="V797" s="4"/>
      <c r="W797" s="11" t="s">
        <v>1668</v>
      </c>
      <c r="X797" s="11" t="s">
        <v>42</v>
      </c>
      <c r="Y797" s="11" t="s">
        <v>521</v>
      </c>
      <c r="Z797" s="11">
        <v>0.5</v>
      </c>
      <c r="AA797" s="11"/>
      <c r="AB797" s="12" t="s">
        <v>1678</v>
      </c>
      <c r="AC797" s="12">
        <v>46357</v>
      </c>
      <c r="AD797" s="12" t="s">
        <v>124</v>
      </c>
      <c r="AE797" s="42"/>
      <c r="AF797" s="42"/>
    </row>
    <row r="798" spans="1:32" ht="45" x14ac:dyDescent="0.25">
      <c r="A798" s="44"/>
      <c r="B798" s="42"/>
      <c r="C798" s="42"/>
      <c r="D798" s="42"/>
      <c r="E798" s="42"/>
      <c r="F798" s="42"/>
      <c r="G798" s="42"/>
      <c r="H798" s="42"/>
      <c r="I798" s="48"/>
      <c r="J798" s="42"/>
      <c r="K798" s="42"/>
      <c r="L798" s="42"/>
      <c r="M798" s="42"/>
      <c r="N798" s="53"/>
      <c r="O798" s="11" t="s">
        <v>1796</v>
      </c>
      <c r="P798" s="11" t="s">
        <v>84</v>
      </c>
      <c r="Q798" s="20" t="s">
        <v>1909</v>
      </c>
      <c r="R798" s="11">
        <v>0.5</v>
      </c>
      <c r="S798" s="11"/>
      <c r="T798" s="12" t="s">
        <v>1901</v>
      </c>
      <c r="U798" s="12">
        <v>46336</v>
      </c>
      <c r="V798" s="13" t="s">
        <v>1910</v>
      </c>
      <c r="W798" s="11" t="s">
        <v>1668</v>
      </c>
      <c r="X798" s="11" t="s">
        <v>42</v>
      </c>
      <c r="Y798" s="11" t="s">
        <v>521</v>
      </c>
      <c r="Z798" s="11">
        <v>0.5</v>
      </c>
      <c r="AA798" s="11"/>
      <c r="AB798" s="12" t="s">
        <v>1678</v>
      </c>
      <c r="AC798" s="12">
        <v>46357</v>
      </c>
      <c r="AD798" s="12" t="s">
        <v>124</v>
      </c>
      <c r="AE798" s="42"/>
      <c r="AF798" s="42"/>
    </row>
    <row r="799" spans="1:32" ht="23.85" customHeight="1" x14ac:dyDescent="0.25">
      <c r="A799" s="44">
        <v>264</v>
      </c>
      <c r="B799" s="42" t="s">
        <v>1660</v>
      </c>
      <c r="C799" s="42" t="s">
        <v>1869</v>
      </c>
      <c r="D799" s="42">
        <v>104237</v>
      </c>
      <c r="E799" s="42" t="s">
        <v>1840</v>
      </c>
      <c r="F799" s="42" t="s">
        <v>31</v>
      </c>
      <c r="G799" s="42" t="s">
        <v>68</v>
      </c>
      <c r="H799" s="42" t="s">
        <v>1663</v>
      </c>
      <c r="I799" s="48" t="s">
        <v>1911</v>
      </c>
      <c r="J799" s="42" t="s">
        <v>71</v>
      </c>
      <c r="K799" s="42"/>
      <c r="L799" s="42" t="s">
        <v>1701</v>
      </c>
      <c r="M799" s="52">
        <v>48797</v>
      </c>
      <c r="N799" s="53" t="s">
        <v>1912</v>
      </c>
      <c r="O799" s="11" t="s">
        <v>1791</v>
      </c>
      <c r="P799" s="11" t="s">
        <v>433</v>
      </c>
      <c r="Q799" s="20" t="s">
        <v>1913</v>
      </c>
      <c r="R799" s="11">
        <v>0.5</v>
      </c>
      <c r="S799" s="11"/>
      <c r="T799" s="12" t="s">
        <v>1914</v>
      </c>
      <c r="U799" s="12">
        <v>46349</v>
      </c>
      <c r="V799" s="13" t="s">
        <v>1915</v>
      </c>
      <c r="W799" s="11" t="s">
        <v>1668</v>
      </c>
      <c r="X799" s="11" t="s">
        <v>42</v>
      </c>
      <c r="Y799" s="11" t="s">
        <v>521</v>
      </c>
      <c r="Z799" s="11">
        <v>0.5</v>
      </c>
      <c r="AA799" s="11"/>
      <c r="AB799" s="12" t="s">
        <v>1678</v>
      </c>
      <c r="AC799" s="12">
        <v>46357</v>
      </c>
      <c r="AD799" s="12" t="s">
        <v>124</v>
      </c>
      <c r="AE799" s="42"/>
      <c r="AF799" s="43" t="s">
        <v>45</v>
      </c>
    </row>
    <row r="800" spans="1:32" x14ac:dyDescent="0.25">
      <c r="A800" s="44"/>
      <c r="B800" s="42"/>
      <c r="C800" s="42"/>
      <c r="D800" s="42"/>
      <c r="E800" s="42"/>
      <c r="F800" s="42"/>
      <c r="G800" s="42"/>
      <c r="H800" s="42"/>
      <c r="I800" s="48"/>
      <c r="J800" s="42"/>
      <c r="K800" s="42"/>
      <c r="L800" s="42"/>
      <c r="M800" s="42"/>
      <c r="N800" s="53"/>
      <c r="O800" s="11" t="s">
        <v>77</v>
      </c>
      <c r="P800" s="11" t="s">
        <v>77</v>
      </c>
      <c r="Q800" s="11" t="s">
        <v>77</v>
      </c>
      <c r="R800" s="11" t="s">
        <v>77</v>
      </c>
      <c r="S800" s="11"/>
      <c r="T800" s="12" t="s">
        <v>77</v>
      </c>
      <c r="U800" s="12" t="s">
        <v>77</v>
      </c>
      <c r="V800" s="4"/>
      <c r="W800" s="11" t="s">
        <v>1668</v>
      </c>
      <c r="X800" s="11" t="s">
        <v>42</v>
      </c>
      <c r="Y800" s="11" t="s">
        <v>521</v>
      </c>
      <c r="Z800" s="11">
        <v>0.5</v>
      </c>
      <c r="AA800" s="11"/>
      <c r="AB800" s="12" t="s">
        <v>1678</v>
      </c>
      <c r="AC800" s="12">
        <v>46357</v>
      </c>
      <c r="AD800" s="12" t="s">
        <v>124</v>
      </c>
      <c r="AE800" s="42"/>
      <c r="AF800" s="42"/>
    </row>
    <row r="801" spans="1:32" ht="45" x14ac:dyDescent="0.25">
      <c r="A801" s="44"/>
      <c r="B801" s="42"/>
      <c r="C801" s="42"/>
      <c r="D801" s="42"/>
      <c r="E801" s="42"/>
      <c r="F801" s="42"/>
      <c r="G801" s="42"/>
      <c r="H801" s="42"/>
      <c r="I801" s="48"/>
      <c r="J801" s="42"/>
      <c r="K801" s="42"/>
      <c r="L801" s="42"/>
      <c r="M801" s="42"/>
      <c r="N801" s="53"/>
      <c r="O801" s="11" t="s">
        <v>1796</v>
      </c>
      <c r="P801" s="11" t="s">
        <v>433</v>
      </c>
      <c r="Q801" s="20" t="s">
        <v>1916</v>
      </c>
      <c r="R801" s="11">
        <v>0.5</v>
      </c>
      <c r="S801" s="11"/>
      <c r="T801" s="12" t="s">
        <v>1914</v>
      </c>
      <c r="U801" s="12">
        <v>46349</v>
      </c>
      <c r="V801" s="13" t="s">
        <v>1917</v>
      </c>
      <c r="W801" s="11" t="s">
        <v>1668</v>
      </c>
      <c r="X801" s="11" t="s">
        <v>42</v>
      </c>
      <c r="Y801" s="11" t="s">
        <v>521</v>
      </c>
      <c r="Z801" s="11">
        <v>0.5</v>
      </c>
      <c r="AA801" s="11"/>
      <c r="AB801" s="12" t="s">
        <v>1678</v>
      </c>
      <c r="AC801" s="12">
        <v>46357</v>
      </c>
      <c r="AD801" s="12" t="s">
        <v>124</v>
      </c>
      <c r="AE801" s="42"/>
      <c r="AF801" s="42"/>
    </row>
    <row r="802" spans="1:32" ht="23.85" customHeight="1" x14ac:dyDescent="0.25">
      <c r="A802" s="44">
        <v>265</v>
      </c>
      <c r="B802" s="42" t="s">
        <v>1660</v>
      </c>
      <c r="C802" s="42" t="s">
        <v>1869</v>
      </c>
      <c r="D802" s="42">
        <v>104237</v>
      </c>
      <c r="E802" s="42" t="s">
        <v>1847</v>
      </c>
      <c r="F802" s="42" t="s">
        <v>31</v>
      </c>
      <c r="G802" s="42" t="s">
        <v>68</v>
      </c>
      <c r="H802" s="42" t="s">
        <v>1663</v>
      </c>
      <c r="I802" s="48" t="s">
        <v>1918</v>
      </c>
      <c r="J802" s="42" t="s">
        <v>71</v>
      </c>
      <c r="K802" s="42"/>
      <c r="L802" s="42" t="s">
        <v>1665</v>
      </c>
      <c r="M802" s="52">
        <v>48796</v>
      </c>
      <c r="N802" s="53" t="s">
        <v>1919</v>
      </c>
      <c r="O802" s="11" t="s">
        <v>1791</v>
      </c>
      <c r="P802" s="11" t="s">
        <v>116</v>
      </c>
      <c r="Q802" s="20" t="s">
        <v>1920</v>
      </c>
      <c r="R802" s="11">
        <v>0.5</v>
      </c>
      <c r="S802" s="11"/>
      <c r="T802" s="12">
        <v>44158</v>
      </c>
      <c r="U802" s="12">
        <v>46349</v>
      </c>
      <c r="V802" s="13" t="s">
        <v>1921</v>
      </c>
      <c r="W802" s="11" t="s">
        <v>1668</v>
      </c>
      <c r="X802" s="11" t="s">
        <v>42</v>
      </c>
      <c r="Y802" s="11" t="s">
        <v>521</v>
      </c>
      <c r="Z802" s="11">
        <v>0.5</v>
      </c>
      <c r="AA802" s="11"/>
      <c r="AB802" s="12" t="s">
        <v>1678</v>
      </c>
      <c r="AC802" s="12">
        <v>46357</v>
      </c>
      <c r="AD802" s="12" t="s">
        <v>124</v>
      </c>
      <c r="AE802" s="42"/>
      <c r="AF802" s="43" t="s">
        <v>45</v>
      </c>
    </row>
    <row r="803" spans="1:32" x14ac:dyDescent="0.25">
      <c r="A803" s="44"/>
      <c r="B803" s="42"/>
      <c r="C803" s="42"/>
      <c r="D803" s="42"/>
      <c r="E803" s="42"/>
      <c r="F803" s="42"/>
      <c r="G803" s="42"/>
      <c r="H803" s="42"/>
      <c r="I803" s="48"/>
      <c r="J803" s="42"/>
      <c r="K803" s="42"/>
      <c r="L803" s="42"/>
      <c r="M803" s="42"/>
      <c r="N803" s="53"/>
      <c r="O803" s="11" t="s">
        <v>77</v>
      </c>
      <c r="P803" s="11" t="s">
        <v>77</v>
      </c>
      <c r="Q803" s="11" t="s">
        <v>77</v>
      </c>
      <c r="R803" s="11" t="s">
        <v>77</v>
      </c>
      <c r="S803" s="11"/>
      <c r="T803" s="12" t="s">
        <v>77</v>
      </c>
      <c r="U803" s="12" t="s">
        <v>77</v>
      </c>
      <c r="V803" s="4"/>
      <c r="W803" s="11" t="s">
        <v>1668</v>
      </c>
      <c r="X803" s="11" t="s">
        <v>42</v>
      </c>
      <c r="Y803" s="11" t="s">
        <v>521</v>
      </c>
      <c r="Z803" s="11">
        <v>0.5</v>
      </c>
      <c r="AA803" s="11"/>
      <c r="AB803" s="12" t="s">
        <v>1678</v>
      </c>
      <c r="AC803" s="12">
        <v>46357</v>
      </c>
      <c r="AD803" s="12" t="s">
        <v>124</v>
      </c>
      <c r="AE803" s="42"/>
      <c r="AF803" s="42"/>
    </row>
    <row r="804" spans="1:32" ht="45" x14ac:dyDescent="0.25">
      <c r="A804" s="44"/>
      <c r="B804" s="42"/>
      <c r="C804" s="42"/>
      <c r="D804" s="42"/>
      <c r="E804" s="42"/>
      <c r="F804" s="42"/>
      <c r="G804" s="42"/>
      <c r="H804" s="42"/>
      <c r="I804" s="48"/>
      <c r="J804" s="42"/>
      <c r="K804" s="42"/>
      <c r="L804" s="42"/>
      <c r="M804" s="42"/>
      <c r="N804" s="53"/>
      <c r="O804" s="11" t="s">
        <v>1796</v>
      </c>
      <c r="P804" s="11" t="s">
        <v>116</v>
      </c>
      <c r="Q804" s="20" t="s">
        <v>1922</v>
      </c>
      <c r="R804" s="11">
        <v>0.5</v>
      </c>
      <c r="S804" s="11"/>
      <c r="T804" s="12">
        <v>44158</v>
      </c>
      <c r="U804" s="12">
        <v>46349</v>
      </c>
      <c r="V804" s="13" t="s">
        <v>1923</v>
      </c>
      <c r="W804" s="11" t="s">
        <v>1668</v>
      </c>
      <c r="X804" s="11" t="s">
        <v>42</v>
      </c>
      <c r="Y804" s="11" t="s">
        <v>521</v>
      </c>
      <c r="Z804" s="11">
        <v>0.5</v>
      </c>
      <c r="AA804" s="11"/>
      <c r="AB804" s="12" t="s">
        <v>1678</v>
      </c>
      <c r="AC804" s="12">
        <v>46357</v>
      </c>
      <c r="AD804" s="12" t="s">
        <v>124</v>
      </c>
      <c r="AE804" s="42"/>
      <c r="AF804" s="42"/>
    </row>
    <row r="805" spans="1:32" ht="23.85" customHeight="1" x14ac:dyDescent="0.25">
      <c r="A805" s="44">
        <v>266</v>
      </c>
      <c r="B805" s="42" t="s">
        <v>1660</v>
      </c>
      <c r="C805" s="42" t="s">
        <v>1869</v>
      </c>
      <c r="D805" s="42">
        <v>104237</v>
      </c>
      <c r="E805" s="42" t="s">
        <v>1854</v>
      </c>
      <c r="F805" s="42" t="s">
        <v>31</v>
      </c>
      <c r="G805" s="42" t="s">
        <v>32</v>
      </c>
      <c r="H805" s="42" t="s">
        <v>1663</v>
      </c>
      <c r="I805" s="48" t="s">
        <v>1924</v>
      </c>
      <c r="J805" s="42" t="s">
        <v>71</v>
      </c>
      <c r="K805" s="42"/>
      <c r="L805" s="42" t="s">
        <v>1701</v>
      </c>
      <c r="M805" s="52">
        <v>48797</v>
      </c>
      <c r="N805" s="53" t="s">
        <v>1925</v>
      </c>
      <c r="O805" s="11" t="s">
        <v>1791</v>
      </c>
      <c r="P805" s="11" t="s">
        <v>163</v>
      </c>
      <c r="Q805" s="20" t="s">
        <v>1926</v>
      </c>
      <c r="R805" s="11">
        <v>0.5</v>
      </c>
      <c r="S805" s="11"/>
      <c r="T805" s="12" t="s">
        <v>1914</v>
      </c>
      <c r="U805" s="12">
        <v>46349</v>
      </c>
      <c r="V805" s="13" t="s">
        <v>1927</v>
      </c>
      <c r="W805" s="11" t="s">
        <v>1668</v>
      </c>
      <c r="X805" s="11" t="s">
        <v>42</v>
      </c>
      <c r="Y805" s="11" t="s">
        <v>521</v>
      </c>
      <c r="Z805" s="11">
        <v>0.5</v>
      </c>
      <c r="AA805" s="11"/>
      <c r="AB805" s="12" t="s">
        <v>1678</v>
      </c>
      <c r="AC805" s="12">
        <v>46357</v>
      </c>
      <c r="AD805" s="12" t="s">
        <v>124</v>
      </c>
      <c r="AE805" s="42"/>
      <c r="AF805" s="43" t="s">
        <v>45</v>
      </c>
    </row>
    <row r="806" spans="1:32" x14ac:dyDescent="0.25">
      <c r="A806" s="44"/>
      <c r="B806" s="42"/>
      <c r="C806" s="42"/>
      <c r="D806" s="42"/>
      <c r="E806" s="42"/>
      <c r="F806" s="42"/>
      <c r="G806" s="42"/>
      <c r="H806" s="42"/>
      <c r="I806" s="48"/>
      <c r="J806" s="42"/>
      <c r="K806" s="42"/>
      <c r="L806" s="42"/>
      <c r="M806" s="42"/>
      <c r="N806" s="53"/>
      <c r="O806" s="11" t="s">
        <v>77</v>
      </c>
      <c r="P806" s="11" t="s">
        <v>77</v>
      </c>
      <c r="Q806" s="11" t="s">
        <v>77</v>
      </c>
      <c r="R806" s="11" t="s">
        <v>77</v>
      </c>
      <c r="S806" s="11"/>
      <c r="T806" s="12" t="s">
        <v>77</v>
      </c>
      <c r="U806" s="12" t="s">
        <v>77</v>
      </c>
      <c r="V806" s="4"/>
      <c r="W806" s="11" t="s">
        <v>1668</v>
      </c>
      <c r="X806" s="11" t="s">
        <v>42</v>
      </c>
      <c r="Y806" s="11" t="s">
        <v>521</v>
      </c>
      <c r="Z806" s="11">
        <v>0.5</v>
      </c>
      <c r="AA806" s="11"/>
      <c r="AB806" s="12" t="s">
        <v>1678</v>
      </c>
      <c r="AC806" s="12">
        <v>46357</v>
      </c>
      <c r="AD806" s="12" t="s">
        <v>124</v>
      </c>
      <c r="AE806" s="42"/>
      <c r="AF806" s="42"/>
    </row>
    <row r="807" spans="1:32" ht="45" x14ac:dyDescent="0.25">
      <c r="A807" s="44"/>
      <c r="B807" s="42"/>
      <c r="C807" s="42"/>
      <c r="D807" s="42"/>
      <c r="E807" s="42"/>
      <c r="F807" s="42"/>
      <c r="G807" s="42"/>
      <c r="H807" s="42"/>
      <c r="I807" s="48"/>
      <c r="J807" s="42"/>
      <c r="K807" s="42"/>
      <c r="L807" s="42"/>
      <c r="M807" s="42"/>
      <c r="N807" s="53"/>
      <c r="O807" s="11" t="s">
        <v>1796</v>
      </c>
      <c r="P807" s="11" t="s">
        <v>163</v>
      </c>
      <c r="Q807" s="20" t="s">
        <v>1928</v>
      </c>
      <c r="R807" s="11">
        <v>0.5</v>
      </c>
      <c r="S807" s="11"/>
      <c r="T807" s="12" t="s">
        <v>1914</v>
      </c>
      <c r="U807" s="12">
        <v>46349</v>
      </c>
      <c r="V807" s="13" t="s">
        <v>1929</v>
      </c>
      <c r="W807" s="11" t="s">
        <v>1668</v>
      </c>
      <c r="X807" s="11" t="s">
        <v>42</v>
      </c>
      <c r="Y807" s="11" t="s">
        <v>521</v>
      </c>
      <c r="Z807" s="11">
        <v>0.5</v>
      </c>
      <c r="AA807" s="11"/>
      <c r="AB807" s="12" t="s">
        <v>1678</v>
      </c>
      <c r="AC807" s="12">
        <v>46357</v>
      </c>
      <c r="AD807" s="12" t="s">
        <v>124</v>
      </c>
      <c r="AE807" s="42"/>
      <c r="AF807" s="42"/>
    </row>
    <row r="808" spans="1:32" ht="23.85" customHeight="1" x14ac:dyDescent="0.25">
      <c r="A808" s="44">
        <v>267</v>
      </c>
      <c r="B808" s="42" t="s">
        <v>1660</v>
      </c>
      <c r="C808" s="42" t="s">
        <v>1869</v>
      </c>
      <c r="D808" s="42">
        <v>104237</v>
      </c>
      <c r="E808" s="42" t="s">
        <v>1930</v>
      </c>
      <c r="F808" s="42" t="s">
        <v>31</v>
      </c>
      <c r="G808" s="42" t="s">
        <v>68</v>
      </c>
      <c r="H808" s="42" t="s">
        <v>1663</v>
      </c>
      <c r="I808" s="48" t="s">
        <v>1931</v>
      </c>
      <c r="J808" s="42" t="s">
        <v>71</v>
      </c>
      <c r="K808" s="42"/>
      <c r="L808" s="42" t="s">
        <v>1701</v>
      </c>
      <c r="M808" s="52">
        <v>48797</v>
      </c>
      <c r="N808" s="53" t="s">
        <v>1932</v>
      </c>
      <c r="O808" s="11" t="s">
        <v>1791</v>
      </c>
      <c r="P808" s="11" t="s">
        <v>116</v>
      </c>
      <c r="Q808" s="20" t="s">
        <v>1933</v>
      </c>
      <c r="R808" s="11">
        <v>0.5</v>
      </c>
      <c r="S808" s="11"/>
      <c r="T808" s="12" t="s">
        <v>1914</v>
      </c>
      <c r="U808" s="12">
        <v>46349</v>
      </c>
      <c r="V808" s="13" t="s">
        <v>1934</v>
      </c>
      <c r="W808" s="11" t="s">
        <v>1668</v>
      </c>
      <c r="X808" s="11" t="s">
        <v>42</v>
      </c>
      <c r="Y808" s="11" t="s">
        <v>521</v>
      </c>
      <c r="Z808" s="11">
        <v>0.5</v>
      </c>
      <c r="AA808" s="11"/>
      <c r="AB808" s="12" t="s">
        <v>1678</v>
      </c>
      <c r="AC808" s="12">
        <v>46357</v>
      </c>
      <c r="AD808" s="12" t="s">
        <v>124</v>
      </c>
      <c r="AE808" s="42"/>
      <c r="AF808" s="43" t="s">
        <v>45</v>
      </c>
    </row>
    <row r="809" spans="1:32" x14ac:dyDescent="0.25">
      <c r="A809" s="44"/>
      <c r="B809" s="42"/>
      <c r="C809" s="42"/>
      <c r="D809" s="42"/>
      <c r="E809" s="42"/>
      <c r="F809" s="42"/>
      <c r="G809" s="42"/>
      <c r="H809" s="42"/>
      <c r="I809" s="48"/>
      <c r="J809" s="42"/>
      <c r="K809" s="42"/>
      <c r="L809" s="42"/>
      <c r="M809" s="42"/>
      <c r="N809" s="53"/>
      <c r="O809" s="11" t="s">
        <v>77</v>
      </c>
      <c r="P809" s="11" t="s">
        <v>77</v>
      </c>
      <c r="Q809" s="11" t="s">
        <v>77</v>
      </c>
      <c r="R809" s="11" t="s">
        <v>77</v>
      </c>
      <c r="S809" s="11"/>
      <c r="T809" s="12" t="s">
        <v>77</v>
      </c>
      <c r="U809" s="12" t="s">
        <v>77</v>
      </c>
      <c r="V809" s="4"/>
      <c r="W809" s="11" t="s">
        <v>1668</v>
      </c>
      <c r="X809" s="11" t="s">
        <v>42</v>
      </c>
      <c r="Y809" s="11" t="s">
        <v>521</v>
      </c>
      <c r="Z809" s="11">
        <v>0.5</v>
      </c>
      <c r="AA809" s="11"/>
      <c r="AB809" s="12" t="s">
        <v>1678</v>
      </c>
      <c r="AC809" s="12">
        <v>46357</v>
      </c>
      <c r="AD809" s="12" t="s">
        <v>124</v>
      </c>
      <c r="AE809" s="42"/>
      <c r="AF809" s="42"/>
    </row>
    <row r="810" spans="1:32" ht="45" x14ac:dyDescent="0.25">
      <c r="A810" s="44"/>
      <c r="B810" s="42"/>
      <c r="C810" s="42"/>
      <c r="D810" s="42"/>
      <c r="E810" s="42"/>
      <c r="F810" s="42"/>
      <c r="G810" s="42"/>
      <c r="H810" s="42"/>
      <c r="I810" s="48"/>
      <c r="J810" s="42"/>
      <c r="K810" s="42"/>
      <c r="L810" s="42"/>
      <c r="M810" s="42"/>
      <c r="N810" s="53"/>
      <c r="O810" s="11" t="s">
        <v>1796</v>
      </c>
      <c r="P810" s="11" t="s">
        <v>116</v>
      </c>
      <c r="Q810" s="20" t="s">
        <v>1935</v>
      </c>
      <c r="R810" s="11">
        <v>0.5</v>
      </c>
      <c r="S810" s="11"/>
      <c r="T810" s="12" t="s">
        <v>1914</v>
      </c>
      <c r="U810" s="12">
        <v>46349</v>
      </c>
      <c r="V810" s="13" t="s">
        <v>1936</v>
      </c>
      <c r="W810" s="11" t="s">
        <v>1668</v>
      </c>
      <c r="X810" s="11" t="s">
        <v>42</v>
      </c>
      <c r="Y810" s="11" t="s">
        <v>521</v>
      </c>
      <c r="Z810" s="11">
        <v>0.5</v>
      </c>
      <c r="AA810" s="11"/>
      <c r="AB810" s="12" t="s">
        <v>1678</v>
      </c>
      <c r="AC810" s="12">
        <v>46357</v>
      </c>
      <c r="AD810" s="12" t="s">
        <v>124</v>
      </c>
      <c r="AE810" s="42"/>
      <c r="AF810" s="42"/>
    </row>
    <row r="811" spans="1:32" ht="23.85" customHeight="1" x14ac:dyDescent="0.25">
      <c r="A811" s="44">
        <v>268</v>
      </c>
      <c r="B811" s="42" t="s">
        <v>1660</v>
      </c>
      <c r="C811" s="42" t="s">
        <v>1869</v>
      </c>
      <c r="D811" s="42">
        <v>104237</v>
      </c>
      <c r="E811" s="42" t="s">
        <v>1937</v>
      </c>
      <c r="F811" s="42" t="s">
        <v>31</v>
      </c>
      <c r="G811" s="42" t="s">
        <v>68</v>
      </c>
      <c r="H811" s="42" t="s">
        <v>1663</v>
      </c>
      <c r="I811" s="48" t="s">
        <v>1938</v>
      </c>
      <c r="J811" s="42" t="s">
        <v>71</v>
      </c>
      <c r="K811" s="42"/>
      <c r="L811" s="42" t="s">
        <v>1683</v>
      </c>
      <c r="M811" s="52">
        <v>48760</v>
      </c>
      <c r="N811" s="53" t="s">
        <v>1939</v>
      </c>
      <c r="O811" s="11" t="s">
        <v>990</v>
      </c>
      <c r="P811" s="11" t="s">
        <v>1704</v>
      </c>
      <c r="Q811" s="11" t="s">
        <v>1940</v>
      </c>
      <c r="R811" s="11">
        <v>0.5</v>
      </c>
      <c r="S811" s="11"/>
      <c r="T811" s="12" t="s">
        <v>1941</v>
      </c>
      <c r="U811" s="12">
        <v>46362</v>
      </c>
      <c r="V811" s="4" t="s">
        <v>124</v>
      </c>
      <c r="W811" s="11" t="s">
        <v>77</v>
      </c>
      <c r="X811" s="11" t="s">
        <v>77</v>
      </c>
      <c r="Y811" s="11" t="s">
        <v>77</v>
      </c>
      <c r="Z811" s="11">
        <v>0</v>
      </c>
      <c r="AA811" s="11"/>
      <c r="AB811" s="12" t="s">
        <v>77</v>
      </c>
      <c r="AC811" s="12" t="s">
        <v>77</v>
      </c>
      <c r="AD811" s="12"/>
      <c r="AE811" s="42"/>
      <c r="AF811" s="43" t="s">
        <v>995</v>
      </c>
    </row>
    <row r="812" spans="1:32" ht="25.5" x14ac:dyDescent="0.25">
      <c r="A812" s="44"/>
      <c r="B812" s="42"/>
      <c r="C812" s="42"/>
      <c r="D812" s="42"/>
      <c r="E812" s="42"/>
      <c r="F812" s="42"/>
      <c r="G812" s="42"/>
      <c r="H812" s="42"/>
      <c r="I812" s="48"/>
      <c r="J812" s="42"/>
      <c r="K812" s="42"/>
      <c r="L812" s="42"/>
      <c r="M812" s="42"/>
      <c r="N812" s="53"/>
      <c r="O812" s="11" t="s">
        <v>990</v>
      </c>
      <c r="P812" s="11" t="s">
        <v>1704</v>
      </c>
      <c r="Q812" s="11" t="s">
        <v>1942</v>
      </c>
      <c r="R812" s="11">
        <v>0.5</v>
      </c>
      <c r="S812" s="11"/>
      <c r="T812" s="12" t="s">
        <v>1941</v>
      </c>
      <c r="U812" s="12">
        <v>46362</v>
      </c>
      <c r="V812" s="4" t="s">
        <v>124</v>
      </c>
      <c r="W812" s="11" t="s">
        <v>77</v>
      </c>
      <c r="X812" s="11" t="s">
        <v>77</v>
      </c>
      <c r="Y812" s="11" t="s">
        <v>77</v>
      </c>
      <c r="Z812" s="11" t="s">
        <v>77</v>
      </c>
      <c r="AA812" s="11"/>
      <c r="AB812" s="12" t="s">
        <v>77</v>
      </c>
      <c r="AC812" s="12" t="s">
        <v>77</v>
      </c>
      <c r="AD812" s="12"/>
      <c r="AE812" s="42"/>
      <c r="AF812" s="42"/>
    </row>
    <row r="813" spans="1:32" x14ac:dyDescent="0.25">
      <c r="A813" s="44"/>
      <c r="B813" s="42"/>
      <c r="C813" s="42"/>
      <c r="D813" s="42"/>
      <c r="E813" s="42"/>
      <c r="F813" s="42"/>
      <c r="G813" s="42"/>
      <c r="H813" s="42"/>
      <c r="I813" s="48"/>
      <c r="J813" s="42"/>
      <c r="K813" s="42"/>
      <c r="L813" s="42"/>
      <c r="M813" s="42"/>
      <c r="N813" s="53"/>
      <c r="O813" s="11" t="s">
        <v>997</v>
      </c>
      <c r="P813" s="11" t="s">
        <v>1704</v>
      </c>
      <c r="Q813" s="11" t="s">
        <v>1943</v>
      </c>
      <c r="R813" s="11">
        <v>0.5</v>
      </c>
      <c r="S813" s="11"/>
      <c r="T813" s="12" t="s">
        <v>1941</v>
      </c>
      <c r="U813" s="12">
        <v>46362</v>
      </c>
      <c r="V813" s="4" t="s">
        <v>124</v>
      </c>
      <c r="W813" s="11" t="s">
        <v>77</v>
      </c>
      <c r="X813" s="11" t="s">
        <v>77</v>
      </c>
      <c r="Y813" s="11" t="s">
        <v>77</v>
      </c>
      <c r="Z813" s="11" t="s">
        <v>77</v>
      </c>
      <c r="AA813" s="11"/>
      <c r="AB813" s="12" t="s">
        <v>77</v>
      </c>
      <c r="AC813" s="12" t="s">
        <v>77</v>
      </c>
      <c r="AD813" s="12"/>
      <c r="AE813" s="42"/>
      <c r="AF813" s="42"/>
    </row>
    <row r="814" spans="1:32" ht="23.85" customHeight="1" x14ac:dyDescent="0.25">
      <c r="A814" s="44">
        <v>269</v>
      </c>
      <c r="B814" s="42" t="s">
        <v>1660</v>
      </c>
      <c r="C814" s="42" t="s">
        <v>1944</v>
      </c>
      <c r="D814" s="42">
        <v>104302</v>
      </c>
      <c r="E814" s="42" t="s">
        <v>1798</v>
      </c>
      <c r="F814" s="42" t="s">
        <v>31</v>
      </c>
      <c r="G814" s="42" t="s">
        <v>68</v>
      </c>
      <c r="H814" s="42" t="s">
        <v>1663</v>
      </c>
      <c r="I814" s="48" t="s">
        <v>1945</v>
      </c>
      <c r="J814" s="42" t="s">
        <v>71</v>
      </c>
      <c r="K814" s="42"/>
      <c r="L814" s="42" t="s">
        <v>1665</v>
      </c>
      <c r="M814" s="52">
        <v>48796</v>
      </c>
      <c r="N814" s="53" t="s">
        <v>1946</v>
      </c>
      <c r="O814" s="11" t="s">
        <v>1791</v>
      </c>
      <c r="P814" s="11" t="s">
        <v>84</v>
      </c>
      <c r="Q814" s="20" t="s">
        <v>1947</v>
      </c>
      <c r="R814" s="11">
        <v>0.5</v>
      </c>
      <c r="S814" s="11"/>
      <c r="T814" s="12" t="s">
        <v>1948</v>
      </c>
      <c r="U814" s="12">
        <v>46335</v>
      </c>
      <c r="V814" s="13" t="s">
        <v>1949</v>
      </c>
      <c r="W814" s="11" t="s">
        <v>1668</v>
      </c>
      <c r="X814" s="11" t="s">
        <v>42</v>
      </c>
      <c r="Y814" s="11" t="s">
        <v>1950</v>
      </c>
      <c r="Z814" s="11">
        <v>0.5</v>
      </c>
      <c r="AA814" s="11"/>
      <c r="AB814" s="12" t="s">
        <v>1951</v>
      </c>
      <c r="AC814" s="12">
        <v>46228</v>
      </c>
      <c r="AD814" s="12" t="s">
        <v>124</v>
      </c>
      <c r="AE814" s="42"/>
      <c r="AF814" s="43" t="s">
        <v>45</v>
      </c>
    </row>
    <row r="815" spans="1:32" x14ac:dyDescent="0.25">
      <c r="A815" s="44"/>
      <c r="B815" s="42"/>
      <c r="C815" s="42"/>
      <c r="D815" s="42"/>
      <c r="E815" s="42"/>
      <c r="F815" s="42"/>
      <c r="G815" s="42"/>
      <c r="H815" s="42"/>
      <c r="I815" s="48"/>
      <c r="J815" s="42"/>
      <c r="K815" s="42"/>
      <c r="L815" s="42"/>
      <c r="M815" s="42"/>
      <c r="N815" s="53"/>
      <c r="O815" s="11" t="s">
        <v>77</v>
      </c>
      <c r="P815" s="11" t="s">
        <v>77</v>
      </c>
      <c r="Q815" s="11" t="s">
        <v>77</v>
      </c>
      <c r="R815" s="11" t="s">
        <v>77</v>
      </c>
      <c r="S815" s="11"/>
      <c r="T815" s="12" t="s">
        <v>77</v>
      </c>
      <c r="U815" s="12" t="s">
        <v>77</v>
      </c>
      <c r="V815" s="4"/>
      <c r="W815" s="11" t="s">
        <v>1668</v>
      </c>
      <c r="X815" s="11" t="s">
        <v>42</v>
      </c>
      <c r="Y815" s="11" t="s">
        <v>1950</v>
      </c>
      <c r="Z815" s="11">
        <v>0.5</v>
      </c>
      <c r="AA815" s="11"/>
      <c r="AB815" s="12" t="s">
        <v>1951</v>
      </c>
      <c r="AC815" s="12">
        <v>46228</v>
      </c>
      <c r="AD815" s="12" t="s">
        <v>124</v>
      </c>
      <c r="AE815" s="42"/>
      <c r="AF815" s="42"/>
    </row>
    <row r="816" spans="1:32" ht="45" x14ac:dyDescent="0.25">
      <c r="A816" s="44"/>
      <c r="B816" s="42"/>
      <c r="C816" s="42"/>
      <c r="D816" s="42"/>
      <c r="E816" s="42"/>
      <c r="F816" s="42"/>
      <c r="G816" s="42"/>
      <c r="H816" s="42"/>
      <c r="I816" s="48"/>
      <c r="J816" s="42"/>
      <c r="K816" s="42"/>
      <c r="L816" s="42"/>
      <c r="M816" s="42"/>
      <c r="N816" s="53"/>
      <c r="O816" s="11" t="s">
        <v>1796</v>
      </c>
      <c r="P816" s="11" t="s">
        <v>84</v>
      </c>
      <c r="Q816" s="20" t="s">
        <v>1952</v>
      </c>
      <c r="R816" s="11">
        <v>0.5</v>
      </c>
      <c r="S816" s="11"/>
      <c r="T816" s="12" t="s">
        <v>1948</v>
      </c>
      <c r="U816" s="12">
        <v>46335</v>
      </c>
      <c r="V816" s="13" t="s">
        <v>1953</v>
      </c>
      <c r="W816" s="11" t="s">
        <v>1668</v>
      </c>
      <c r="X816" s="11" t="s">
        <v>42</v>
      </c>
      <c r="Y816" s="11" t="s">
        <v>1950</v>
      </c>
      <c r="Z816" s="11">
        <v>0.5</v>
      </c>
      <c r="AA816" s="11"/>
      <c r="AB816" s="12" t="s">
        <v>1951</v>
      </c>
      <c r="AC816" s="12">
        <v>46228</v>
      </c>
      <c r="AD816" s="12" t="s">
        <v>124</v>
      </c>
      <c r="AE816" s="42"/>
      <c r="AF816" s="42"/>
    </row>
    <row r="817" spans="1:32" ht="23.85" customHeight="1" x14ac:dyDescent="0.25">
      <c r="A817" s="44">
        <v>270</v>
      </c>
      <c r="B817" s="42" t="s">
        <v>1660</v>
      </c>
      <c r="C817" s="42" t="s">
        <v>1944</v>
      </c>
      <c r="D817" s="42">
        <v>104302</v>
      </c>
      <c r="E817" s="42" t="s">
        <v>1805</v>
      </c>
      <c r="F817" s="42" t="s">
        <v>31</v>
      </c>
      <c r="G817" s="42" t="s">
        <v>68</v>
      </c>
      <c r="H817" s="42" t="s">
        <v>1663</v>
      </c>
      <c r="I817" s="48" t="s">
        <v>1954</v>
      </c>
      <c r="J817" s="42" t="s">
        <v>71</v>
      </c>
      <c r="K817" s="42"/>
      <c r="L817" s="42" t="s">
        <v>1665</v>
      </c>
      <c r="M817" s="52">
        <v>48796</v>
      </c>
      <c r="N817" s="53" t="s">
        <v>1955</v>
      </c>
      <c r="O817" s="11" t="s">
        <v>1791</v>
      </c>
      <c r="P817" s="11" t="s">
        <v>433</v>
      </c>
      <c r="Q817" s="20" t="s">
        <v>1956</v>
      </c>
      <c r="R817" s="11">
        <v>0.5</v>
      </c>
      <c r="S817" s="11"/>
      <c r="T817" s="12" t="s">
        <v>1948</v>
      </c>
      <c r="U817" s="12">
        <v>46335</v>
      </c>
      <c r="V817" s="13" t="s">
        <v>1957</v>
      </c>
      <c r="W817" s="11" t="s">
        <v>1668</v>
      </c>
      <c r="X817" s="11" t="s">
        <v>42</v>
      </c>
      <c r="Y817" s="11" t="s">
        <v>1950</v>
      </c>
      <c r="Z817" s="11">
        <v>0.5</v>
      </c>
      <c r="AA817" s="11"/>
      <c r="AB817" s="12" t="s">
        <v>1951</v>
      </c>
      <c r="AC817" s="12">
        <v>46228</v>
      </c>
      <c r="AD817" s="12" t="s">
        <v>124</v>
      </c>
      <c r="AE817" s="42"/>
      <c r="AF817" s="43" t="s">
        <v>45</v>
      </c>
    </row>
    <row r="818" spans="1:32" x14ac:dyDescent="0.25">
      <c r="A818" s="44"/>
      <c r="B818" s="42"/>
      <c r="C818" s="42"/>
      <c r="D818" s="42"/>
      <c r="E818" s="42"/>
      <c r="F818" s="42"/>
      <c r="G818" s="42"/>
      <c r="H818" s="42"/>
      <c r="I818" s="48"/>
      <c r="J818" s="42"/>
      <c r="K818" s="42"/>
      <c r="L818" s="42"/>
      <c r="M818" s="42"/>
      <c r="N818" s="53"/>
      <c r="O818" s="11" t="s">
        <v>77</v>
      </c>
      <c r="P818" s="11" t="s">
        <v>77</v>
      </c>
      <c r="Q818" s="11" t="s">
        <v>77</v>
      </c>
      <c r="R818" s="11" t="s">
        <v>77</v>
      </c>
      <c r="S818" s="11"/>
      <c r="T818" s="12" t="s">
        <v>77</v>
      </c>
      <c r="U818" s="12" t="s">
        <v>77</v>
      </c>
      <c r="V818" s="4"/>
      <c r="W818" s="11" t="s">
        <v>1668</v>
      </c>
      <c r="X818" s="11" t="s">
        <v>42</v>
      </c>
      <c r="Y818" s="11" t="s">
        <v>1950</v>
      </c>
      <c r="Z818" s="11">
        <v>0.5</v>
      </c>
      <c r="AA818" s="11"/>
      <c r="AB818" s="12" t="s">
        <v>1951</v>
      </c>
      <c r="AC818" s="12">
        <v>46228</v>
      </c>
      <c r="AD818" s="12" t="s">
        <v>124</v>
      </c>
      <c r="AE818" s="42"/>
      <c r="AF818" s="42"/>
    </row>
    <row r="819" spans="1:32" ht="45" x14ac:dyDescent="0.25">
      <c r="A819" s="44"/>
      <c r="B819" s="42"/>
      <c r="C819" s="42"/>
      <c r="D819" s="42"/>
      <c r="E819" s="42"/>
      <c r="F819" s="42"/>
      <c r="G819" s="42"/>
      <c r="H819" s="42"/>
      <c r="I819" s="48"/>
      <c r="J819" s="42"/>
      <c r="K819" s="42"/>
      <c r="L819" s="42"/>
      <c r="M819" s="42"/>
      <c r="N819" s="53"/>
      <c r="O819" s="11" t="s">
        <v>1796</v>
      </c>
      <c r="P819" s="11" t="s">
        <v>433</v>
      </c>
      <c r="Q819" s="20" t="s">
        <v>1958</v>
      </c>
      <c r="R819" s="11">
        <v>0.5</v>
      </c>
      <c r="S819" s="11"/>
      <c r="T819" s="12" t="s">
        <v>1948</v>
      </c>
      <c r="U819" s="12">
        <v>46335</v>
      </c>
      <c r="V819" s="13" t="s">
        <v>1959</v>
      </c>
      <c r="W819" s="11" t="s">
        <v>1668</v>
      </c>
      <c r="X819" s="11" t="s">
        <v>42</v>
      </c>
      <c r="Y819" s="11" t="s">
        <v>1950</v>
      </c>
      <c r="Z819" s="11">
        <v>0.5</v>
      </c>
      <c r="AA819" s="11"/>
      <c r="AB819" s="12" t="s">
        <v>1951</v>
      </c>
      <c r="AC819" s="12">
        <v>46228</v>
      </c>
      <c r="AD819" s="12" t="s">
        <v>124</v>
      </c>
      <c r="AE819" s="42"/>
      <c r="AF819" s="42"/>
    </row>
    <row r="820" spans="1:32" ht="23.85" customHeight="1" x14ac:dyDescent="0.25">
      <c r="A820" s="44">
        <v>271</v>
      </c>
      <c r="B820" s="42" t="s">
        <v>1660</v>
      </c>
      <c r="C820" s="42" t="s">
        <v>1944</v>
      </c>
      <c r="D820" s="42">
        <v>104302</v>
      </c>
      <c r="E820" s="42" t="s">
        <v>1730</v>
      </c>
      <c r="F820" s="42" t="s">
        <v>31</v>
      </c>
      <c r="G820" s="42" t="s">
        <v>68</v>
      </c>
      <c r="H820" s="42" t="s">
        <v>1663</v>
      </c>
      <c r="I820" s="48" t="s">
        <v>1960</v>
      </c>
      <c r="J820" s="42" t="s">
        <v>71</v>
      </c>
      <c r="K820" s="42"/>
      <c r="L820" s="42" t="s">
        <v>1701</v>
      </c>
      <c r="M820" s="52">
        <v>48797</v>
      </c>
      <c r="N820" s="53" t="s">
        <v>1961</v>
      </c>
      <c r="O820" s="11" t="s">
        <v>1791</v>
      </c>
      <c r="P820" s="11" t="s">
        <v>433</v>
      </c>
      <c r="Q820" s="20" t="s">
        <v>1962</v>
      </c>
      <c r="R820" s="11">
        <v>0.5</v>
      </c>
      <c r="S820" s="11"/>
      <c r="T820" s="12" t="s">
        <v>1948</v>
      </c>
      <c r="U820" s="12">
        <v>46335</v>
      </c>
      <c r="V820" s="13" t="s">
        <v>1963</v>
      </c>
      <c r="W820" s="11" t="s">
        <v>1668</v>
      </c>
      <c r="X820" s="11" t="s">
        <v>42</v>
      </c>
      <c r="Y820" s="11" t="s">
        <v>1950</v>
      </c>
      <c r="Z820" s="11">
        <v>0.5</v>
      </c>
      <c r="AA820" s="11"/>
      <c r="AB820" s="12" t="s">
        <v>1951</v>
      </c>
      <c r="AC820" s="12">
        <v>46228</v>
      </c>
      <c r="AD820" s="12" t="s">
        <v>124</v>
      </c>
      <c r="AE820" s="42"/>
      <c r="AF820" s="43" t="s">
        <v>45</v>
      </c>
    </row>
    <row r="821" spans="1:32" x14ac:dyDescent="0.25">
      <c r="A821" s="44"/>
      <c r="B821" s="42"/>
      <c r="C821" s="42"/>
      <c r="D821" s="42"/>
      <c r="E821" s="42"/>
      <c r="F821" s="42"/>
      <c r="G821" s="42"/>
      <c r="H821" s="42"/>
      <c r="I821" s="48"/>
      <c r="J821" s="42"/>
      <c r="K821" s="42"/>
      <c r="L821" s="42"/>
      <c r="M821" s="42"/>
      <c r="N821" s="53"/>
      <c r="O821" s="11" t="s">
        <v>77</v>
      </c>
      <c r="P821" s="11" t="s">
        <v>77</v>
      </c>
      <c r="Q821" s="11" t="s">
        <v>77</v>
      </c>
      <c r="R821" s="11" t="s">
        <v>77</v>
      </c>
      <c r="S821" s="11"/>
      <c r="T821" s="12" t="s">
        <v>77</v>
      </c>
      <c r="U821" s="12" t="s">
        <v>77</v>
      </c>
      <c r="V821" s="4"/>
      <c r="W821" s="11" t="s">
        <v>1668</v>
      </c>
      <c r="X821" s="11" t="s">
        <v>42</v>
      </c>
      <c r="Y821" s="11" t="s">
        <v>1950</v>
      </c>
      <c r="Z821" s="11">
        <v>0.5</v>
      </c>
      <c r="AA821" s="11"/>
      <c r="AB821" s="12" t="s">
        <v>1951</v>
      </c>
      <c r="AC821" s="12">
        <v>46228</v>
      </c>
      <c r="AD821" s="12" t="s">
        <v>124</v>
      </c>
      <c r="AE821" s="42"/>
      <c r="AF821" s="42"/>
    </row>
    <row r="822" spans="1:32" ht="45" x14ac:dyDescent="0.25">
      <c r="A822" s="44"/>
      <c r="B822" s="42"/>
      <c r="C822" s="42"/>
      <c r="D822" s="42"/>
      <c r="E822" s="42"/>
      <c r="F822" s="42"/>
      <c r="G822" s="42"/>
      <c r="H822" s="42"/>
      <c r="I822" s="48"/>
      <c r="J822" s="42"/>
      <c r="K822" s="42"/>
      <c r="L822" s="42"/>
      <c r="M822" s="42"/>
      <c r="N822" s="53"/>
      <c r="O822" s="11" t="s">
        <v>1796</v>
      </c>
      <c r="P822" s="11" t="s">
        <v>433</v>
      </c>
      <c r="Q822" s="20" t="s">
        <v>1964</v>
      </c>
      <c r="R822" s="11">
        <v>0.5</v>
      </c>
      <c r="S822" s="11"/>
      <c r="T822" s="12" t="s">
        <v>1948</v>
      </c>
      <c r="U822" s="12">
        <v>46335</v>
      </c>
      <c r="V822" s="13" t="s">
        <v>1965</v>
      </c>
      <c r="W822" s="11" t="s">
        <v>1668</v>
      </c>
      <c r="X822" s="11" t="s">
        <v>42</v>
      </c>
      <c r="Y822" s="11" t="s">
        <v>1950</v>
      </c>
      <c r="Z822" s="11">
        <v>0.5</v>
      </c>
      <c r="AA822" s="11"/>
      <c r="AB822" s="12" t="s">
        <v>1951</v>
      </c>
      <c r="AC822" s="12">
        <v>46228</v>
      </c>
      <c r="AD822" s="12" t="s">
        <v>124</v>
      </c>
      <c r="AE822" s="42"/>
      <c r="AF822" s="42"/>
    </row>
    <row r="823" spans="1:32" ht="23.85" customHeight="1" x14ac:dyDescent="0.25">
      <c r="A823" s="44">
        <v>272</v>
      </c>
      <c r="B823" s="42" t="s">
        <v>1660</v>
      </c>
      <c r="C823" s="42" t="s">
        <v>1944</v>
      </c>
      <c r="D823" s="42">
        <v>104302</v>
      </c>
      <c r="E823" s="42" t="s">
        <v>1966</v>
      </c>
      <c r="F823" s="42" t="s">
        <v>31</v>
      </c>
      <c r="G823" s="42" t="s">
        <v>68</v>
      </c>
      <c r="H823" s="42" t="s">
        <v>1663</v>
      </c>
      <c r="I823" s="48" t="s">
        <v>1967</v>
      </c>
      <c r="J823" s="42" t="s">
        <v>71</v>
      </c>
      <c r="K823" s="42"/>
      <c r="L823" s="42" t="s">
        <v>1665</v>
      </c>
      <c r="M823" s="52">
        <v>48796</v>
      </c>
      <c r="N823" s="53" t="s">
        <v>1968</v>
      </c>
      <c r="O823" s="11" t="s">
        <v>1791</v>
      </c>
      <c r="P823" s="11" t="s">
        <v>84</v>
      </c>
      <c r="Q823" s="20" t="s">
        <v>1969</v>
      </c>
      <c r="R823" s="11">
        <v>0.5</v>
      </c>
      <c r="S823" s="11"/>
      <c r="T823" s="12" t="s">
        <v>1948</v>
      </c>
      <c r="U823" s="12">
        <v>46335</v>
      </c>
      <c r="V823" s="13" t="s">
        <v>1970</v>
      </c>
      <c r="W823" s="11" t="s">
        <v>1668</v>
      </c>
      <c r="X823" s="11" t="s">
        <v>42</v>
      </c>
      <c r="Y823" s="11" t="s">
        <v>1950</v>
      </c>
      <c r="Z823" s="11">
        <v>0.5</v>
      </c>
      <c r="AA823" s="11"/>
      <c r="AB823" s="12" t="s">
        <v>1951</v>
      </c>
      <c r="AC823" s="12">
        <v>46228</v>
      </c>
      <c r="AD823" s="12" t="s">
        <v>124</v>
      </c>
      <c r="AE823" s="42"/>
      <c r="AF823" s="43" t="s">
        <v>45</v>
      </c>
    </row>
    <row r="824" spans="1:32" x14ac:dyDescent="0.25">
      <c r="A824" s="44"/>
      <c r="B824" s="42"/>
      <c r="C824" s="42"/>
      <c r="D824" s="42"/>
      <c r="E824" s="42"/>
      <c r="F824" s="42"/>
      <c r="G824" s="42"/>
      <c r="H824" s="42"/>
      <c r="I824" s="48"/>
      <c r="J824" s="42"/>
      <c r="K824" s="42"/>
      <c r="L824" s="42"/>
      <c r="M824" s="42"/>
      <c r="N824" s="53"/>
      <c r="O824" s="11" t="s">
        <v>77</v>
      </c>
      <c r="P824" s="11" t="s">
        <v>77</v>
      </c>
      <c r="Q824" s="11" t="s">
        <v>77</v>
      </c>
      <c r="R824" s="11" t="s">
        <v>77</v>
      </c>
      <c r="S824" s="11"/>
      <c r="T824" s="12" t="s">
        <v>77</v>
      </c>
      <c r="U824" s="12" t="s">
        <v>77</v>
      </c>
      <c r="V824" s="4"/>
      <c r="W824" s="11" t="s">
        <v>1668</v>
      </c>
      <c r="X824" s="11" t="s">
        <v>42</v>
      </c>
      <c r="Y824" s="11" t="s">
        <v>1950</v>
      </c>
      <c r="Z824" s="11">
        <v>0.5</v>
      </c>
      <c r="AA824" s="11"/>
      <c r="AB824" s="12" t="s">
        <v>1951</v>
      </c>
      <c r="AC824" s="12">
        <v>46228</v>
      </c>
      <c r="AD824" s="12" t="s">
        <v>124</v>
      </c>
      <c r="AE824" s="42"/>
      <c r="AF824" s="42"/>
    </row>
    <row r="825" spans="1:32" ht="45" x14ac:dyDescent="0.25">
      <c r="A825" s="44"/>
      <c r="B825" s="42"/>
      <c r="C825" s="42"/>
      <c r="D825" s="42"/>
      <c r="E825" s="42"/>
      <c r="F825" s="42"/>
      <c r="G825" s="42"/>
      <c r="H825" s="42"/>
      <c r="I825" s="48"/>
      <c r="J825" s="42"/>
      <c r="K825" s="42"/>
      <c r="L825" s="42"/>
      <c r="M825" s="42"/>
      <c r="N825" s="53"/>
      <c r="O825" s="11" t="s">
        <v>1796</v>
      </c>
      <c r="P825" s="11" t="s">
        <v>84</v>
      </c>
      <c r="Q825" s="20" t="s">
        <v>1971</v>
      </c>
      <c r="R825" s="11">
        <v>0.5</v>
      </c>
      <c r="S825" s="11"/>
      <c r="T825" s="12" t="s">
        <v>1948</v>
      </c>
      <c r="U825" s="12">
        <v>46335</v>
      </c>
      <c r="V825" s="13" t="s">
        <v>1972</v>
      </c>
      <c r="W825" s="11" t="s">
        <v>1668</v>
      </c>
      <c r="X825" s="11" t="s">
        <v>42</v>
      </c>
      <c r="Y825" s="11" t="s">
        <v>1950</v>
      </c>
      <c r="Z825" s="11">
        <v>0.5</v>
      </c>
      <c r="AA825" s="11"/>
      <c r="AB825" s="12" t="s">
        <v>1951</v>
      </c>
      <c r="AC825" s="12">
        <v>46228</v>
      </c>
      <c r="AD825" s="12" t="s">
        <v>124</v>
      </c>
      <c r="AE825" s="42"/>
      <c r="AF825" s="42"/>
    </row>
    <row r="826" spans="1:32" ht="23.85" customHeight="1" x14ac:dyDescent="0.25">
      <c r="A826" s="44">
        <v>273</v>
      </c>
      <c r="B826" s="42" t="s">
        <v>1660</v>
      </c>
      <c r="C826" s="42" t="s">
        <v>1944</v>
      </c>
      <c r="D826" s="42">
        <v>104302</v>
      </c>
      <c r="E826" s="42" t="s">
        <v>1819</v>
      </c>
      <c r="F826" s="42" t="s">
        <v>31</v>
      </c>
      <c r="G826" s="42" t="s">
        <v>32</v>
      </c>
      <c r="H826" s="42" t="s">
        <v>1663</v>
      </c>
      <c r="I826" s="48" t="s">
        <v>1973</v>
      </c>
      <c r="J826" s="42" t="s">
        <v>71</v>
      </c>
      <c r="K826" s="42"/>
      <c r="L826" s="42" t="s">
        <v>1665</v>
      </c>
      <c r="M826" s="52">
        <v>48796</v>
      </c>
      <c r="N826" s="53" t="s">
        <v>1974</v>
      </c>
      <c r="O826" s="11" t="s">
        <v>1791</v>
      </c>
      <c r="P826" s="11" t="s">
        <v>93</v>
      </c>
      <c r="Q826" s="20" t="s">
        <v>1975</v>
      </c>
      <c r="R826" s="11">
        <v>0.5</v>
      </c>
      <c r="S826" s="11"/>
      <c r="T826" s="12" t="s">
        <v>1948</v>
      </c>
      <c r="U826" s="12">
        <v>46335</v>
      </c>
      <c r="V826" s="13" t="s">
        <v>1976</v>
      </c>
      <c r="W826" s="11" t="s">
        <v>1668</v>
      </c>
      <c r="X826" s="11" t="s">
        <v>42</v>
      </c>
      <c r="Y826" s="11" t="s">
        <v>1950</v>
      </c>
      <c r="Z826" s="11">
        <v>0.5</v>
      </c>
      <c r="AA826" s="11"/>
      <c r="AB826" s="12" t="s">
        <v>1951</v>
      </c>
      <c r="AC826" s="12">
        <v>46228</v>
      </c>
      <c r="AD826" s="12" t="s">
        <v>124</v>
      </c>
      <c r="AE826" s="42"/>
      <c r="AF826" s="43" t="s">
        <v>45</v>
      </c>
    </row>
    <row r="827" spans="1:32" x14ac:dyDescent="0.25">
      <c r="A827" s="44"/>
      <c r="B827" s="42"/>
      <c r="C827" s="42"/>
      <c r="D827" s="42"/>
      <c r="E827" s="42"/>
      <c r="F827" s="42"/>
      <c r="G827" s="42"/>
      <c r="H827" s="42"/>
      <c r="I827" s="48"/>
      <c r="J827" s="42"/>
      <c r="K827" s="42"/>
      <c r="L827" s="42"/>
      <c r="M827" s="42"/>
      <c r="N827" s="53"/>
      <c r="O827" s="11" t="s">
        <v>77</v>
      </c>
      <c r="P827" s="11" t="s">
        <v>77</v>
      </c>
      <c r="Q827" s="11" t="s">
        <v>77</v>
      </c>
      <c r="R827" s="11" t="s">
        <v>77</v>
      </c>
      <c r="S827" s="11"/>
      <c r="T827" s="12" t="s">
        <v>77</v>
      </c>
      <c r="U827" s="12" t="s">
        <v>77</v>
      </c>
      <c r="V827" s="4"/>
      <c r="W827" s="11" t="s">
        <v>1668</v>
      </c>
      <c r="X827" s="11" t="s">
        <v>42</v>
      </c>
      <c r="Y827" s="11" t="s">
        <v>1950</v>
      </c>
      <c r="Z827" s="11">
        <v>0.5</v>
      </c>
      <c r="AA827" s="11"/>
      <c r="AB827" s="12" t="s">
        <v>1951</v>
      </c>
      <c r="AC827" s="12">
        <v>46228</v>
      </c>
      <c r="AD827" s="12" t="s">
        <v>124</v>
      </c>
      <c r="AE827" s="42"/>
      <c r="AF827" s="42"/>
    </row>
    <row r="828" spans="1:32" ht="45" x14ac:dyDescent="0.25">
      <c r="A828" s="44"/>
      <c r="B828" s="42"/>
      <c r="C828" s="42"/>
      <c r="D828" s="42"/>
      <c r="E828" s="42"/>
      <c r="F828" s="42"/>
      <c r="G828" s="42"/>
      <c r="H828" s="42"/>
      <c r="I828" s="48"/>
      <c r="J828" s="42"/>
      <c r="K828" s="42"/>
      <c r="L828" s="42"/>
      <c r="M828" s="42"/>
      <c r="N828" s="53"/>
      <c r="O828" s="11" t="s">
        <v>1796</v>
      </c>
      <c r="P828" s="11" t="s">
        <v>93</v>
      </c>
      <c r="Q828" s="20" t="s">
        <v>1977</v>
      </c>
      <c r="R828" s="11">
        <v>0.5</v>
      </c>
      <c r="S828" s="11"/>
      <c r="T828" s="12" t="s">
        <v>1948</v>
      </c>
      <c r="U828" s="12">
        <v>46335</v>
      </c>
      <c r="V828" s="13" t="s">
        <v>1978</v>
      </c>
      <c r="W828" s="11" t="s">
        <v>1668</v>
      </c>
      <c r="X828" s="11" t="s">
        <v>42</v>
      </c>
      <c r="Y828" s="11" t="s">
        <v>1950</v>
      </c>
      <c r="Z828" s="11">
        <v>0.5</v>
      </c>
      <c r="AA828" s="11"/>
      <c r="AB828" s="12" t="s">
        <v>1951</v>
      </c>
      <c r="AC828" s="12">
        <v>46228</v>
      </c>
      <c r="AD828" s="12" t="s">
        <v>124</v>
      </c>
      <c r="AE828" s="42"/>
      <c r="AF828" s="42"/>
    </row>
    <row r="829" spans="1:32" ht="23.85" customHeight="1" x14ac:dyDescent="0.25">
      <c r="A829" s="44">
        <v>274</v>
      </c>
      <c r="B829" s="42" t="s">
        <v>1660</v>
      </c>
      <c r="C829" s="42" t="s">
        <v>1944</v>
      </c>
      <c r="D829" s="42">
        <v>104302</v>
      </c>
      <c r="E829" s="42" t="s">
        <v>1826</v>
      </c>
      <c r="F829" s="42" t="s">
        <v>31</v>
      </c>
      <c r="G829" s="42" t="s">
        <v>68</v>
      </c>
      <c r="H829" s="42" t="s">
        <v>1663</v>
      </c>
      <c r="I829" s="48" t="s">
        <v>1979</v>
      </c>
      <c r="J829" s="42" t="s">
        <v>71</v>
      </c>
      <c r="K829" s="42"/>
      <c r="L829" s="42" t="s">
        <v>1701</v>
      </c>
      <c r="M829" s="52">
        <v>48797</v>
      </c>
      <c r="N829" s="53" t="s">
        <v>1980</v>
      </c>
      <c r="O829" s="11" t="s">
        <v>1791</v>
      </c>
      <c r="P829" s="11" t="s">
        <v>433</v>
      </c>
      <c r="Q829" s="20" t="s">
        <v>1981</v>
      </c>
      <c r="R829" s="11">
        <v>0.5</v>
      </c>
      <c r="S829" s="11"/>
      <c r="T829" s="12" t="s">
        <v>1982</v>
      </c>
      <c r="U829" s="12">
        <v>46333</v>
      </c>
      <c r="V829" s="13" t="s">
        <v>1983</v>
      </c>
      <c r="W829" s="11" t="s">
        <v>1668</v>
      </c>
      <c r="X829" s="11" t="s">
        <v>42</v>
      </c>
      <c r="Y829" s="11" t="s">
        <v>1984</v>
      </c>
      <c r="Z829" s="11">
        <v>0.5</v>
      </c>
      <c r="AA829" s="11"/>
      <c r="AB829" s="12" t="s">
        <v>1750</v>
      </c>
      <c r="AC829" s="12">
        <v>46176</v>
      </c>
      <c r="AD829" s="12" t="s">
        <v>124</v>
      </c>
      <c r="AE829" s="42"/>
      <c r="AF829" s="43" t="s">
        <v>45</v>
      </c>
    </row>
    <row r="830" spans="1:32" x14ac:dyDescent="0.25">
      <c r="A830" s="44"/>
      <c r="B830" s="42"/>
      <c r="C830" s="42"/>
      <c r="D830" s="42"/>
      <c r="E830" s="42"/>
      <c r="F830" s="42"/>
      <c r="G830" s="42"/>
      <c r="H830" s="42"/>
      <c r="I830" s="48"/>
      <c r="J830" s="42"/>
      <c r="K830" s="42"/>
      <c r="L830" s="42"/>
      <c r="M830" s="42"/>
      <c r="N830" s="53"/>
      <c r="O830" s="11" t="s">
        <v>77</v>
      </c>
      <c r="P830" s="11" t="s">
        <v>77</v>
      </c>
      <c r="Q830" s="11" t="s">
        <v>77</v>
      </c>
      <c r="R830" s="11" t="s">
        <v>77</v>
      </c>
      <c r="S830" s="11"/>
      <c r="T830" s="12" t="s">
        <v>77</v>
      </c>
      <c r="U830" s="12" t="s">
        <v>77</v>
      </c>
      <c r="V830" s="4"/>
      <c r="W830" s="11" t="s">
        <v>1668</v>
      </c>
      <c r="X830" s="11" t="s">
        <v>42</v>
      </c>
      <c r="Y830" s="11" t="s">
        <v>1984</v>
      </c>
      <c r="Z830" s="11">
        <v>0.5</v>
      </c>
      <c r="AA830" s="11"/>
      <c r="AB830" s="12" t="s">
        <v>1750</v>
      </c>
      <c r="AC830" s="12">
        <v>46176</v>
      </c>
      <c r="AD830" s="12" t="s">
        <v>124</v>
      </c>
      <c r="AE830" s="42"/>
      <c r="AF830" s="42"/>
    </row>
    <row r="831" spans="1:32" ht="45" x14ac:dyDescent="0.25">
      <c r="A831" s="44"/>
      <c r="B831" s="42"/>
      <c r="C831" s="42"/>
      <c r="D831" s="42"/>
      <c r="E831" s="42"/>
      <c r="F831" s="42"/>
      <c r="G831" s="42"/>
      <c r="H831" s="42"/>
      <c r="I831" s="48"/>
      <c r="J831" s="42"/>
      <c r="K831" s="42"/>
      <c r="L831" s="42"/>
      <c r="M831" s="42"/>
      <c r="N831" s="53"/>
      <c r="O831" s="11" t="s">
        <v>1796</v>
      </c>
      <c r="P831" s="11" t="s">
        <v>433</v>
      </c>
      <c r="Q831" s="20" t="s">
        <v>1985</v>
      </c>
      <c r="R831" s="11">
        <v>0.5</v>
      </c>
      <c r="S831" s="11"/>
      <c r="T831" s="12" t="s">
        <v>1982</v>
      </c>
      <c r="U831" s="12">
        <v>46333</v>
      </c>
      <c r="V831" s="13" t="s">
        <v>1986</v>
      </c>
      <c r="W831" s="11" t="s">
        <v>1668</v>
      </c>
      <c r="X831" s="11" t="s">
        <v>42</v>
      </c>
      <c r="Y831" s="11" t="s">
        <v>1984</v>
      </c>
      <c r="Z831" s="11">
        <v>0.5</v>
      </c>
      <c r="AA831" s="11"/>
      <c r="AB831" s="12" t="s">
        <v>1750</v>
      </c>
      <c r="AC831" s="12">
        <v>46176</v>
      </c>
      <c r="AD831" s="12" t="s">
        <v>124</v>
      </c>
      <c r="AE831" s="42"/>
      <c r="AF831" s="42"/>
    </row>
    <row r="832" spans="1:32" ht="23.85" customHeight="1" x14ac:dyDescent="0.25">
      <c r="A832" s="44">
        <v>275</v>
      </c>
      <c r="B832" s="42" t="s">
        <v>1660</v>
      </c>
      <c r="C832" s="42" t="s">
        <v>1944</v>
      </c>
      <c r="D832" s="42">
        <v>104302</v>
      </c>
      <c r="E832" s="42" t="s">
        <v>1834</v>
      </c>
      <c r="F832" s="42" t="s">
        <v>31</v>
      </c>
      <c r="G832" s="42" t="s">
        <v>68</v>
      </c>
      <c r="H832" s="42" t="s">
        <v>1663</v>
      </c>
      <c r="I832" s="48" t="s">
        <v>1987</v>
      </c>
      <c r="J832" s="42" t="s">
        <v>71</v>
      </c>
      <c r="K832" s="42"/>
      <c r="L832" s="42" t="s">
        <v>1665</v>
      </c>
      <c r="M832" s="52">
        <v>48796</v>
      </c>
      <c r="N832" s="53" t="s">
        <v>1988</v>
      </c>
      <c r="O832" s="11" t="s">
        <v>1791</v>
      </c>
      <c r="P832" s="11" t="s">
        <v>433</v>
      </c>
      <c r="Q832" s="20" t="s">
        <v>1989</v>
      </c>
      <c r="R832" s="11">
        <v>0.5</v>
      </c>
      <c r="S832" s="11"/>
      <c r="T832" s="12" t="s">
        <v>1802</v>
      </c>
      <c r="U832" s="12">
        <v>46338</v>
      </c>
      <c r="V832" s="13" t="s">
        <v>1990</v>
      </c>
      <c r="W832" s="11" t="s">
        <v>1668</v>
      </c>
      <c r="X832" s="11" t="s">
        <v>42</v>
      </c>
      <c r="Y832" s="11" t="s">
        <v>1984</v>
      </c>
      <c r="Z832" s="11">
        <v>0.5</v>
      </c>
      <c r="AA832" s="11"/>
      <c r="AB832" s="12" t="s">
        <v>1750</v>
      </c>
      <c r="AC832" s="12">
        <v>46176</v>
      </c>
      <c r="AD832" s="12" t="s">
        <v>124</v>
      </c>
      <c r="AE832" s="42"/>
      <c r="AF832" s="43" t="s">
        <v>45</v>
      </c>
    </row>
    <row r="833" spans="1:32" x14ac:dyDescent="0.25">
      <c r="A833" s="44"/>
      <c r="B833" s="42"/>
      <c r="C833" s="42"/>
      <c r="D833" s="42"/>
      <c r="E833" s="42"/>
      <c r="F833" s="42"/>
      <c r="G833" s="42"/>
      <c r="H833" s="42"/>
      <c r="I833" s="48"/>
      <c r="J833" s="42"/>
      <c r="K833" s="42"/>
      <c r="L833" s="42"/>
      <c r="M833" s="42"/>
      <c r="N833" s="53"/>
      <c r="O833" s="11" t="s">
        <v>77</v>
      </c>
      <c r="P833" s="11" t="s">
        <v>77</v>
      </c>
      <c r="Q833" s="11" t="s">
        <v>77</v>
      </c>
      <c r="R833" s="11" t="s">
        <v>77</v>
      </c>
      <c r="S833" s="11"/>
      <c r="T833" s="12" t="s">
        <v>77</v>
      </c>
      <c r="U833" s="12" t="s">
        <v>77</v>
      </c>
      <c r="V833" s="4"/>
      <c r="W833" s="11" t="s">
        <v>1668</v>
      </c>
      <c r="X833" s="11" t="s">
        <v>42</v>
      </c>
      <c r="Y833" s="11" t="s">
        <v>1984</v>
      </c>
      <c r="Z833" s="11">
        <v>0.5</v>
      </c>
      <c r="AA833" s="11"/>
      <c r="AB833" s="12" t="s">
        <v>1750</v>
      </c>
      <c r="AC833" s="12">
        <v>46176</v>
      </c>
      <c r="AD833" s="12" t="s">
        <v>124</v>
      </c>
      <c r="AE833" s="42"/>
      <c r="AF833" s="42"/>
    </row>
    <row r="834" spans="1:32" ht="45" x14ac:dyDescent="0.25">
      <c r="A834" s="44"/>
      <c r="B834" s="42"/>
      <c r="C834" s="42"/>
      <c r="D834" s="42"/>
      <c r="E834" s="42"/>
      <c r="F834" s="42"/>
      <c r="G834" s="42"/>
      <c r="H834" s="42"/>
      <c r="I834" s="48"/>
      <c r="J834" s="42"/>
      <c r="K834" s="42"/>
      <c r="L834" s="42"/>
      <c r="M834" s="42"/>
      <c r="N834" s="53"/>
      <c r="O834" s="11" t="s">
        <v>1796</v>
      </c>
      <c r="P834" s="11" t="s">
        <v>433</v>
      </c>
      <c r="Q834" s="20" t="s">
        <v>1991</v>
      </c>
      <c r="R834" s="11">
        <v>0.5</v>
      </c>
      <c r="S834" s="11"/>
      <c r="T834" s="12" t="s">
        <v>1802</v>
      </c>
      <c r="U834" s="12">
        <v>46338</v>
      </c>
      <c r="V834" s="13" t="s">
        <v>1992</v>
      </c>
      <c r="W834" s="11" t="s">
        <v>1668</v>
      </c>
      <c r="X834" s="11" t="s">
        <v>42</v>
      </c>
      <c r="Y834" s="11" t="s">
        <v>1984</v>
      </c>
      <c r="Z834" s="11">
        <v>0.5</v>
      </c>
      <c r="AA834" s="11"/>
      <c r="AB834" s="12" t="s">
        <v>1750</v>
      </c>
      <c r="AC834" s="12">
        <v>46176</v>
      </c>
      <c r="AD834" s="12" t="s">
        <v>124</v>
      </c>
      <c r="AE834" s="42"/>
      <c r="AF834" s="42"/>
    </row>
    <row r="835" spans="1:32" ht="23.85" customHeight="1" x14ac:dyDescent="0.25">
      <c r="A835" s="44">
        <v>276</v>
      </c>
      <c r="B835" s="42" t="s">
        <v>1660</v>
      </c>
      <c r="C835" s="42" t="s">
        <v>1944</v>
      </c>
      <c r="D835" s="42">
        <v>104302</v>
      </c>
      <c r="E835" s="42" t="s">
        <v>1840</v>
      </c>
      <c r="F835" s="42" t="s">
        <v>31</v>
      </c>
      <c r="G835" s="42" t="s">
        <v>68</v>
      </c>
      <c r="H835" s="42" t="s">
        <v>1663</v>
      </c>
      <c r="I835" s="48" t="s">
        <v>1993</v>
      </c>
      <c r="J835" s="42" t="s">
        <v>71</v>
      </c>
      <c r="K835" s="42"/>
      <c r="L835" s="42" t="s">
        <v>1665</v>
      </c>
      <c r="M835" s="52">
        <v>48796</v>
      </c>
      <c r="N835" s="53" t="s">
        <v>1994</v>
      </c>
      <c r="O835" s="11" t="s">
        <v>1791</v>
      </c>
      <c r="P835" s="11" t="s">
        <v>84</v>
      </c>
      <c r="Q835" s="20" t="s">
        <v>1995</v>
      </c>
      <c r="R835" s="11">
        <v>0.5</v>
      </c>
      <c r="S835" s="11"/>
      <c r="T835" s="12" t="s">
        <v>1802</v>
      </c>
      <c r="U835" s="12">
        <v>46338</v>
      </c>
      <c r="V835" s="13" t="s">
        <v>1996</v>
      </c>
      <c r="W835" s="11" t="s">
        <v>1668</v>
      </c>
      <c r="X835" s="11" t="s">
        <v>42</v>
      </c>
      <c r="Y835" s="11" t="s">
        <v>1984</v>
      </c>
      <c r="Z835" s="11">
        <v>0.5</v>
      </c>
      <c r="AA835" s="11"/>
      <c r="AB835" s="12" t="s">
        <v>1750</v>
      </c>
      <c r="AC835" s="12">
        <v>46176</v>
      </c>
      <c r="AD835" s="12" t="s">
        <v>124</v>
      </c>
      <c r="AE835" s="42"/>
      <c r="AF835" s="43" t="s">
        <v>45</v>
      </c>
    </row>
    <row r="836" spans="1:32" x14ac:dyDescent="0.25">
      <c r="A836" s="44"/>
      <c r="B836" s="42"/>
      <c r="C836" s="42"/>
      <c r="D836" s="42"/>
      <c r="E836" s="42"/>
      <c r="F836" s="42"/>
      <c r="G836" s="42"/>
      <c r="H836" s="42"/>
      <c r="I836" s="48"/>
      <c r="J836" s="42"/>
      <c r="K836" s="42"/>
      <c r="L836" s="42"/>
      <c r="M836" s="42"/>
      <c r="N836" s="53"/>
      <c r="O836" s="11" t="s">
        <v>77</v>
      </c>
      <c r="P836" s="11" t="s">
        <v>77</v>
      </c>
      <c r="Q836" s="11" t="s">
        <v>77</v>
      </c>
      <c r="R836" s="11" t="s">
        <v>77</v>
      </c>
      <c r="S836" s="11"/>
      <c r="T836" s="12" t="s">
        <v>77</v>
      </c>
      <c r="U836" s="12" t="s">
        <v>77</v>
      </c>
      <c r="V836" s="4"/>
      <c r="W836" s="11" t="s">
        <v>1668</v>
      </c>
      <c r="X836" s="11" t="s">
        <v>42</v>
      </c>
      <c r="Y836" s="11" t="s">
        <v>1984</v>
      </c>
      <c r="Z836" s="11">
        <v>0.5</v>
      </c>
      <c r="AA836" s="11"/>
      <c r="AB836" s="12" t="s">
        <v>1750</v>
      </c>
      <c r="AC836" s="12">
        <v>46176</v>
      </c>
      <c r="AD836" s="12" t="s">
        <v>124</v>
      </c>
      <c r="AE836" s="42"/>
      <c r="AF836" s="42"/>
    </row>
    <row r="837" spans="1:32" ht="45" x14ac:dyDescent="0.25">
      <c r="A837" s="44"/>
      <c r="B837" s="42"/>
      <c r="C837" s="42"/>
      <c r="D837" s="42"/>
      <c r="E837" s="42"/>
      <c r="F837" s="42"/>
      <c r="G837" s="42"/>
      <c r="H837" s="42"/>
      <c r="I837" s="48"/>
      <c r="J837" s="42"/>
      <c r="K837" s="42"/>
      <c r="L837" s="42"/>
      <c r="M837" s="42"/>
      <c r="N837" s="53"/>
      <c r="O837" s="11" t="s">
        <v>1796</v>
      </c>
      <c r="P837" s="11" t="s">
        <v>84</v>
      </c>
      <c r="Q837" s="20" t="s">
        <v>1997</v>
      </c>
      <c r="R837" s="11">
        <v>0.5</v>
      </c>
      <c r="S837" s="11"/>
      <c r="T837" s="12" t="s">
        <v>1802</v>
      </c>
      <c r="U837" s="12">
        <v>46338</v>
      </c>
      <c r="V837" s="13" t="s">
        <v>1998</v>
      </c>
      <c r="W837" s="11" t="s">
        <v>1668</v>
      </c>
      <c r="X837" s="11" t="s">
        <v>42</v>
      </c>
      <c r="Y837" s="11" t="s">
        <v>1984</v>
      </c>
      <c r="Z837" s="11">
        <v>0.5</v>
      </c>
      <c r="AA837" s="11"/>
      <c r="AB837" s="12" t="s">
        <v>1750</v>
      </c>
      <c r="AC837" s="12">
        <v>46176</v>
      </c>
      <c r="AD837" s="12" t="s">
        <v>124</v>
      </c>
      <c r="AE837" s="42"/>
      <c r="AF837" s="42"/>
    </row>
    <row r="838" spans="1:32" ht="23.85" customHeight="1" x14ac:dyDescent="0.25">
      <c r="A838" s="44">
        <v>277</v>
      </c>
      <c r="B838" s="42" t="s">
        <v>1660</v>
      </c>
      <c r="C838" s="42" t="s">
        <v>1944</v>
      </c>
      <c r="D838" s="42">
        <v>104302</v>
      </c>
      <c r="E838" s="42" t="s">
        <v>1847</v>
      </c>
      <c r="F838" s="42" t="s">
        <v>31</v>
      </c>
      <c r="G838" s="42" t="s">
        <v>68</v>
      </c>
      <c r="H838" s="42" t="s">
        <v>1663</v>
      </c>
      <c r="I838" s="48" t="s">
        <v>1999</v>
      </c>
      <c r="J838" s="42" t="s">
        <v>71</v>
      </c>
      <c r="K838" s="42"/>
      <c r="L838" s="42" t="s">
        <v>1689</v>
      </c>
      <c r="M838" s="52">
        <v>48795</v>
      </c>
      <c r="N838" s="53" t="s">
        <v>2000</v>
      </c>
      <c r="O838" s="11" t="s">
        <v>1791</v>
      </c>
      <c r="P838" s="11" t="s">
        <v>433</v>
      </c>
      <c r="Q838" s="20" t="s">
        <v>2001</v>
      </c>
      <c r="R838" s="11">
        <v>0.5</v>
      </c>
      <c r="S838" s="11"/>
      <c r="T838" s="12" t="s">
        <v>1802</v>
      </c>
      <c r="U838" s="12">
        <v>46338</v>
      </c>
      <c r="V838" s="13" t="s">
        <v>2002</v>
      </c>
      <c r="W838" s="11" t="s">
        <v>1668</v>
      </c>
      <c r="X838" s="11" t="s">
        <v>42</v>
      </c>
      <c r="Y838" s="11" t="s">
        <v>1984</v>
      </c>
      <c r="Z838" s="11">
        <v>0.5</v>
      </c>
      <c r="AA838" s="11"/>
      <c r="AB838" s="12" t="s">
        <v>1750</v>
      </c>
      <c r="AC838" s="12">
        <v>46176</v>
      </c>
      <c r="AD838" s="12" t="s">
        <v>124</v>
      </c>
      <c r="AE838" s="42"/>
      <c r="AF838" s="43" t="s">
        <v>45</v>
      </c>
    </row>
    <row r="839" spans="1:32" x14ac:dyDescent="0.25">
      <c r="A839" s="44"/>
      <c r="B839" s="42"/>
      <c r="C839" s="42"/>
      <c r="D839" s="42"/>
      <c r="E839" s="42"/>
      <c r="F839" s="42"/>
      <c r="G839" s="42"/>
      <c r="H839" s="42"/>
      <c r="I839" s="48"/>
      <c r="J839" s="42"/>
      <c r="K839" s="42"/>
      <c r="L839" s="42"/>
      <c r="M839" s="42"/>
      <c r="N839" s="53"/>
      <c r="O839" s="11" t="s">
        <v>77</v>
      </c>
      <c r="P839" s="11" t="s">
        <v>77</v>
      </c>
      <c r="Q839" s="11" t="s">
        <v>77</v>
      </c>
      <c r="R839" s="11" t="s">
        <v>77</v>
      </c>
      <c r="S839" s="11"/>
      <c r="T839" s="12" t="s">
        <v>77</v>
      </c>
      <c r="U839" s="12" t="s">
        <v>77</v>
      </c>
      <c r="V839" s="4"/>
      <c r="W839" s="11" t="s">
        <v>1668</v>
      </c>
      <c r="X839" s="11" t="s">
        <v>42</v>
      </c>
      <c r="Y839" s="11" t="s">
        <v>1984</v>
      </c>
      <c r="Z839" s="11">
        <v>0.5</v>
      </c>
      <c r="AA839" s="11"/>
      <c r="AB839" s="12" t="s">
        <v>1750</v>
      </c>
      <c r="AC839" s="12">
        <v>46176</v>
      </c>
      <c r="AD839" s="12" t="s">
        <v>124</v>
      </c>
      <c r="AE839" s="42"/>
      <c r="AF839" s="42"/>
    </row>
    <row r="840" spans="1:32" ht="45" x14ac:dyDescent="0.25">
      <c r="A840" s="44"/>
      <c r="B840" s="42"/>
      <c r="C840" s="42"/>
      <c r="D840" s="42"/>
      <c r="E840" s="42"/>
      <c r="F840" s="42"/>
      <c r="G840" s="42"/>
      <c r="H840" s="42"/>
      <c r="I840" s="48"/>
      <c r="J840" s="42"/>
      <c r="K840" s="42"/>
      <c r="L840" s="42"/>
      <c r="M840" s="42"/>
      <c r="N840" s="53"/>
      <c r="O840" s="11" t="s">
        <v>1796</v>
      </c>
      <c r="P840" s="11" t="s">
        <v>433</v>
      </c>
      <c r="Q840" s="20" t="s">
        <v>2003</v>
      </c>
      <c r="R840" s="11">
        <v>0.5</v>
      </c>
      <c r="S840" s="11"/>
      <c r="T840" s="12" t="s">
        <v>1802</v>
      </c>
      <c r="U840" s="12">
        <v>46338</v>
      </c>
      <c r="V840" s="13" t="s">
        <v>2004</v>
      </c>
      <c r="W840" s="11" t="s">
        <v>1668</v>
      </c>
      <c r="X840" s="11" t="s">
        <v>42</v>
      </c>
      <c r="Y840" s="11" t="s">
        <v>1984</v>
      </c>
      <c r="Z840" s="11">
        <v>0.5</v>
      </c>
      <c r="AA840" s="11"/>
      <c r="AB840" s="12" t="s">
        <v>1750</v>
      </c>
      <c r="AC840" s="12">
        <v>46176</v>
      </c>
      <c r="AD840" s="12" t="s">
        <v>124</v>
      </c>
      <c r="AE840" s="42"/>
      <c r="AF840" s="42"/>
    </row>
    <row r="841" spans="1:32" ht="23.85" customHeight="1" x14ac:dyDescent="0.25">
      <c r="A841" s="44">
        <v>278</v>
      </c>
      <c r="B841" s="42" t="s">
        <v>1660</v>
      </c>
      <c r="C841" s="42" t="s">
        <v>1944</v>
      </c>
      <c r="D841" s="42">
        <v>104302</v>
      </c>
      <c r="E841" s="42" t="s">
        <v>1854</v>
      </c>
      <c r="F841" s="42" t="s">
        <v>31</v>
      </c>
      <c r="G841" s="42" t="s">
        <v>32</v>
      </c>
      <c r="H841" s="42" t="s">
        <v>1663</v>
      </c>
      <c r="I841" s="48" t="s">
        <v>2005</v>
      </c>
      <c r="J841" s="42" t="s">
        <v>71</v>
      </c>
      <c r="K841" s="42"/>
      <c r="L841" s="42" t="s">
        <v>1689</v>
      </c>
      <c r="M841" s="52">
        <v>48795</v>
      </c>
      <c r="N841" s="53" t="s">
        <v>2006</v>
      </c>
      <c r="O841" s="11" t="s">
        <v>1791</v>
      </c>
      <c r="P841" s="11" t="s">
        <v>93</v>
      </c>
      <c r="Q841" s="20" t="s">
        <v>2007</v>
      </c>
      <c r="R841" s="11">
        <v>0.5</v>
      </c>
      <c r="S841" s="11"/>
      <c r="T841" s="12" t="s">
        <v>1802</v>
      </c>
      <c r="U841" s="12">
        <v>46338</v>
      </c>
      <c r="V841" s="13" t="s">
        <v>2008</v>
      </c>
      <c r="W841" s="11" t="s">
        <v>1668</v>
      </c>
      <c r="X841" s="11" t="s">
        <v>42</v>
      </c>
      <c r="Y841" s="11" t="s">
        <v>1984</v>
      </c>
      <c r="Z841" s="11">
        <v>0.5</v>
      </c>
      <c r="AA841" s="11"/>
      <c r="AB841" s="12" t="s">
        <v>1750</v>
      </c>
      <c r="AC841" s="12">
        <v>46176</v>
      </c>
      <c r="AD841" s="12" t="s">
        <v>124</v>
      </c>
      <c r="AE841" s="42"/>
      <c r="AF841" s="43" t="s">
        <v>45</v>
      </c>
    </row>
    <row r="842" spans="1:32" x14ac:dyDescent="0.25">
      <c r="A842" s="44"/>
      <c r="B842" s="42"/>
      <c r="C842" s="42"/>
      <c r="D842" s="42"/>
      <c r="E842" s="42"/>
      <c r="F842" s="42"/>
      <c r="G842" s="42"/>
      <c r="H842" s="42"/>
      <c r="I842" s="48"/>
      <c r="J842" s="42"/>
      <c r="K842" s="42"/>
      <c r="L842" s="42"/>
      <c r="M842" s="42"/>
      <c r="N842" s="53"/>
      <c r="O842" s="11" t="s">
        <v>77</v>
      </c>
      <c r="P842" s="11" t="s">
        <v>77</v>
      </c>
      <c r="Q842" s="11" t="s">
        <v>77</v>
      </c>
      <c r="R842" s="11" t="s">
        <v>77</v>
      </c>
      <c r="S842" s="11"/>
      <c r="T842" s="12" t="s">
        <v>77</v>
      </c>
      <c r="U842" s="12" t="s">
        <v>77</v>
      </c>
      <c r="V842" s="4"/>
      <c r="W842" s="11" t="s">
        <v>1668</v>
      </c>
      <c r="X842" s="11" t="s">
        <v>42</v>
      </c>
      <c r="Y842" s="11" t="s">
        <v>1984</v>
      </c>
      <c r="Z842" s="11">
        <v>0.5</v>
      </c>
      <c r="AA842" s="11"/>
      <c r="AB842" s="12" t="s">
        <v>1750</v>
      </c>
      <c r="AC842" s="12">
        <v>46176</v>
      </c>
      <c r="AD842" s="12" t="s">
        <v>124</v>
      </c>
      <c r="AE842" s="42"/>
      <c r="AF842" s="42"/>
    </row>
    <row r="843" spans="1:32" ht="45" x14ac:dyDescent="0.25">
      <c r="A843" s="44"/>
      <c r="B843" s="42"/>
      <c r="C843" s="42"/>
      <c r="D843" s="42"/>
      <c r="E843" s="42"/>
      <c r="F843" s="42"/>
      <c r="G843" s="42"/>
      <c r="H843" s="42"/>
      <c r="I843" s="48"/>
      <c r="J843" s="42"/>
      <c r="K843" s="42"/>
      <c r="L843" s="42"/>
      <c r="M843" s="42"/>
      <c r="N843" s="53"/>
      <c r="O843" s="11" t="s">
        <v>1796</v>
      </c>
      <c r="P843" s="11" t="s">
        <v>93</v>
      </c>
      <c r="Q843" s="20" t="s">
        <v>2009</v>
      </c>
      <c r="R843" s="11">
        <v>0.5</v>
      </c>
      <c r="S843" s="11"/>
      <c r="T843" s="12" t="s">
        <v>1802</v>
      </c>
      <c r="U843" s="12">
        <v>46338</v>
      </c>
      <c r="V843" s="13" t="s">
        <v>2010</v>
      </c>
      <c r="W843" s="11" t="s">
        <v>1668</v>
      </c>
      <c r="X843" s="11" t="s">
        <v>42</v>
      </c>
      <c r="Y843" s="11" t="s">
        <v>1984</v>
      </c>
      <c r="Z843" s="11">
        <v>0.5</v>
      </c>
      <c r="AA843" s="11"/>
      <c r="AB843" s="12" t="s">
        <v>1750</v>
      </c>
      <c r="AC843" s="12">
        <v>46176</v>
      </c>
      <c r="AD843" s="12" t="s">
        <v>124</v>
      </c>
      <c r="AE843" s="42"/>
      <c r="AF843" s="42"/>
    </row>
    <row r="844" spans="1:32" ht="23.85" customHeight="1" x14ac:dyDescent="0.25">
      <c r="A844" s="44">
        <v>279</v>
      </c>
      <c r="B844" s="42" t="s">
        <v>1660</v>
      </c>
      <c r="C844" s="42" t="s">
        <v>1944</v>
      </c>
      <c r="D844" s="42">
        <v>104302</v>
      </c>
      <c r="E844" s="42" t="s">
        <v>1775</v>
      </c>
      <c r="F844" s="42" t="s">
        <v>31</v>
      </c>
      <c r="G844" s="42" t="s">
        <v>68</v>
      </c>
      <c r="H844" s="42" t="s">
        <v>1663</v>
      </c>
      <c r="I844" s="48" t="s">
        <v>2011</v>
      </c>
      <c r="J844" s="42" t="s">
        <v>71</v>
      </c>
      <c r="K844" s="42"/>
      <c r="L844" s="42" t="s">
        <v>1695</v>
      </c>
      <c r="M844" s="52">
        <v>48759</v>
      </c>
      <c r="N844" s="53" t="s">
        <v>2012</v>
      </c>
      <c r="O844" s="11" t="s">
        <v>990</v>
      </c>
      <c r="P844" s="11" t="s">
        <v>84</v>
      </c>
      <c r="Q844" s="11" t="s">
        <v>2013</v>
      </c>
      <c r="R844" s="11">
        <v>0.5</v>
      </c>
      <c r="S844" s="11"/>
      <c r="T844" s="12" t="s">
        <v>2014</v>
      </c>
      <c r="U844" s="12">
        <v>49596</v>
      </c>
      <c r="V844" s="4" t="s">
        <v>124</v>
      </c>
      <c r="W844" s="11" t="s">
        <v>77</v>
      </c>
      <c r="X844" s="11" t="s">
        <v>77</v>
      </c>
      <c r="Y844" s="11" t="s">
        <v>77</v>
      </c>
      <c r="Z844" s="11">
        <v>0</v>
      </c>
      <c r="AA844" s="11"/>
      <c r="AB844" s="12" t="s">
        <v>77</v>
      </c>
      <c r="AC844" s="12" t="s">
        <v>77</v>
      </c>
      <c r="AD844" s="12"/>
      <c r="AE844" s="42"/>
      <c r="AF844" s="43" t="s">
        <v>995</v>
      </c>
    </row>
    <row r="845" spans="1:32" ht="25.5" x14ac:dyDescent="0.25">
      <c r="A845" s="44"/>
      <c r="B845" s="42"/>
      <c r="C845" s="42"/>
      <c r="D845" s="42"/>
      <c r="E845" s="42"/>
      <c r="F845" s="42"/>
      <c r="G845" s="42"/>
      <c r="H845" s="42"/>
      <c r="I845" s="48"/>
      <c r="J845" s="42"/>
      <c r="K845" s="42"/>
      <c r="L845" s="42"/>
      <c r="M845" s="42"/>
      <c r="N845" s="53"/>
      <c r="O845" s="11" t="s">
        <v>990</v>
      </c>
      <c r="P845" s="11" t="s">
        <v>84</v>
      </c>
      <c r="Q845" s="11" t="s">
        <v>2015</v>
      </c>
      <c r="R845" s="11">
        <v>0.5</v>
      </c>
      <c r="S845" s="11"/>
      <c r="T845" s="12" t="s">
        <v>2014</v>
      </c>
      <c r="U845" s="12">
        <v>49596</v>
      </c>
      <c r="V845" s="4" t="s">
        <v>124</v>
      </c>
      <c r="W845" s="11" t="s">
        <v>77</v>
      </c>
      <c r="X845" s="11" t="s">
        <v>77</v>
      </c>
      <c r="Y845" s="11" t="s">
        <v>77</v>
      </c>
      <c r="Z845" s="11" t="s">
        <v>77</v>
      </c>
      <c r="AA845" s="11"/>
      <c r="AB845" s="12" t="s">
        <v>77</v>
      </c>
      <c r="AC845" s="12" t="s">
        <v>77</v>
      </c>
      <c r="AD845" s="12"/>
      <c r="AE845" s="42"/>
      <c r="AF845" s="42"/>
    </row>
    <row r="846" spans="1:32" x14ac:dyDescent="0.25">
      <c r="A846" s="44"/>
      <c r="B846" s="42"/>
      <c r="C846" s="42"/>
      <c r="D846" s="42"/>
      <c r="E846" s="42"/>
      <c r="F846" s="42"/>
      <c r="G846" s="42"/>
      <c r="H846" s="42"/>
      <c r="I846" s="48"/>
      <c r="J846" s="42"/>
      <c r="K846" s="42"/>
      <c r="L846" s="42"/>
      <c r="M846" s="42"/>
      <c r="N846" s="53"/>
      <c r="O846" s="11" t="s">
        <v>997</v>
      </c>
      <c r="P846" s="11" t="s">
        <v>84</v>
      </c>
      <c r="Q846" s="11" t="s">
        <v>2016</v>
      </c>
      <c r="R846" s="11">
        <v>0.5</v>
      </c>
      <c r="S846" s="11"/>
      <c r="T846" s="12" t="s">
        <v>2014</v>
      </c>
      <c r="U846" s="12">
        <v>49596</v>
      </c>
      <c r="V846" s="4" t="s">
        <v>124</v>
      </c>
      <c r="W846" s="11" t="s">
        <v>77</v>
      </c>
      <c r="X846" s="11" t="s">
        <v>77</v>
      </c>
      <c r="Y846" s="11" t="s">
        <v>77</v>
      </c>
      <c r="Z846" s="11" t="s">
        <v>77</v>
      </c>
      <c r="AA846" s="11"/>
      <c r="AB846" s="12" t="s">
        <v>77</v>
      </c>
      <c r="AC846" s="12" t="s">
        <v>77</v>
      </c>
      <c r="AD846" s="12"/>
      <c r="AE846" s="42"/>
      <c r="AF846" s="42"/>
    </row>
    <row r="847" spans="1:32" ht="23.85" customHeight="1" x14ac:dyDescent="0.25">
      <c r="A847" s="44">
        <v>280</v>
      </c>
      <c r="B847" s="42" t="s">
        <v>1660</v>
      </c>
      <c r="C847" s="42" t="s">
        <v>1944</v>
      </c>
      <c r="D847" s="42">
        <v>104302</v>
      </c>
      <c r="E847" s="42" t="s">
        <v>1781</v>
      </c>
      <c r="F847" s="42" t="s">
        <v>31</v>
      </c>
      <c r="G847" s="42" t="s">
        <v>68</v>
      </c>
      <c r="H847" s="42" t="s">
        <v>1663</v>
      </c>
      <c r="I847" s="48" t="s">
        <v>2017</v>
      </c>
      <c r="J847" s="42" t="s">
        <v>71</v>
      </c>
      <c r="K847" s="42"/>
      <c r="L847" s="42" t="s">
        <v>1701</v>
      </c>
      <c r="M847" s="52">
        <v>48797</v>
      </c>
      <c r="N847" s="53" t="s">
        <v>2018</v>
      </c>
      <c r="O847" s="11" t="s">
        <v>990</v>
      </c>
      <c r="P847" s="11" t="s">
        <v>84</v>
      </c>
      <c r="Q847" s="11" t="s">
        <v>2019</v>
      </c>
      <c r="R847" s="11">
        <v>0.5</v>
      </c>
      <c r="S847" s="11"/>
      <c r="T847" s="12" t="s">
        <v>2014</v>
      </c>
      <c r="U847" s="12">
        <v>49596</v>
      </c>
      <c r="V847" s="4" t="s">
        <v>124</v>
      </c>
      <c r="W847" s="11" t="s">
        <v>77</v>
      </c>
      <c r="X847" s="11" t="s">
        <v>77</v>
      </c>
      <c r="Y847" s="11" t="s">
        <v>77</v>
      </c>
      <c r="Z847" s="11">
        <v>0</v>
      </c>
      <c r="AA847" s="11"/>
      <c r="AB847" s="12" t="s">
        <v>77</v>
      </c>
      <c r="AC847" s="12" t="s">
        <v>77</v>
      </c>
      <c r="AD847" s="12"/>
      <c r="AE847" s="42"/>
      <c r="AF847" s="43" t="s">
        <v>995</v>
      </c>
    </row>
    <row r="848" spans="1:32" ht="25.5" x14ac:dyDescent="0.25">
      <c r="A848" s="44"/>
      <c r="B848" s="42"/>
      <c r="C848" s="42"/>
      <c r="D848" s="42"/>
      <c r="E848" s="42"/>
      <c r="F848" s="42"/>
      <c r="G848" s="42"/>
      <c r="H848" s="42"/>
      <c r="I848" s="48"/>
      <c r="J848" s="42"/>
      <c r="K848" s="42"/>
      <c r="L848" s="42"/>
      <c r="M848" s="42"/>
      <c r="N848" s="53"/>
      <c r="O848" s="11" t="s">
        <v>990</v>
      </c>
      <c r="P848" s="11" t="s">
        <v>84</v>
      </c>
      <c r="Q848" s="11" t="s">
        <v>2020</v>
      </c>
      <c r="R848" s="11">
        <v>0.5</v>
      </c>
      <c r="S848" s="11"/>
      <c r="T848" s="12" t="s">
        <v>1195</v>
      </c>
      <c r="U848" s="12">
        <v>49597</v>
      </c>
      <c r="V848" s="4" t="s">
        <v>124</v>
      </c>
      <c r="W848" s="11" t="s">
        <v>77</v>
      </c>
      <c r="X848" s="11" t="s">
        <v>77</v>
      </c>
      <c r="Y848" s="11" t="s">
        <v>77</v>
      </c>
      <c r="Z848" s="11" t="s">
        <v>77</v>
      </c>
      <c r="AA848" s="11"/>
      <c r="AB848" s="12" t="s">
        <v>77</v>
      </c>
      <c r="AC848" s="12" t="s">
        <v>77</v>
      </c>
      <c r="AD848" s="12"/>
      <c r="AE848" s="42"/>
      <c r="AF848" s="42"/>
    </row>
    <row r="849" spans="1:32" x14ac:dyDescent="0.25">
      <c r="A849" s="44"/>
      <c r="B849" s="42"/>
      <c r="C849" s="42"/>
      <c r="D849" s="42"/>
      <c r="E849" s="42"/>
      <c r="F849" s="42"/>
      <c r="G849" s="42"/>
      <c r="H849" s="42"/>
      <c r="I849" s="48"/>
      <c r="J849" s="42"/>
      <c r="K849" s="42"/>
      <c r="L849" s="42"/>
      <c r="M849" s="42"/>
      <c r="N849" s="53"/>
      <c r="O849" s="11" t="s">
        <v>997</v>
      </c>
      <c r="P849" s="11" t="s">
        <v>84</v>
      </c>
      <c r="Q849" s="11" t="s">
        <v>2021</v>
      </c>
      <c r="R849" s="11">
        <v>0.5</v>
      </c>
      <c r="S849" s="11"/>
      <c r="T849" s="12" t="s">
        <v>1195</v>
      </c>
      <c r="U849" s="12">
        <v>49597</v>
      </c>
      <c r="V849" s="4" t="s">
        <v>124</v>
      </c>
      <c r="W849" s="11" t="s">
        <v>77</v>
      </c>
      <c r="X849" s="11" t="s">
        <v>77</v>
      </c>
      <c r="Y849" s="11" t="s">
        <v>77</v>
      </c>
      <c r="Z849" s="11" t="s">
        <v>77</v>
      </c>
      <c r="AA849" s="11"/>
      <c r="AB849" s="12" t="s">
        <v>77</v>
      </c>
      <c r="AC849" s="12" t="s">
        <v>77</v>
      </c>
      <c r="AD849" s="12"/>
      <c r="AE849" s="42"/>
      <c r="AF849" s="42"/>
    </row>
    <row r="850" spans="1:32" ht="23.85" customHeight="1" x14ac:dyDescent="0.25">
      <c r="A850" s="44">
        <v>281</v>
      </c>
      <c r="B850" s="42" t="s">
        <v>1660</v>
      </c>
      <c r="C850" s="42" t="s">
        <v>1944</v>
      </c>
      <c r="D850" s="42">
        <v>104302</v>
      </c>
      <c r="E850" s="42" t="s">
        <v>2022</v>
      </c>
      <c r="F850" s="42" t="s">
        <v>31</v>
      </c>
      <c r="G850" s="42" t="s">
        <v>68</v>
      </c>
      <c r="H850" s="42" t="s">
        <v>1663</v>
      </c>
      <c r="I850" s="48" t="s">
        <v>2023</v>
      </c>
      <c r="J850" s="42" t="s">
        <v>71</v>
      </c>
      <c r="K850" s="42"/>
      <c r="L850" s="42" t="s">
        <v>1701</v>
      </c>
      <c r="M850" s="52">
        <v>48797</v>
      </c>
      <c r="N850" s="53" t="s">
        <v>2024</v>
      </c>
      <c r="O850" s="11" t="s">
        <v>1791</v>
      </c>
      <c r="P850" s="11" t="s">
        <v>84</v>
      </c>
      <c r="Q850" s="20" t="s">
        <v>2025</v>
      </c>
      <c r="R850" s="11">
        <v>0.5</v>
      </c>
      <c r="S850" s="11"/>
      <c r="T850" s="12" t="s">
        <v>1802</v>
      </c>
      <c r="U850" s="12">
        <v>46338</v>
      </c>
      <c r="V850" s="13" t="s">
        <v>2026</v>
      </c>
      <c r="W850" s="11" t="s">
        <v>2027</v>
      </c>
      <c r="X850" s="11" t="s">
        <v>409</v>
      </c>
      <c r="Y850" s="11" t="s">
        <v>2028</v>
      </c>
      <c r="Z850" s="11">
        <v>0.5</v>
      </c>
      <c r="AA850" s="11"/>
      <c r="AB850" s="12">
        <v>44757</v>
      </c>
      <c r="AC850" s="12">
        <v>46218</v>
      </c>
      <c r="AD850" s="12" t="s">
        <v>124</v>
      </c>
      <c r="AE850" s="42"/>
      <c r="AF850" s="43" t="s">
        <v>45</v>
      </c>
    </row>
    <row r="851" spans="1:32" x14ac:dyDescent="0.25">
      <c r="A851" s="44"/>
      <c r="B851" s="42"/>
      <c r="C851" s="42"/>
      <c r="D851" s="42"/>
      <c r="E851" s="42"/>
      <c r="F851" s="42"/>
      <c r="G851" s="42"/>
      <c r="H851" s="42"/>
      <c r="I851" s="48"/>
      <c r="J851" s="42"/>
      <c r="K851" s="42"/>
      <c r="L851" s="42"/>
      <c r="M851" s="42"/>
      <c r="N851" s="53"/>
      <c r="O851" s="11" t="s">
        <v>77</v>
      </c>
      <c r="P851" s="11" t="s">
        <v>77</v>
      </c>
      <c r="Q851" s="11" t="s">
        <v>77</v>
      </c>
      <c r="R851" s="11" t="s">
        <v>77</v>
      </c>
      <c r="S851" s="11"/>
      <c r="T851" s="12" t="s">
        <v>77</v>
      </c>
      <c r="U851" s="12" t="s">
        <v>77</v>
      </c>
      <c r="V851" s="4"/>
      <c r="W851" s="11" t="s">
        <v>2027</v>
      </c>
      <c r="X851" s="11" t="s">
        <v>409</v>
      </c>
      <c r="Y851" s="11" t="s">
        <v>2028</v>
      </c>
      <c r="Z851" s="11">
        <v>0.5</v>
      </c>
      <c r="AA851" s="11"/>
      <c r="AB851" s="12">
        <v>44757</v>
      </c>
      <c r="AC851" s="12">
        <v>46218</v>
      </c>
      <c r="AD851" s="12" t="s">
        <v>124</v>
      </c>
      <c r="AE851" s="42"/>
      <c r="AF851" s="42"/>
    </row>
    <row r="852" spans="1:32" ht="45" x14ac:dyDescent="0.25">
      <c r="A852" s="44"/>
      <c r="B852" s="42"/>
      <c r="C852" s="42"/>
      <c r="D852" s="42"/>
      <c r="E852" s="42"/>
      <c r="F852" s="42"/>
      <c r="G852" s="42"/>
      <c r="H852" s="42"/>
      <c r="I852" s="48"/>
      <c r="J852" s="42"/>
      <c r="K852" s="42"/>
      <c r="L852" s="42"/>
      <c r="M852" s="42"/>
      <c r="N852" s="53"/>
      <c r="O852" s="11" t="s">
        <v>1796</v>
      </c>
      <c r="P852" s="11" t="s">
        <v>84</v>
      </c>
      <c r="Q852" s="20" t="s">
        <v>2029</v>
      </c>
      <c r="R852" s="11">
        <v>0.5</v>
      </c>
      <c r="S852" s="11"/>
      <c r="T852" s="12" t="s">
        <v>1802</v>
      </c>
      <c r="U852" s="12">
        <v>46338</v>
      </c>
      <c r="V852" s="13" t="s">
        <v>2030</v>
      </c>
      <c r="W852" s="11" t="s">
        <v>2027</v>
      </c>
      <c r="X852" s="11" t="s">
        <v>409</v>
      </c>
      <c r="Y852" s="11" t="s">
        <v>2028</v>
      </c>
      <c r="Z852" s="11">
        <v>0.5</v>
      </c>
      <c r="AA852" s="11"/>
      <c r="AB852" s="12">
        <v>44757</v>
      </c>
      <c r="AC852" s="12">
        <v>46218</v>
      </c>
      <c r="AD852" s="12" t="s">
        <v>124</v>
      </c>
      <c r="AE852" s="42"/>
      <c r="AF852" s="42"/>
    </row>
    <row r="853" spans="1:32" ht="23.85" customHeight="1" x14ac:dyDescent="0.25">
      <c r="A853" s="44">
        <v>282</v>
      </c>
      <c r="B853" s="42" t="s">
        <v>1660</v>
      </c>
      <c r="C853" s="42" t="s">
        <v>2031</v>
      </c>
      <c r="D853" s="42">
        <v>104212</v>
      </c>
      <c r="E853" s="42" t="s">
        <v>1798</v>
      </c>
      <c r="F853" s="42" t="s">
        <v>31</v>
      </c>
      <c r="G853" s="42" t="s">
        <v>68</v>
      </c>
      <c r="H853" s="42" t="s">
        <v>1663</v>
      </c>
      <c r="I853" s="48" t="s">
        <v>2032</v>
      </c>
      <c r="J853" s="42" t="s">
        <v>71</v>
      </c>
      <c r="K853" s="42"/>
      <c r="L853" s="42" t="s">
        <v>1665</v>
      </c>
      <c r="M853" s="52">
        <v>48796</v>
      </c>
      <c r="N853" s="53" t="s">
        <v>2033</v>
      </c>
      <c r="O853" s="11" t="s">
        <v>1791</v>
      </c>
      <c r="P853" s="11" t="s">
        <v>84</v>
      </c>
      <c r="Q853" s="20" t="s">
        <v>2034</v>
      </c>
      <c r="R853" s="11">
        <v>0.5</v>
      </c>
      <c r="S853" s="11"/>
      <c r="T853" s="12" t="s">
        <v>1815</v>
      </c>
      <c r="U853" s="12">
        <v>46364</v>
      </c>
      <c r="V853" s="13" t="s">
        <v>2035</v>
      </c>
      <c r="W853" s="11" t="s">
        <v>1668</v>
      </c>
      <c r="X853" s="11" t="s">
        <v>42</v>
      </c>
      <c r="Y853" s="11" t="s">
        <v>2036</v>
      </c>
      <c r="Z853" s="11">
        <v>0.5</v>
      </c>
      <c r="AA853" s="11"/>
      <c r="AB853" s="12" t="s">
        <v>2037</v>
      </c>
      <c r="AC853" s="12">
        <v>47085</v>
      </c>
      <c r="AD853" s="12" t="s">
        <v>2038</v>
      </c>
      <c r="AE853" s="42"/>
      <c r="AF853" s="43" t="s">
        <v>45</v>
      </c>
    </row>
    <row r="854" spans="1:32" ht="63.75" x14ac:dyDescent="0.25">
      <c r="A854" s="44"/>
      <c r="B854" s="42"/>
      <c r="C854" s="42"/>
      <c r="D854" s="42"/>
      <c r="E854" s="42"/>
      <c r="F854" s="42"/>
      <c r="G854" s="42"/>
      <c r="H854" s="42"/>
      <c r="I854" s="48"/>
      <c r="J854" s="42"/>
      <c r="K854" s="42"/>
      <c r="L854" s="42"/>
      <c r="M854" s="42"/>
      <c r="N854" s="53"/>
      <c r="O854" s="11" t="s">
        <v>77</v>
      </c>
      <c r="P854" s="11" t="s">
        <v>77</v>
      </c>
      <c r="Q854" s="11" t="s">
        <v>77</v>
      </c>
      <c r="R854" s="11" t="s">
        <v>77</v>
      </c>
      <c r="S854" s="11"/>
      <c r="T854" s="12" t="s">
        <v>77</v>
      </c>
      <c r="U854" s="12" t="s">
        <v>77</v>
      </c>
      <c r="V854" s="4"/>
      <c r="W854" s="11" t="s">
        <v>1668</v>
      </c>
      <c r="X854" s="11" t="s">
        <v>42</v>
      </c>
      <c r="Y854" s="11" t="s">
        <v>2036</v>
      </c>
      <c r="Z854" s="11">
        <v>0.5</v>
      </c>
      <c r="AA854" s="11"/>
      <c r="AB854" s="12">
        <v>45624</v>
      </c>
      <c r="AC854" s="12">
        <v>47085</v>
      </c>
      <c r="AD854" s="12" t="s">
        <v>2038</v>
      </c>
      <c r="AE854" s="42"/>
      <c r="AF854" s="42"/>
    </row>
    <row r="855" spans="1:32" ht="63.75" x14ac:dyDescent="0.25">
      <c r="A855" s="44"/>
      <c r="B855" s="42"/>
      <c r="C855" s="42"/>
      <c r="D855" s="42"/>
      <c r="E855" s="42"/>
      <c r="F855" s="42"/>
      <c r="G855" s="42"/>
      <c r="H855" s="42"/>
      <c r="I855" s="48"/>
      <c r="J855" s="42"/>
      <c r="K855" s="42"/>
      <c r="L855" s="42"/>
      <c r="M855" s="42"/>
      <c r="N855" s="53"/>
      <c r="O855" s="11" t="s">
        <v>1796</v>
      </c>
      <c r="P855" s="11" t="s">
        <v>84</v>
      </c>
      <c r="Q855" s="20" t="s">
        <v>2039</v>
      </c>
      <c r="R855" s="11">
        <v>0.5</v>
      </c>
      <c r="S855" s="11"/>
      <c r="T855" s="12" t="s">
        <v>1815</v>
      </c>
      <c r="U855" s="12">
        <v>46364</v>
      </c>
      <c r="V855" s="13" t="s">
        <v>2040</v>
      </c>
      <c r="W855" s="11" t="s">
        <v>1668</v>
      </c>
      <c r="X855" s="11" t="s">
        <v>42</v>
      </c>
      <c r="Y855" s="11" t="s">
        <v>2036</v>
      </c>
      <c r="Z855" s="11">
        <v>0.5</v>
      </c>
      <c r="AA855" s="11"/>
      <c r="AB855" s="12">
        <v>45624</v>
      </c>
      <c r="AC855" s="12">
        <v>47085</v>
      </c>
      <c r="AD855" s="12" t="s">
        <v>2038</v>
      </c>
      <c r="AE855" s="42"/>
      <c r="AF855" s="42"/>
    </row>
    <row r="856" spans="1:32" ht="23.85" customHeight="1" x14ac:dyDescent="0.25">
      <c r="A856" s="44">
        <v>283</v>
      </c>
      <c r="B856" s="42" t="s">
        <v>1660</v>
      </c>
      <c r="C856" s="42" t="s">
        <v>2031</v>
      </c>
      <c r="D856" s="42">
        <v>104212</v>
      </c>
      <c r="E856" s="42" t="s">
        <v>1805</v>
      </c>
      <c r="F856" s="42" t="s">
        <v>31</v>
      </c>
      <c r="G856" s="42" t="s">
        <v>68</v>
      </c>
      <c r="H856" s="42" t="s">
        <v>1663</v>
      </c>
      <c r="I856" s="48" t="s">
        <v>2041</v>
      </c>
      <c r="J856" s="42" t="s">
        <v>71</v>
      </c>
      <c r="K856" s="42"/>
      <c r="L856" s="42" t="s">
        <v>1689</v>
      </c>
      <c r="M856" s="52">
        <v>48795</v>
      </c>
      <c r="N856" s="53" t="s">
        <v>2042</v>
      </c>
      <c r="O856" s="11" t="s">
        <v>1791</v>
      </c>
      <c r="P856" s="11" t="s">
        <v>433</v>
      </c>
      <c r="Q856" s="20" t="s">
        <v>2043</v>
      </c>
      <c r="R856" s="11">
        <v>0.5</v>
      </c>
      <c r="S856" s="11"/>
      <c r="T856" s="12" t="s">
        <v>1815</v>
      </c>
      <c r="U856" s="12">
        <v>46364</v>
      </c>
      <c r="V856" s="13" t="s">
        <v>2044</v>
      </c>
      <c r="W856" s="11" t="s">
        <v>1668</v>
      </c>
      <c r="X856" s="11" t="s">
        <v>42</v>
      </c>
      <c r="Y856" s="11" t="s">
        <v>2036</v>
      </c>
      <c r="Z856" s="11">
        <v>0.5</v>
      </c>
      <c r="AA856" s="11"/>
      <c r="AB856" s="12">
        <v>45624</v>
      </c>
      <c r="AC856" s="12">
        <v>47085</v>
      </c>
      <c r="AD856" s="12" t="s">
        <v>2038</v>
      </c>
      <c r="AE856" s="42"/>
      <c r="AF856" s="43" t="s">
        <v>45</v>
      </c>
    </row>
    <row r="857" spans="1:32" ht="63.75" x14ac:dyDescent="0.25">
      <c r="A857" s="44"/>
      <c r="B857" s="42"/>
      <c r="C857" s="42"/>
      <c r="D857" s="42"/>
      <c r="E857" s="42"/>
      <c r="F857" s="42"/>
      <c r="G857" s="42"/>
      <c r="H857" s="42"/>
      <c r="I857" s="48"/>
      <c r="J857" s="42"/>
      <c r="K857" s="42"/>
      <c r="L857" s="42"/>
      <c r="M857" s="42"/>
      <c r="N857" s="53"/>
      <c r="O857" s="11" t="s">
        <v>77</v>
      </c>
      <c r="P857" s="11" t="s">
        <v>77</v>
      </c>
      <c r="Q857" s="11" t="s">
        <v>77</v>
      </c>
      <c r="R857" s="11" t="s">
        <v>77</v>
      </c>
      <c r="S857" s="11"/>
      <c r="T857" s="12" t="s">
        <v>77</v>
      </c>
      <c r="U857" s="12" t="s">
        <v>77</v>
      </c>
      <c r="V857" s="4"/>
      <c r="W857" s="11" t="s">
        <v>1668</v>
      </c>
      <c r="X857" s="11" t="s">
        <v>42</v>
      </c>
      <c r="Y857" s="11" t="s">
        <v>2036</v>
      </c>
      <c r="Z857" s="11">
        <v>0.5</v>
      </c>
      <c r="AA857" s="11"/>
      <c r="AB857" s="12">
        <v>45624</v>
      </c>
      <c r="AC857" s="12">
        <v>47085</v>
      </c>
      <c r="AD857" s="12" t="s">
        <v>2038</v>
      </c>
      <c r="AE857" s="42"/>
      <c r="AF857" s="42"/>
    </row>
    <row r="858" spans="1:32" ht="63.75" x14ac:dyDescent="0.25">
      <c r="A858" s="44"/>
      <c r="B858" s="42"/>
      <c r="C858" s="42"/>
      <c r="D858" s="42"/>
      <c r="E858" s="42"/>
      <c r="F858" s="42"/>
      <c r="G858" s="42"/>
      <c r="H858" s="42"/>
      <c r="I858" s="48"/>
      <c r="J858" s="42"/>
      <c r="K858" s="42"/>
      <c r="L858" s="42"/>
      <c r="M858" s="42"/>
      <c r="N858" s="53"/>
      <c r="O858" s="11" t="s">
        <v>1796</v>
      </c>
      <c r="P858" s="11" t="s">
        <v>433</v>
      </c>
      <c r="Q858" s="20" t="s">
        <v>2045</v>
      </c>
      <c r="R858" s="11">
        <v>0.5</v>
      </c>
      <c r="S858" s="11"/>
      <c r="T858" s="12" t="s">
        <v>1815</v>
      </c>
      <c r="U858" s="12">
        <v>46364</v>
      </c>
      <c r="V858" s="13" t="s">
        <v>2046</v>
      </c>
      <c r="W858" s="11" t="s">
        <v>1668</v>
      </c>
      <c r="X858" s="11" t="s">
        <v>42</v>
      </c>
      <c r="Y858" s="11" t="s">
        <v>2036</v>
      </c>
      <c r="Z858" s="11">
        <v>0.5</v>
      </c>
      <c r="AA858" s="11"/>
      <c r="AB858" s="12">
        <v>45624</v>
      </c>
      <c r="AC858" s="12">
        <v>47085</v>
      </c>
      <c r="AD858" s="12" t="s">
        <v>2038</v>
      </c>
      <c r="AE858" s="42"/>
      <c r="AF858" s="42"/>
    </row>
    <row r="859" spans="1:32" ht="23.85" customHeight="1" x14ac:dyDescent="0.25">
      <c r="A859" s="44">
        <v>284</v>
      </c>
      <c r="B859" s="42" t="s">
        <v>1660</v>
      </c>
      <c r="C859" s="42" t="s">
        <v>2031</v>
      </c>
      <c r="D859" s="42">
        <v>104212</v>
      </c>
      <c r="E859" s="42" t="s">
        <v>1966</v>
      </c>
      <c r="F859" s="42" t="s">
        <v>31</v>
      </c>
      <c r="G859" s="42" t="s">
        <v>68</v>
      </c>
      <c r="H859" s="42" t="s">
        <v>1663</v>
      </c>
      <c r="I859" s="48" t="s">
        <v>2047</v>
      </c>
      <c r="J859" s="42" t="s">
        <v>71</v>
      </c>
      <c r="K859" s="42"/>
      <c r="L859" s="42" t="s">
        <v>1701</v>
      </c>
      <c r="M859" s="52">
        <v>48797</v>
      </c>
      <c r="N859" s="53" t="s">
        <v>2048</v>
      </c>
      <c r="O859" s="11" t="s">
        <v>1791</v>
      </c>
      <c r="P859" s="11" t="s">
        <v>433</v>
      </c>
      <c r="Q859" s="20" t="s">
        <v>2049</v>
      </c>
      <c r="R859" s="11">
        <v>0.5</v>
      </c>
      <c r="S859" s="11"/>
      <c r="T859" s="12" t="s">
        <v>1815</v>
      </c>
      <c r="U859" s="12">
        <v>46364</v>
      </c>
      <c r="V859" s="13" t="s">
        <v>1816</v>
      </c>
      <c r="W859" s="11" t="s">
        <v>1668</v>
      </c>
      <c r="X859" s="11" t="s">
        <v>42</v>
      </c>
      <c r="Y859" s="11" t="s">
        <v>2036</v>
      </c>
      <c r="Z859" s="11">
        <v>0.5</v>
      </c>
      <c r="AA859" s="11"/>
      <c r="AB859" s="12">
        <v>45624</v>
      </c>
      <c r="AC859" s="12">
        <v>47085</v>
      </c>
      <c r="AD859" s="12" t="s">
        <v>2038</v>
      </c>
      <c r="AE859" s="42"/>
      <c r="AF859" s="43" t="s">
        <v>45</v>
      </c>
    </row>
    <row r="860" spans="1:32" ht="63.75" x14ac:dyDescent="0.25">
      <c r="A860" s="44"/>
      <c r="B860" s="42"/>
      <c r="C860" s="42"/>
      <c r="D860" s="42"/>
      <c r="E860" s="42"/>
      <c r="F860" s="42"/>
      <c r="G860" s="42"/>
      <c r="H860" s="42"/>
      <c r="I860" s="48"/>
      <c r="J860" s="42"/>
      <c r="K860" s="42"/>
      <c r="L860" s="42"/>
      <c r="M860" s="42"/>
      <c r="N860" s="53"/>
      <c r="O860" s="11" t="s">
        <v>77</v>
      </c>
      <c r="P860" s="11" t="s">
        <v>77</v>
      </c>
      <c r="Q860" s="11" t="s">
        <v>77</v>
      </c>
      <c r="R860" s="11" t="s">
        <v>77</v>
      </c>
      <c r="S860" s="11"/>
      <c r="T860" s="12" t="s">
        <v>77</v>
      </c>
      <c r="U860" s="12" t="s">
        <v>77</v>
      </c>
      <c r="V860" s="4"/>
      <c r="W860" s="11" t="s">
        <v>1668</v>
      </c>
      <c r="X860" s="11" t="s">
        <v>42</v>
      </c>
      <c r="Y860" s="11" t="s">
        <v>2036</v>
      </c>
      <c r="Z860" s="11">
        <v>0.5</v>
      </c>
      <c r="AA860" s="11"/>
      <c r="AB860" s="12">
        <v>45624</v>
      </c>
      <c r="AC860" s="12">
        <v>47085</v>
      </c>
      <c r="AD860" s="12" t="s">
        <v>2038</v>
      </c>
      <c r="AE860" s="42"/>
      <c r="AF860" s="42"/>
    </row>
    <row r="861" spans="1:32" ht="63.75" x14ac:dyDescent="0.25">
      <c r="A861" s="44"/>
      <c r="B861" s="42"/>
      <c r="C861" s="42"/>
      <c r="D861" s="42"/>
      <c r="E861" s="42"/>
      <c r="F861" s="42"/>
      <c r="G861" s="42"/>
      <c r="H861" s="42"/>
      <c r="I861" s="48"/>
      <c r="J861" s="42"/>
      <c r="K861" s="42"/>
      <c r="L861" s="42"/>
      <c r="M861" s="42"/>
      <c r="N861" s="53"/>
      <c r="O861" s="11" t="s">
        <v>1796</v>
      </c>
      <c r="P861" s="11" t="s">
        <v>433</v>
      </c>
      <c r="Q861" s="20" t="s">
        <v>2050</v>
      </c>
      <c r="R861" s="11">
        <v>0.5</v>
      </c>
      <c r="S861" s="11"/>
      <c r="T861" s="12" t="s">
        <v>1815</v>
      </c>
      <c r="U861" s="12">
        <v>46364</v>
      </c>
      <c r="V861" s="13" t="s">
        <v>2051</v>
      </c>
      <c r="W861" s="11" t="s">
        <v>1668</v>
      </c>
      <c r="X861" s="11" t="s">
        <v>42</v>
      </c>
      <c r="Y861" s="11" t="s">
        <v>2036</v>
      </c>
      <c r="Z861" s="11">
        <v>0.5</v>
      </c>
      <c r="AA861" s="11"/>
      <c r="AB861" s="12">
        <v>45624</v>
      </c>
      <c r="AC861" s="12">
        <v>47085</v>
      </c>
      <c r="AD861" s="12" t="s">
        <v>2038</v>
      </c>
      <c r="AE861" s="42"/>
      <c r="AF861" s="42"/>
    </row>
    <row r="862" spans="1:32" ht="23.85" customHeight="1" x14ac:dyDescent="0.25">
      <c r="A862" s="44">
        <v>285</v>
      </c>
      <c r="B862" s="42" t="s">
        <v>1660</v>
      </c>
      <c r="C862" s="42" t="s">
        <v>2031</v>
      </c>
      <c r="D862" s="42">
        <v>104212</v>
      </c>
      <c r="E862" s="42" t="s">
        <v>1819</v>
      </c>
      <c r="F862" s="42" t="s">
        <v>31</v>
      </c>
      <c r="G862" s="42" t="s">
        <v>32</v>
      </c>
      <c r="H862" s="42" t="s">
        <v>1663</v>
      </c>
      <c r="I862" s="48" t="s">
        <v>2052</v>
      </c>
      <c r="J862" s="42" t="s">
        <v>71</v>
      </c>
      <c r="K862" s="42"/>
      <c r="L862" s="42" t="s">
        <v>1689</v>
      </c>
      <c r="M862" s="52">
        <v>48795</v>
      </c>
      <c r="N862" s="53" t="s">
        <v>2053</v>
      </c>
      <c r="O862" s="11" t="s">
        <v>1791</v>
      </c>
      <c r="P862" s="11" t="s">
        <v>93</v>
      </c>
      <c r="Q862" s="20" t="s">
        <v>2054</v>
      </c>
      <c r="R862" s="11">
        <v>0.5</v>
      </c>
      <c r="S862" s="11"/>
      <c r="T862" s="12" t="s">
        <v>1815</v>
      </c>
      <c r="U862" s="12">
        <v>46364</v>
      </c>
      <c r="V862" s="13" t="s">
        <v>2055</v>
      </c>
      <c r="W862" s="11" t="s">
        <v>1668</v>
      </c>
      <c r="X862" s="11" t="s">
        <v>42</v>
      </c>
      <c r="Y862" s="11" t="s">
        <v>2036</v>
      </c>
      <c r="Z862" s="11">
        <v>0.5</v>
      </c>
      <c r="AA862" s="11"/>
      <c r="AB862" s="12">
        <v>45624</v>
      </c>
      <c r="AC862" s="12">
        <v>47085</v>
      </c>
      <c r="AD862" s="12" t="s">
        <v>2038</v>
      </c>
      <c r="AE862" s="42"/>
      <c r="AF862" s="43" t="s">
        <v>45</v>
      </c>
    </row>
    <row r="863" spans="1:32" ht="63.75" x14ac:dyDescent="0.25">
      <c r="A863" s="44"/>
      <c r="B863" s="42"/>
      <c r="C863" s="42"/>
      <c r="D863" s="42"/>
      <c r="E863" s="42"/>
      <c r="F863" s="42"/>
      <c r="G863" s="42"/>
      <c r="H863" s="42"/>
      <c r="I863" s="48"/>
      <c r="J863" s="42"/>
      <c r="K863" s="42"/>
      <c r="L863" s="42"/>
      <c r="M863" s="42"/>
      <c r="N863" s="53"/>
      <c r="O863" s="11" t="s">
        <v>77</v>
      </c>
      <c r="P863" s="11" t="s">
        <v>77</v>
      </c>
      <c r="Q863" s="11" t="s">
        <v>77</v>
      </c>
      <c r="R863" s="11" t="s">
        <v>77</v>
      </c>
      <c r="S863" s="11"/>
      <c r="T863" s="12" t="s">
        <v>77</v>
      </c>
      <c r="U863" s="12" t="s">
        <v>77</v>
      </c>
      <c r="V863" s="4"/>
      <c r="W863" s="11" t="s">
        <v>1668</v>
      </c>
      <c r="X863" s="11" t="s">
        <v>42</v>
      </c>
      <c r="Y863" s="11" t="s">
        <v>2036</v>
      </c>
      <c r="Z863" s="11">
        <v>0.5</v>
      </c>
      <c r="AA863" s="11"/>
      <c r="AB863" s="12">
        <v>45624</v>
      </c>
      <c r="AC863" s="12">
        <v>47085</v>
      </c>
      <c r="AD863" s="12" t="s">
        <v>2038</v>
      </c>
      <c r="AE863" s="42"/>
      <c r="AF863" s="42"/>
    </row>
    <row r="864" spans="1:32" ht="63.75" x14ac:dyDescent="0.25">
      <c r="A864" s="44"/>
      <c r="B864" s="42"/>
      <c r="C864" s="42"/>
      <c r="D864" s="42"/>
      <c r="E864" s="42"/>
      <c r="F864" s="42"/>
      <c r="G864" s="42"/>
      <c r="H864" s="42"/>
      <c r="I864" s="48"/>
      <c r="J864" s="42"/>
      <c r="K864" s="42"/>
      <c r="L864" s="42"/>
      <c r="M864" s="42"/>
      <c r="N864" s="53"/>
      <c r="O864" s="11" t="s">
        <v>1796</v>
      </c>
      <c r="P864" s="11" t="s">
        <v>93</v>
      </c>
      <c r="Q864" s="20" t="s">
        <v>2056</v>
      </c>
      <c r="R864" s="11">
        <v>0.5</v>
      </c>
      <c r="S864" s="11"/>
      <c r="T864" s="12" t="s">
        <v>1815</v>
      </c>
      <c r="U864" s="12">
        <v>46364</v>
      </c>
      <c r="V864" s="13" t="s">
        <v>2057</v>
      </c>
      <c r="W864" s="11" t="s">
        <v>1668</v>
      </c>
      <c r="X864" s="11" t="s">
        <v>42</v>
      </c>
      <c r="Y864" s="11" t="s">
        <v>2036</v>
      </c>
      <c r="Z864" s="11">
        <v>0.5</v>
      </c>
      <c r="AA864" s="11"/>
      <c r="AB864" s="12">
        <v>45624</v>
      </c>
      <c r="AC864" s="12">
        <v>47085</v>
      </c>
      <c r="AD864" s="12" t="s">
        <v>2038</v>
      </c>
      <c r="AE864" s="42"/>
      <c r="AF864" s="42"/>
    </row>
    <row r="865" spans="1:32" ht="23.85" customHeight="1" x14ac:dyDescent="0.25">
      <c r="A865" s="44">
        <v>286</v>
      </c>
      <c r="B865" s="42" t="s">
        <v>1660</v>
      </c>
      <c r="C865" s="42" t="s">
        <v>2031</v>
      </c>
      <c r="D865" s="42">
        <v>104212</v>
      </c>
      <c r="E865" s="42" t="s">
        <v>2058</v>
      </c>
      <c r="F865" s="42" t="s">
        <v>31</v>
      </c>
      <c r="G865" s="42" t="s">
        <v>32</v>
      </c>
      <c r="H865" s="42" t="s">
        <v>1663</v>
      </c>
      <c r="I865" s="48" t="s">
        <v>2059</v>
      </c>
      <c r="J865" s="42" t="s">
        <v>71</v>
      </c>
      <c r="K865" s="42"/>
      <c r="L865" s="42" t="s">
        <v>1689</v>
      </c>
      <c r="M865" s="52">
        <v>48795</v>
      </c>
      <c r="N865" s="53" t="s">
        <v>2060</v>
      </c>
      <c r="O865" s="11" t="s">
        <v>1791</v>
      </c>
      <c r="P865" s="11" t="s">
        <v>433</v>
      </c>
      <c r="Q865" s="20" t="s">
        <v>2061</v>
      </c>
      <c r="R865" s="11">
        <v>0.5</v>
      </c>
      <c r="S865" s="11"/>
      <c r="T865" s="12" t="s">
        <v>1815</v>
      </c>
      <c r="U865" s="12">
        <v>46364</v>
      </c>
      <c r="V865" s="13" t="s">
        <v>2062</v>
      </c>
      <c r="W865" s="11" t="s">
        <v>1668</v>
      </c>
      <c r="X865" s="11" t="s">
        <v>42</v>
      </c>
      <c r="Y865" s="11" t="s">
        <v>2036</v>
      </c>
      <c r="Z865" s="11">
        <v>0.5</v>
      </c>
      <c r="AA865" s="11"/>
      <c r="AB865" s="12">
        <v>45624</v>
      </c>
      <c r="AC865" s="12">
        <v>47085</v>
      </c>
      <c r="AD865" s="12" t="s">
        <v>2038</v>
      </c>
      <c r="AE865" s="42"/>
      <c r="AF865" s="43" t="s">
        <v>45</v>
      </c>
    </row>
    <row r="866" spans="1:32" ht="63.75" x14ac:dyDescent="0.25">
      <c r="A866" s="44"/>
      <c r="B866" s="42"/>
      <c r="C866" s="42"/>
      <c r="D866" s="42"/>
      <c r="E866" s="42"/>
      <c r="F866" s="42"/>
      <c r="G866" s="42"/>
      <c r="H866" s="42"/>
      <c r="I866" s="48"/>
      <c r="J866" s="42"/>
      <c r="K866" s="42"/>
      <c r="L866" s="42"/>
      <c r="M866" s="42"/>
      <c r="N866" s="53"/>
      <c r="O866" s="11" t="s">
        <v>77</v>
      </c>
      <c r="P866" s="11" t="s">
        <v>77</v>
      </c>
      <c r="Q866" s="11" t="s">
        <v>77</v>
      </c>
      <c r="R866" s="11" t="s">
        <v>77</v>
      </c>
      <c r="S866" s="11"/>
      <c r="T866" s="12" t="s">
        <v>77</v>
      </c>
      <c r="U866" s="12" t="s">
        <v>77</v>
      </c>
      <c r="V866" s="4"/>
      <c r="W866" s="11" t="s">
        <v>1668</v>
      </c>
      <c r="X866" s="11" t="s">
        <v>42</v>
      </c>
      <c r="Y866" s="11" t="s">
        <v>2036</v>
      </c>
      <c r="Z866" s="11">
        <v>0.5</v>
      </c>
      <c r="AA866" s="11"/>
      <c r="AB866" s="12">
        <v>45624</v>
      </c>
      <c r="AC866" s="12">
        <v>47085</v>
      </c>
      <c r="AD866" s="12" t="s">
        <v>2038</v>
      </c>
      <c r="AE866" s="42"/>
      <c r="AF866" s="42"/>
    </row>
    <row r="867" spans="1:32" ht="63.75" x14ac:dyDescent="0.25">
      <c r="A867" s="44"/>
      <c r="B867" s="42"/>
      <c r="C867" s="42"/>
      <c r="D867" s="42"/>
      <c r="E867" s="42"/>
      <c r="F867" s="42"/>
      <c r="G867" s="42"/>
      <c r="H867" s="42"/>
      <c r="I867" s="48"/>
      <c r="J867" s="42"/>
      <c r="K867" s="42"/>
      <c r="L867" s="42"/>
      <c r="M867" s="42"/>
      <c r="N867" s="53"/>
      <c r="O867" s="11" t="s">
        <v>1796</v>
      </c>
      <c r="P867" s="11" t="s">
        <v>433</v>
      </c>
      <c r="Q867" s="20" t="s">
        <v>2063</v>
      </c>
      <c r="R867" s="11">
        <v>0.5</v>
      </c>
      <c r="S867" s="11"/>
      <c r="T867" s="12" t="s">
        <v>1815</v>
      </c>
      <c r="U867" s="12">
        <v>46364</v>
      </c>
      <c r="V867" s="13" t="s">
        <v>2064</v>
      </c>
      <c r="W867" s="11" t="s">
        <v>1668</v>
      </c>
      <c r="X867" s="11" t="s">
        <v>42</v>
      </c>
      <c r="Y867" s="11" t="s">
        <v>2036</v>
      </c>
      <c r="Z867" s="11">
        <v>0.5</v>
      </c>
      <c r="AA867" s="11"/>
      <c r="AB867" s="12">
        <v>45624</v>
      </c>
      <c r="AC867" s="12">
        <v>47085</v>
      </c>
      <c r="AD867" s="12" t="s">
        <v>2038</v>
      </c>
      <c r="AE867" s="42"/>
      <c r="AF867" s="42"/>
    </row>
    <row r="868" spans="1:32" ht="23.85" customHeight="1" x14ac:dyDescent="0.25">
      <c r="A868" s="44">
        <v>287</v>
      </c>
      <c r="B868" s="42" t="s">
        <v>1660</v>
      </c>
      <c r="C868" s="42" t="s">
        <v>2031</v>
      </c>
      <c r="D868" s="42">
        <v>104212</v>
      </c>
      <c r="E868" s="42" t="s">
        <v>1826</v>
      </c>
      <c r="F868" s="42" t="s">
        <v>31</v>
      </c>
      <c r="G868" s="42" t="s">
        <v>68</v>
      </c>
      <c r="H868" s="42" t="s">
        <v>1663</v>
      </c>
      <c r="I868" s="48" t="s">
        <v>2065</v>
      </c>
      <c r="J868" s="42" t="s">
        <v>71</v>
      </c>
      <c r="K868" s="42"/>
      <c r="L868" s="42" t="s">
        <v>1665</v>
      </c>
      <c r="M868" s="52">
        <v>48796</v>
      </c>
      <c r="N868" s="53" t="s">
        <v>2066</v>
      </c>
      <c r="O868" s="11" t="s">
        <v>1791</v>
      </c>
      <c r="P868" s="11" t="s">
        <v>433</v>
      </c>
      <c r="Q868" s="20" t="s">
        <v>2067</v>
      </c>
      <c r="R868" s="11">
        <v>0.5</v>
      </c>
      <c r="S868" s="11"/>
      <c r="T868" s="12" t="s">
        <v>2068</v>
      </c>
      <c r="U868" s="12">
        <v>46366</v>
      </c>
      <c r="V868" s="13" t="s">
        <v>2069</v>
      </c>
      <c r="W868" s="11" t="s">
        <v>1668</v>
      </c>
      <c r="X868" s="11" t="s">
        <v>42</v>
      </c>
      <c r="Y868" s="11" t="s">
        <v>2070</v>
      </c>
      <c r="Z868" s="11">
        <v>0.5</v>
      </c>
      <c r="AA868" s="11"/>
      <c r="AB868" s="12" t="s">
        <v>1750</v>
      </c>
      <c r="AC868" s="12">
        <v>46176</v>
      </c>
      <c r="AD868" s="12" t="s">
        <v>124</v>
      </c>
      <c r="AE868" s="42"/>
      <c r="AF868" s="43" t="s">
        <v>45</v>
      </c>
    </row>
    <row r="869" spans="1:32" x14ac:dyDescent="0.25">
      <c r="A869" s="44"/>
      <c r="B869" s="42"/>
      <c r="C869" s="42"/>
      <c r="D869" s="42"/>
      <c r="E869" s="42"/>
      <c r="F869" s="42"/>
      <c r="G869" s="42"/>
      <c r="H869" s="42"/>
      <c r="I869" s="48"/>
      <c r="J869" s="42"/>
      <c r="K869" s="42"/>
      <c r="L869" s="42"/>
      <c r="M869" s="42"/>
      <c r="N869" s="53"/>
      <c r="O869" s="11" t="s">
        <v>77</v>
      </c>
      <c r="P869" s="11" t="s">
        <v>77</v>
      </c>
      <c r="Q869" s="11" t="s">
        <v>77</v>
      </c>
      <c r="R869" s="11" t="s">
        <v>77</v>
      </c>
      <c r="S869" s="11"/>
      <c r="T869" s="12" t="s">
        <v>77</v>
      </c>
      <c r="U869" s="12" t="s">
        <v>77</v>
      </c>
      <c r="V869" s="4"/>
      <c r="W869" s="11" t="s">
        <v>1668</v>
      </c>
      <c r="X869" s="11" t="s">
        <v>42</v>
      </c>
      <c r="Y869" s="11" t="s">
        <v>2070</v>
      </c>
      <c r="Z869" s="11">
        <v>0.5</v>
      </c>
      <c r="AA869" s="11"/>
      <c r="AB869" s="12" t="s">
        <v>1750</v>
      </c>
      <c r="AC869" s="12">
        <v>46176</v>
      </c>
      <c r="AD869" s="12" t="s">
        <v>124</v>
      </c>
      <c r="AE869" s="42"/>
      <c r="AF869" s="42"/>
    </row>
    <row r="870" spans="1:32" ht="45" x14ac:dyDescent="0.25">
      <c r="A870" s="44"/>
      <c r="B870" s="42"/>
      <c r="C870" s="42"/>
      <c r="D870" s="42"/>
      <c r="E870" s="42"/>
      <c r="F870" s="42"/>
      <c r="G870" s="42"/>
      <c r="H870" s="42"/>
      <c r="I870" s="48"/>
      <c r="J870" s="42"/>
      <c r="K870" s="42"/>
      <c r="L870" s="42"/>
      <c r="M870" s="42"/>
      <c r="N870" s="53"/>
      <c r="O870" s="11" t="s">
        <v>1796</v>
      </c>
      <c r="P870" s="11" t="s">
        <v>433</v>
      </c>
      <c r="Q870" s="20" t="s">
        <v>2071</v>
      </c>
      <c r="R870" s="11">
        <v>0.5</v>
      </c>
      <c r="S870" s="11"/>
      <c r="T870" s="12" t="s">
        <v>2068</v>
      </c>
      <c r="U870" s="12">
        <v>46366</v>
      </c>
      <c r="V870" s="13" t="s">
        <v>2072</v>
      </c>
      <c r="W870" s="11" t="s">
        <v>1668</v>
      </c>
      <c r="X870" s="11" t="s">
        <v>42</v>
      </c>
      <c r="Y870" s="11" t="s">
        <v>2070</v>
      </c>
      <c r="Z870" s="11">
        <v>0.5</v>
      </c>
      <c r="AA870" s="11"/>
      <c r="AB870" s="12" t="s">
        <v>1750</v>
      </c>
      <c r="AC870" s="12">
        <v>46176</v>
      </c>
      <c r="AD870" s="12" t="s">
        <v>124</v>
      </c>
      <c r="AE870" s="42"/>
      <c r="AF870" s="42"/>
    </row>
    <row r="871" spans="1:32" ht="23.85" customHeight="1" x14ac:dyDescent="0.25">
      <c r="A871" s="44">
        <v>288</v>
      </c>
      <c r="B871" s="42" t="s">
        <v>1660</v>
      </c>
      <c r="C871" s="42" t="s">
        <v>2031</v>
      </c>
      <c r="D871" s="42">
        <v>104212</v>
      </c>
      <c r="E871" s="42" t="s">
        <v>1834</v>
      </c>
      <c r="F871" s="42" t="s">
        <v>31</v>
      </c>
      <c r="G871" s="42" t="s">
        <v>68</v>
      </c>
      <c r="H871" s="42" t="s">
        <v>1663</v>
      </c>
      <c r="I871" s="48" t="s">
        <v>2073</v>
      </c>
      <c r="J871" s="42" t="s">
        <v>71</v>
      </c>
      <c r="K871" s="42"/>
      <c r="L871" s="42" t="s">
        <v>1689</v>
      </c>
      <c r="M871" s="52">
        <v>48795</v>
      </c>
      <c r="N871" s="53" t="s">
        <v>2074</v>
      </c>
      <c r="O871" s="11" t="s">
        <v>1791</v>
      </c>
      <c r="P871" s="11" t="s">
        <v>84</v>
      </c>
      <c r="Q871" s="20" t="s">
        <v>2075</v>
      </c>
      <c r="R871" s="11">
        <v>0.5</v>
      </c>
      <c r="S871" s="11"/>
      <c r="T871" s="12" t="s">
        <v>2068</v>
      </c>
      <c r="U871" s="12">
        <v>46366</v>
      </c>
      <c r="V871" s="13" t="s">
        <v>2076</v>
      </c>
      <c r="W871" s="11" t="s">
        <v>1668</v>
      </c>
      <c r="X871" s="11" t="s">
        <v>42</v>
      </c>
      <c r="Y871" s="11" t="s">
        <v>2070</v>
      </c>
      <c r="Z871" s="11">
        <v>0.5</v>
      </c>
      <c r="AA871" s="11"/>
      <c r="AB871" s="12" t="s">
        <v>1750</v>
      </c>
      <c r="AC871" s="12">
        <v>46176</v>
      </c>
      <c r="AD871" s="12" t="s">
        <v>124</v>
      </c>
      <c r="AE871" s="42"/>
      <c r="AF871" s="43" t="s">
        <v>45</v>
      </c>
    </row>
    <row r="872" spans="1:32" x14ac:dyDescent="0.25">
      <c r="A872" s="44"/>
      <c r="B872" s="42"/>
      <c r="C872" s="42"/>
      <c r="D872" s="42"/>
      <c r="E872" s="42"/>
      <c r="F872" s="42"/>
      <c r="G872" s="42"/>
      <c r="H872" s="42"/>
      <c r="I872" s="48"/>
      <c r="J872" s="42"/>
      <c r="K872" s="42"/>
      <c r="L872" s="42"/>
      <c r="M872" s="42"/>
      <c r="N872" s="53"/>
      <c r="O872" s="11" t="s">
        <v>77</v>
      </c>
      <c r="P872" s="11" t="s">
        <v>77</v>
      </c>
      <c r="Q872" s="11" t="s">
        <v>77</v>
      </c>
      <c r="R872" s="11" t="s">
        <v>77</v>
      </c>
      <c r="S872" s="11"/>
      <c r="T872" s="12" t="s">
        <v>77</v>
      </c>
      <c r="U872" s="12" t="s">
        <v>77</v>
      </c>
      <c r="V872" s="4"/>
      <c r="W872" s="11" t="s">
        <v>1668</v>
      </c>
      <c r="X872" s="11" t="s">
        <v>42</v>
      </c>
      <c r="Y872" s="11" t="s">
        <v>2070</v>
      </c>
      <c r="Z872" s="11">
        <v>0.5</v>
      </c>
      <c r="AA872" s="11"/>
      <c r="AB872" s="12" t="s">
        <v>1750</v>
      </c>
      <c r="AC872" s="12">
        <v>46176</v>
      </c>
      <c r="AD872" s="12" t="s">
        <v>124</v>
      </c>
      <c r="AE872" s="42"/>
      <c r="AF872" s="42"/>
    </row>
    <row r="873" spans="1:32" ht="45" x14ac:dyDescent="0.25">
      <c r="A873" s="44"/>
      <c r="B873" s="42"/>
      <c r="C873" s="42"/>
      <c r="D873" s="42"/>
      <c r="E873" s="42"/>
      <c r="F873" s="42"/>
      <c r="G873" s="42"/>
      <c r="H873" s="42"/>
      <c r="I873" s="48"/>
      <c r="J873" s="42"/>
      <c r="K873" s="42"/>
      <c r="L873" s="42"/>
      <c r="M873" s="42"/>
      <c r="N873" s="53"/>
      <c r="O873" s="11" t="s">
        <v>1796</v>
      </c>
      <c r="P873" s="11" t="s">
        <v>84</v>
      </c>
      <c r="Q873" s="20" t="s">
        <v>2077</v>
      </c>
      <c r="R873" s="11">
        <v>0.5</v>
      </c>
      <c r="S873" s="11"/>
      <c r="T873" s="12" t="s">
        <v>2068</v>
      </c>
      <c r="U873" s="12">
        <v>46366</v>
      </c>
      <c r="V873" s="13" t="s">
        <v>2078</v>
      </c>
      <c r="W873" s="11" t="s">
        <v>1668</v>
      </c>
      <c r="X873" s="11" t="s">
        <v>42</v>
      </c>
      <c r="Y873" s="11" t="s">
        <v>2070</v>
      </c>
      <c r="Z873" s="11">
        <v>0.5</v>
      </c>
      <c r="AA873" s="11"/>
      <c r="AB873" s="12" t="s">
        <v>1750</v>
      </c>
      <c r="AC873" s="12">
        <v>46176</v>
      </c>
      <c r="AD873" s="12" t="s">
        <v>124</v>
      </c>
      <c r="AE873" s="42"/>
      <c r="AF873" s="42"/>
    </row>
    <row r="874" spans="1:32" ht="23.85" customHeight="1" x14ac:dyDescent="0.25">
      <c r="A874" s="44">
        <v>289</v>
      </c>
      <c r="B874" s="42" t="s">
        <v>1660</v>
      </c>
      <c r="C874" s="42" t="s">
        <v>2031</v>
      </c>
      <c r="D874" s="42">
        <v>104212</v>
      </c>
      <c r="E874" s="42" t="s">
        <v>1840</v>
      </c>
      <c r="F874" s="42" t="s">
        <v>31</v>
      </c>
      <c r="G874" s="42" t="s">
        <v>68</v>
      </c>
      <c r="H874" s="42" t="s">
        <v>1663</v>
      </c>
      <c r="I874" s="48" t="s">
        <v>2079</v>
      </c>
      <c r="J874" s="42" t="s">
        <v>71</v>
      </c>
      <c r="K874" s="42"/>
      <c r="L874" s="42" t="s">
        <v>1689</v>
      </c>
      <c r="M874" s="52">
        <v>48795</v>
      </c>
      <c r="N874" s="53" t="s">
        <v>2080</v>
      </c>
      <c r="O874" s="11" t="s">
        <v>1791</v>
      </c>
      <c r="P874" s="11" t="s">
        <v>433</v>
      </c>
      <c r="Q874" s="20" t="s">
        <v>2081</v>
      </c>
      <c r="R874" s="11">
        <v>0.5</v>
      </c>
      <c r="S874" s="11"/>
      <c r="T874" s="12" t="s">
        <v>2068</v>
      </c>
      <c r="U874" s="12">
        <v>46366</v>
      </c>
      <c r="V874" s="13" t="s">
        <v>2082</v>
      </c>
      <c r="W874" s="11" t="s">
        <v>1668</v>
      </c>
      <c r="X874" s="11" t="s">
        <v>42</v>
      </c>
      <c r="Y874" s="11" t="s">
        <v>2070</v>
      </c>
      <c r="Z874" s="11">
        <v>0.5</v>
      </c>
      <c r="AA874" s="11"/>
      <c r="AB874" s="12" t="s">
        <v>1750</v>
      </c>
      <c r="AC874" s="12">
        <v>46176</v>
      </c>
      <c r="AD874" s="12" t="s">
        <v>124</v>
      </c>
      <c r="AE874" s="42"/>
      <c r="AF874" s="43" t="s">
        <v>45</v>
      </c>
    </row>
    <row r="875" spans="1:32" x14ac:dyDescent="0.25">
      <c r="A875" s="44"/>
      <c r="B875" s="42"/>
      <c r="C875" s="42"/>
      <c r="D875" s="42"/>
      <c r="E875" s="42"/>
      <c r="F875" s="42"/>
      <c r="G875" s="42"/>
      <c r="H875" s="42"/>
      <c r="I875" s="48"/>
      <c r="J875" s="42"/>
      <c r="K875" s="42"/>
      <c r="L875" s="42"/>
      <c r="M875" s="42"/>
      <c r="N875" s="53"/>
      <c r="O875" s="11" t="s">
        <v>77</v>
      </c>
      <c r="P875" s="11" t="s">
        <v>77</v>
      </c>
      <c r="Q875" s="11" t="s">
        <v>77</v>
      </c>
      <c r="R875" s="11" t="s">
        <v>77</v>
      </c>
      <c r="S875" s="11"/>
      <c r="T875" s="12" t="s">
        <v>77</v>
      </c>
      <c r="U875" s="12" t="s">
        <v>77</v>
      </c>
      <c r="V875" s="4"/>
      <c r="W875" s="11" t="s">
        <v>1668</v>
      </c>
      <c r="X875" s="11" t="s">
        <v>42</v>
      </c>
      <c r="Y875" s="11" t="s">
        <v>2070</v>
      </c>
      <c r="Z875" s="11">
        <v>0.5</v>
      </c>
      <c r="AA875" s="11"/>
      <c r="AB875" s="12" t="s">
        <v>1750</v>
      </c>
      <c r="AC875" s="12">
        <v>46176</v>
      </c>
      <c r="AD875" s="12" t="s">
        <v>124</v>
      </c>
      <c r="AE875" s="42"/>
      <c r="AF875" s="42"/>
    </row>
    <row r="876" spans="1:32" ht="45" x14ac:dyDescent="0.25">
      <c r="A876" s="44"/>
      <c r="B876" s="42"/>
      <c r="C876" s="42"/>
      <c r="D876" s="42"/>
      <c r="E876" s="42"/>
      <c r="F876" s="42"/>
      <c r="G876" s="42"/>
      <c r="H876" s="42"/>
      <c r="I876" s="48"/>
      <c r="J876" s="42"/>
      <c r="K876" s="42"/>
      <c r="L876" s="42"/>
      <c r="M876" s="42"/>
      <c r="N876" s="53"/>
      <c r="O876" s="11" t="s">
        <v>1796</v>
      </c>
      <c r="P876" s="11" t="s">
        <v>433</v>
      </c>
      <c r="Q876" s="20" t="s">
        <v>2083</v>
      </c>
      <c r="R876" s="11">
        <v>0.5</v>
      </c>
      <c r="S876" s="11"/>
      <c r="T876" s="12" t="s">
        <v>2068</v>
      </c>
      <c r="U876" s="12">
        <v>46366</v>
      </c>
      <c r="V876" s="13" t="s">
        <v>2084</v>
      </c>
      <c r="W876" s="11" t="s">
        <v>1668</v>
      </c>
      <c r="X876" s="11" t="s">
        <v>42</v>
      </c>
      <c r="Y876" s="11" t="s">
        <v>2070</v>
      </c>
      <c r="Z876" s="11">
        <v>0.5</v>
      </c>
      <c r="AA876" s="11"/>
      <c r="AB876" s="12" t="s">
        <v>1750</v>
      </c>
      <c r="AC876" s="12">
        <v>46176</v>
      </c>
      <c r="AD876" s="12" t="s">
        <v>124</v>
      </c>
      <c r="AE876" s="42"/>
      <c r="AF876" s="42"/>
    </row>
    <row r="877" spans="1:32" ht="23.85" customHeight="1" x14ac:dyDescent="0.25">
      <c r="A877" s="44">
        <v>290</v>
      </c>
      <c r="B877" s="42" t="s">
        <v>1660</v>
      </c>
      <c r="C877" s="42" t="s">
        <v>2031</v>
      </c>
      <c r="D877" s="42">
        <v>104212</v>
      </c>
      <c r="E877" s="42" t="s">
        <v>1847</v>
      </c>
      <c r="F877" s="42" t="s">
        <v>31</v>
      </c>
      <c r="G877" s="42" t="s">
        <v>32</v>
      </c>
      <c r="H877" s="42" t="s">
        <v>1663</v>
      </c>
      <c r="I877" s="48" t="s">
        <v>2085</v>
      </c>
      <c r="J877" s="42" t="s">
        <v>71</v>
      </c>
      <c r="K877" s="42"/>
      <c r="L877" s="42" t="s">
        <v>1665</v>
      </c>
      <c r="M877" s="52">
        <v>48796</v>
      </c>
      <c r="N877" s="53" t="s">
        <v>2086</v>
      </c>
      <c r="O877" s="11" t="s">
        <v>1791</v>
      </c>
      <c r="P877" s="11" t="s">
        <v>84</v>
      </c>
      <c r="Q877" s="11" t="s">
        <v>2087</v>
      </c>
      <c r="R877" s="11">
        <v>0.5</v>
      </c>
      <c r="S877" s="11"/>
      <c r="T877" s="12">
        <v>44880</v>
      </c>
      <c r="U877" s="12">
        <v>46341</v>
      </c>
      <c r="V877" s="13" t="s">
        <v>2088</v>
      </c>
      <c r="W877" s="11" t="s">
        <v>1668</v>
      </c>
      <c r="X877" s="11" t="s">
        <v>42</v>
      </c>
      <c r="Y877" s="11" t="s">
        <v>2070</v>
      </c>
      <c r="Z877" s="11">
        <v>0.5</v>
      </c>
      <c r="AA877" s="11"/>
      <c r="AB877" s="12" t="s">
        <v>1750</v>
      </c>
      <c r="AC877" s="12">
        <v>46176</v>
      </c>
      <c r="AD877" s="12" t="s">
        <v>124</v>
      </c>
      <c r="AE877" s="42"/>
      <c r="AF877" s="43" t="s">
        <v>45</v>
      </c>
    </row>
    <row r="878" spans="1:32" x14ac:dyDescent="0.25">
      <c r="A878" s="44"/>
      <c r="B878" s="42"/>
      <c r="C878" s="42"/>
      <c r="D878" s="42"/>
      <c r="E878" s="42"/>
      <c r="F878" s="42"/>
      <c r="G878" s="42"/>
      <c r="H878" s="42"/>
      <c r="I878" s="48"/>
      <c r="J878" s="42"/>
      <c r="K878" s="42"/>
      <c r="L878" s="42"/>
      <c r="M878" s="42"/>
      <c r="N878" s="53"/>
      <c r="O878" s="11" t="s">
        <v>77</v>
      </c>
      <c r="P878" s="11" t="s">
        <v>77</v>
      </c>
      <c r="Q878" s="11" t="s">
        <v>77</v>
      </c>
      <c r="R878" s="11" t="s">
        <v>77</v>
      </c>
      <c r="S878" s="11"/>
      <c r="T878" s="12" t="s">
        <v>77</v>
      </c>
      <c r="U878" s="12" t="s">
        <v>77</v>
      </c>
      <c r="V878" s="4"/>
      <c r="W878" s="11" t="s">
        <v>1668</v>
      </c>
      <c r="X878" s="11" t="s">
        <v>42</v>
      </c>
      <c r="Y878" s="11" t="s">
        <v>2070</v>
      </c>
      <c r="Z878" s="11">
        <v>0.5</v>
      </c>
      <c r="AA878" s="11"/>
      <c r="AB878" s="12" t="s">
        <v>1750</v>
      </c>
      <c r="AC878" s="12">
        <v>46176</v>
      </c>
      <c r="AD878" s="12" t="s">
        <v>124</v>
      </c>
      <c r="AE878" s="42"/>
      <c r="AF878" s="42"/>
    </row>
    <row r="879" spans="1:32" ht="45" x14ac:dyDescent="0.25">
      <c r="A879" s="44"/>
      <c r="B879" s="42"/>
      <c r="C879" s="42"/>
      <c r="D879" s="42"/>
      <c r="E879" s="42"/>
      <c r="F879" s="42"/>
      <c r="G879" s="42"/>
      <c r="H879" s="42"/>
      <c r="I879" s="48"/>
      <c r="J879" s="42"/>
      <c r="K879" s="42"/>
      <c r="L879" s="42"/>
      <c r="M879" s="42"/>
      <c r="N879" s="53"/>
      <c r="O879" s="11" t="s">
        <v>1796</v>
      </c>
      <c r="P879" s="11" t="s">
        <v>84</v>
      </c>
      <c r="Q879" s="20" t="s">
        <v>2089</v>
      </c>
      <c r="R879" s="11">
        <v>0.5</v>
      </c>
      <c r="S879" s="11"/>
      <c r="T879" s="12" t="s">
        <v>2068</v>
      </c>
      <c r="U879" s="12">
        <v>46366</v>
      </c>
      <c r="V879" s="13" t="s">
        <v>2090</v>
      </c>
      <c r="W879" s="11" t="s">
        <v>1668</v>
      </c>
      <c r="X879" s="11" t="s">
        <v>42</v>
      </c>
      <c r="Y879" s="11" t="s">
        <v>2070</v>
      </c>
      <c r="Z879" s="11">
        <v>0.5</v>
      </c>
      <c r="AA879" s="11"/>
      <c r="AB879" s="12" t="s">
        <v>1750</v>
      </c>
      <c r="AC879" s="12">
        <v>46176</v>
      </c>
      <c r="AD879" s="12" t="s">
        <v>124</v>
      </c>
      <c r="AE879" s="42"/>
      <c r="AF879" s="42"/>
    </row>
    <row r="880" spans="1:32" ht="23.85" customHeight="1" x14ac:dyDescent="0.25">
      <c r="A880" s="44">
        <v>291</v>
      </c>
      <c r="B880" s="42" t="s">
        <v>1660</v>
      </c>
      <c r="C880" s="42" t="s">
        <v>2031</v>
      </c>
      <c r="D880" s="42">
        <v>104212</v>
      </c>
      <c r="E880" s="42" t="s">
        <v>1854</v>
      </c>
      <c r="F880" s="42" t="s">
        <v>31</v>
      </c>
      <c r="G880" s="42" t="s">
        <v>32</v>
      </c>
      <c r="H880" s="42" t="s">
        <v>1663</v>
      </c>
      <c r="I880" s="48" t="s">
        <v>2091</v>
      </c>
      <c r="J880" s="42" t="s">
        <v>71</v>
      </c>
      <c r="K880" s="42"/>
      <c r="L880" s="42" t="s">
        <v>1665</v>
      </c>
      <c r="M880" s="52">
        <v>48796</v>
      </c>
      <c r="N880" s="53" t="s">
        <v>2092</v>
      </c>
      <c r="O880" s="11" t="s">
        <v>1791</v>
      </c>
      <c r="P880" s="11" t="s">
        <v>93</v>
      </c>
      <c r="Q880" s="20" t="s">
        <v>2093</v>
      </c>
      <c r="R880" s="11">
        <v>0.5</v>
      </c>
      <c r="S880" s="11"/>
      <c r="T880" s="12" t="s">
        <v>2068</v>
      </c>
      <c r="U880" s="12">
        <v>46366</v>
      </c>
      <c r="V880" s="13" t="s">
        <v>2094</v>
      </c>
      <c r="W880" s="11" t="s">
        <v>1668</v>
      </c>
      <c r="X880" s="11" t="s">
        <v>42</v>
      </c>
      <c r="Y880" s="11" t="s">
        <v>2070</v>
      </c>
      <c r="Z880" s="11">
        <v>0.5</v>
      </c>
      <c r="AA880" s="11"/>
      <c r="AB880" s="12" t="s">
        <v>1750</v>
      </c>
      <c r="AC880" s="12">
        <v>46176</v>
      </c>
      <c r="AD880" s="12" t="s">
        <v>124</v>
      </c>
      <c r="AE880" s="42"/>
      <c r="AF880" s="43" t="s">
        <v>45</v>
      </c>
    </row>
    <row r="881" spans="1:32" x14ac:dyDescent="0.25">
      <c r="A881" s="44"/>
      <c r="B881" s="42"/>
      <c r="C881" s="42"/>
      <c r="D881" s="42"/>
      <c r="E881" s="42"/>
      <c r="F881" s="42"/>
      <c r="G881" s="42"/>
      <c r="H881" s="42"/>
      <c r="I881" s="48"/>
      <c r="J881" s="42"/>
      <c r="K881" s="42"/>
      <c r="L881" s="42"/>
      <c r="M881" s="42"/>
      <c r="N881" s="53"/>
      <c r="O881" s="11" t="s">
        <v>77</v>
      </c>
      <c r="P881" s="11" t="s">
        <v>77</v>
      </c>
      <c r="Q881" s="11" t="s">
        <v>77</v>
      </c>
      <c r="R881" s="11" t="s">
        <v>77</v>
      </c>
      <c r="S881" s="11"/>
      <c r="T881" s="12" t="s">
        <v>77</v>
      </c>
      <c r="U881" s="12" t="s">
        <v>77</v>
      </c>
      <c r="V881" s="4"/>
      <c r="W881" s="11" t="s">
        <v>1668</v>
      </c>
      <c r="X881" s="11" t="s">
        <v>42</v>
      </c>
      <c r="Y881" s="11" t="s">
        <v>2070</v>
      </c>
      <c r="Z881" s="11">
        <v>0.5</v>
      </c>
      <c r="AA881" s="11"/>
      <c r="AB881" s="12" t="s">
        <v>1750</v>
      </c>
      <c r="AC881" s="12">
        <v>46176</v>
      </c>
      <c r="AD881" s="12" t="s">
        <v>124</v>
      </c>
      <c r="AE881" s="42"/>
      <c r="AF881" s="42"/>
    </row>
    <row r="882" spans="1:32" ht="45" x14ac:dyDescent="0.25">
      <c r="A882" s="44"/>
      <c r="B882" s="42"/>
      <c r="C882" s="42"/>
      <c r="D882" s="42"/>
      <c r="E882" s="42"/>
      <c r="F882" s="42"/>
      <c r="G882" s="42"/>
      <c r="H882" s="42"/>
      <c r="I882" s="48"/>
      <c r="J882" s="42"/>
      <c r="K882" s="42"/>
      <c r="L882" s="42"/>
      <c r="M882" s="42"/>
      <c r="N882" s="53"/>
      <c r="O882" s="11" t="s">
        <v>1796</v>
      </c>
      <c r="P882" s="11" t="s">
        <v>93</v>
      </c>
      <c r="Q882" s="20" t="s">
        <v>2095</v>
      </c>
      <c r="R882" s="11">
        <v>0.5</v>
      </c>
      <c r="S882" s="11"/>
      <c r="T882" s="12" t="s">
        <v>2068</v>
      </c>
      <c r="U882" s="12">
        <v>46366</v>
      </c>
      <c r="V882" s="13" t="s">
        <v>2096</v>
      </c>
      <c r="W882" s="11" t="s">
        <v>1668</v>
      </c>
      <c r="X882" s="11" t="s">
        <v>42</v>
      </c>
      <c r="Y882" s="11" t="s">
        <v>2070</v>
      </c>
      <c r="Z882" s="11">
        <v>0.5</v>
      </c>
      <c r="AA882" s="11"/>
      <c r="AB882" s="12" t="s">
        <v>1750</v>
      </c>
      <c r="AC882" s="12">
        <v>46176</v>
      </c>
      <c r="AD882" s="12" t="s">
        <v>124</v>
      </c>
      <c r="AE882" s="42"/>
      <c r="AF882" s="42"/>
    </row>
    <row r="883" spans="1:32" ht="23.85" customHeight="1" x14ac:dyDescent="0.25">
      <c r="A883" s="44">
        <v>292</v>
      </c>
      <c r="B883" s="42" t="s">
        <v>1660</v>
      </c>
      <c r="C883" s="42" t="s">
        <v>2031</v>
      </c>
      <c r="D883" s="42">
        <v>104212</v>
      </c>
      <c r="E883" s="42" t="s">
        <v>1775</v>
      </c>
      <c r="F883" s="42" t="s">
        <v>31</v>
      </c>
      <c r="G883" s="42" t="s">
        <v>68</v>
      </c>
      <c r="H883" s="42" t="s">
        <v>1663</v>
      </c>
      <c r="I883" s="48" t="s">
        <v>2097</v>
      </c>
      <c r="J883" s="42" t="s">
        <v>71</v>
      </c>
      <c r="K883" s="42"/>
      <c r="L883" s="42" t="s">
        <v>1695</v>
      </c>
      <c r="M883" s="52">
        <v>48759</v>
      </c>
      <c r="N883" s="53" t="s">
        <v>2098</v>
      </c>
      <c r="O883" s="11" t="s">
        <v>990</v>
      </c>
      <c r="P883" s="11" t="s">
        <v>84</v>
      </c>
      <c r="Q883" s="11" t="s">
        <v>2099</v>
      </c>
      <c r="R883" s="11">
        <v>0.5</v>
      </c>
      <c r="S883" s="11"/>
      <c r="T883" s="12" t="s">
        <v>1195</v>
      </c>
      <c r="U883" s="12">
        <v>49597</v>
      </c>
      <c r="V883" s="4" t="s">
        <v>124</v>
      </c>
      <c r="W883" s="11" t="s">
        <v>77</v>
      </c>
      <c r="X883" s="11" t="s">
        <v>77</v>
      </c>
      <c r="Y883" s="11" t="s">
        <v>77</v>
      </c>
      <c r="Z883" s="11">
        <v>0</v>
      </c>
      <c r="AA883" s="11"/>
      <c r="AB883" s="12" t="s">
        <v>77</v>
      </c>
      <c r="AC883" s="12" t="s">
        <v>77</v>
      </c>
      <c r="AD883" s="12"/>
      <c r="AE883" s="42"/>
      <c r="AF883" s="43" t="s">
        <v>995</v>
      </c>
    </row>
    <row r="884" spans="1:32" ht="25.5" x14ac:dyDescent="0.25">
      <c r="A884" s="44"/>
      <c r="B884" s="42"/>
      <c r="C884" s="42"/>
      <c r="D884" s="42"/>
      <c r="E884" s="42"/>
      <c r="F884" s="42"/>
      <c r="G884" s="42"/>
      <c r="H884" s="42"/>
      <c r="I884" s="48"/>
      <c r="J884" s="42"/>
      <c r="K884" s="42"/>
      <c r="L884" s="42"/>
      <c r="M884" s="42"/>
      <c r="N884" s="53"/>
      <c r="O884" s="11" t="s">
        <v>990</v>
      </c>
      <c r="P884" s="11" t="s">
        <v>84</v>
      </c>
      <c r="Q884" s="11" t="s">
        <v>2100</v>
      </c>
      <c r="R884" s="11">
        <v>0.5</v>
      </c>
      <c r="S884" s="11"/>
      <c r="T884" s="12" t="s">
        <v>1195</v>
      </c>
      <c r="U884" s="12">
        <v>49597</v>
      </c>
      <c r="V884" s="4" t="s">
        <v>124</v>
      </c>
      <c r="W884" s="11" t="s">
        <v>77</v>
      </c>
      <c r="X884" s="11" t="s">
        <v>77</v>
      </c>
      <c r="Y884" s="11" t="s">
        <v>77</v>
      </c>
      <c r="Z884" s="11" t="s">
        <v>77</v>
      </c>
      <c r="AA884" s="11"/>
      <c r="AB884" s="12" t="s">
        <v>77</v>
      </c>
      <c r="AC884" s="12" t="s">
        <v>77</v>
      </c>
      <c r="AD884" s="12"/>
      <c r="AE884" s="42"/>
      <c r="AF884" s="42"/>
    </row>
    <row r="885" spans="1:32" x14ac:dyDescent="0.25">
      <c r="A885" s="44"/>
      <c r="B885" s="42"/>
      <c r="C885" s="42"/>
      <c r="D885" s="42"/>
      <c r="E885" s="42"/>
      <c r="F885" s="42"/>
      <c r="G885" s="42"/>
      <c r="H885" s="42"/>
      <c r="I885" s="48"/>
      <c r="J885" s="42"/>
      <c r="K885" s="42"/>
      <c r="L885" s="42"/>
      <c r="M885" s="42"/>
      <c r="N885" s="53"/>
      <c r="O885" s="11" t="s">
        <v>997</v>
      </c>
      <c r="P885" s="11" t="s">
        <v>84</v>
      </c>
      <c r="Q885" s="11" t="s">
        <v>2101</v>
      </c>
      <c r="R885" s="11">
        <v>0.5</v>
      </c>
      <c r="S885" s="11"/>
      <c r="T885" s="12" t="s">
        <v>1195</v>
      </c>
      <c r="U885" s="12">
        <v>49597</v>
      </c>
      <c r="V885" s="4" t="s">
        <v>124</v>
      </c>
      <c r="W885" s="11" t="s">
        <v>77</v>
      </c>
      <c r="X885" s="11" t="s">
        <v>77</v>
      </c>
      <c r="Y885" s="11" t="s">
        <v>77</v>
      </c>
      <c r="Z885" s="11" t="s">
        <v>77</v>
      </c>
      <c r="AA885" s="11"/>
      <c r="AB885" s="12" t="s">
        <v>77</v>
      </c>
      <c r="AC885" s="12" t="s">
        <v>77</v>
      </c>
      <c r="AD885" s="12"/>
      <c r="AE885" s="42"/>
      <c r="AF885" s="42"/>
    </row>
    <row r="886" spans="1:32" ht="23.85" customHeight="1" x14ac:dyDescent="0.25">
      <c r="A886" s="44">
        <v>293</v>
      </c>
      <c r="B886" s="42" t="s">
        <v>1660</v>
      </c>
      <c r="C886" s="42" t="s">
        <v>2031</v>
      </c>
      <c r="D886" s="42">
        <v>104212</v>
      </c>
      <c r="E886" s="42" t="s">
        <v>1781</v>
      </c>
      <c r="F886" s="42" t="s">
        <v>31</v>
      </c>
      <c r="G886" s="42" t="s">
        <v>68</v>
      </c>
      <c r="H886" s="42" t="s">
        <v>1663</v>
      </c>
      <c r="I886" s="48" t="s">
        <v>2102</v>
      </c>
      <c r="J886" s="42" t="s">
        <v>71</v>
      </c>
      <c r="K886" s="42"/>
      <c r="L886" s="42" t="s">
        <v>1695</v>
      </c>
      <c r="M886" s="52">
        <v>48759</v>
      </c>
      <c r="N886" s="53" t="s">
        <v>2103</v>
      </c>
      <c r="O886" s="11" t="s">
        <v>990</v>
      </c>
      <c r="P886" s="11" t="s">
        <v>84</v>
      </c>
      <c r="Q886" s="11" t="s">
        <v>2104</v>
      </c>
      <c r="R886" s="11">
        <v>0.5</v>
      </c>
      <c r="S886" s="11"/>
      <c r="T886" s="12" t="s">
        <v>2014</v>
      </c>
      <c r="U886" s="12">
        <v>49596</v>
      </c>
      <c r="V886" s="4" t="s">
        <v>124</v>
      </c>
      <c r="W886" s="11" t="s">
        <v>77</v>
      </c>
      <c r="X886" s="11" t="s">
        <v>77</v>
      </c>
      <c r="Y886" s="11" t="s">
        <v>77</v>
      </c>
      <c r="Z886" s="11">
        <v>0</v>
      </c>
      <c r="AA886" s="11"/>
      <c r="AB886" s="12" t="s">
        <v>77</v>
      </c>
      <c r="AC886" s="12" t="s">
        <v>77</v>
      </c>
      <c r="AD886" s="12"/>
      <c r="AE886" s="42"/>
      <c r="AF886" s="43" t="s">
        <v>995</v>
      </c>
    </row>
    <row r="887" spans="1:32" ht="25.5" x14ac:dyDescent="0.25">
      <c r="A887" s="44"/>
      <c r="B887" s="42"/>
      <c r="C887" s="42"/>
      <c r="D887" s="42"/>
      <c r="E887" s="42"/>
      <c r="F887" s="42"/>
      <c r="G887" s="42"/>
      <c r="H887" s="42"/>
      <c r="I887" s="48"/>
      <c r="J887" s="42"/>
      <c r="K887" s="42"/>
      <c r="L887" s="42"/>
      <c r="M887" s="42"/>
      <c r="N887" s="53"/>
      <c r="O887" s="11" t="s">
        <v>990</v>
      </c>
      <c r="P887" s="11" t="s">
        <v>84</v>
      </c>
      <c r="Q887" s="11" t="s">
        <v>2105</v>
      </c>
      <c r="R887" s="11">
        <v>0.5</v>
      </c>
      <c r="S887" s="11"/>
      <c r="T887" s="12" t="s">
        <v>2014</v>
      </c>
      <c r="U887" s="12">
        <v>49596</v>
      </c>
      <c r="V887" s="4" t="s">
        <v>124</v>
      </c>
      <c r="W887" s="11" t="s">
        <v>77</v>
      </c>
      <c r="X887" s="11" t="s">
        <v>77</v>
      </c>
      <c r="Y887" s="11" t="s">
        <v>77</v>
      </c>
      <c r="Z887" s="11" t="s">
        <v>77</v>
      </c>
      <c r="AA887" s="11"/>
      <c r="AB887" s="12" t="s">
        <v>77</v>
      </c>
      <c r="AC887" s="12" t="s">
        <v>77</v>
      </c>
      <c r="AD887" s="12"/>
      <c r="AE887" s="42"/>
      <c r="AF887" s="42"/>
    </row>
    <row r="888" spans="1:32" x14ac:dyDescent="0.25">
      <c r="A888" s="44"/>
      <c r="B888" s="42"/>
      <c r="C888" s="42"/>
      <c r="D888" s="42"/>
      <c r="E888" s="42"/>
      <c r="F888" s="42"/>
      <c r="G888" s="42"/>
      <c r="H888" s="42"/>
      <c r="I888" s="48"/>
      <c r="J888" s="42"/>
      <c r="K888" s="42"/>
      <c r="L888" s="42"/>
      <c r="M888" s="42"/>
      <c r="N888" s="53"/>
      <c r="O888" s="11" t="s">
        <v>997</v>
      </c>
      <c r="P888" s="11" t="s">
        <v>84</v>
      </c>
      <c r="Q888" s="11" t="s">
        <v>2106</v>
      </c>
      <c r="R888" s="11">
        <v>0.5</v>
      </c>
      <c r="S888" s="11"/>
      <c r="T888" s="12" t="s">
        <v>2014</v>
      </c>
      <c r="U888" s="12">
        <v>49596</v>
      </c>
      <c r="V888" s="4" t="s">
        <v>124</v>
      </c>
      <c r="W888" s="11" t="s">
        <v>77</v>
      </c>
      <c r="X888" s="11" t="s">
        <v>77</v>
      </c>
      <c r="Y888" s="11" t="s">
        <v>77</v>
      </c>
      <c r="Z888" s="11" t="s">
        <v>77</v>
      </c>
      <c r="AA888" s="11"/>
      <c r="AB888" s="12" t="s">
        <v>77</v>
      </c>
      <c r="AC888" s="12" t="s">
        <v>77</v>
      </c>
      <c r="AD888" s="12"/>
      <c r="AE888" s="42"/>
      <c r="AF888" s="42"/>
    </row>
    <row r="889" spans="1:32" ht="23.85" customHeight="1" x14ac:dyDescent="0.25">
      <c r="A889" s="44">
        <v>294</v>
      </c>
      <c r="B889" s="42" t="s">
        <v>1660</v>
      </c>
      <c r="C889" s="42" t="s">
        <v>2031</v>
      </c>
      <c r="D889" s="42">
        <v>104212</v>
      </c>
      <c r="E889" s="42" t="s">
        <v>2022</v>
      </c>
      <c r="F889" s="42" t="s">
        <v>31</v>
      </c>
      <c r="G889" s="42" t="s">
        <v>68</v>
      </c>
      <c r="H889" s="42" t="s">
        <v>1663</v>
      </c>
      <c r="I889" s="48" t="s">
        <v>2107</v>
      </c>
      <c r="J889" s="42" t="s">
        <v>71</v>
      </c>
      <c r="K889" s="42"/>
      <c r="L889" s="42" t="s">
        <v>1665</v>
      </c>
      <c r="M889" s="52">
        <v>48796</v>
      </c>
      <c r="N889" s="53" t="s">
        <v>2108</v>
      </c>
      <c r="O889" s="11" t="s">
        <v>1791</v>
      </c>
      <c r="P889" s="11" t="s">
        <v>84</v>
      </c>
      <c r="Q889" s="20" t="s">
        <v>2109</v>
      </c>
      <c r="R889" s="11">
        <v>0.5</v>
      </c>
      <c r="S889" s="11"/>
      <c r="T889" s="12" t="s">
        <v>2068</v>
      </c>
      <c r="U889" s="12">
        <v>46366</v>
      </c>
      <c r="V889" s="13" t="s">
        <v>2110</v>
      </c>
      <c r="W889" s="11" t="s">
        <v>2027</v>
      </c>
      <c r="X889" s="11" t="s">
        <v>409</v>
      </c>
      <c r="Y889" s="11" t="s">
        <v>2111</v>
      </c>
      <c r="Z889" s="11">
        <v>0.5</v>
      </c>
      <c r="AA889" s="11"/>
      <c r="AB889" s="12" t="s">
        <v>2112</v>
      </c>
      <c r="AC889" s="12">
        <v>46365</v>
      </c>
      <c r="AD889" s="12" t="s">
        <v>124</v>
      </c>
      <c r="AE889" s="42"/>
      <c r="AF889" s="43" t="s">
        <v>45</v>
      </c>
    </row>
    <row r="890" spans="1:32" x14ac:dyDescent="0.25">
      <c r="A890" s="44"/>
      <c r="B890" s="42"/>
      <c r="C890" s="42"/>
      <c r="D890" s="42"/>
      <c r="E890" s="42"/>
      <c r="F890" s="42"/>
      <c r="G890" s="42"/>
      <c r="H890" s="42"/>
      <c r="I890" s="48"/>
      <c r="J890" s="42"/>
      <c r="K890" s="42"/>
      <c r="L890" s="42"/>
      <c r="M890" s="42"/>
      <c r="N890" s="53"/>
      <c r="O890" s="11" t="s">
        <v>77</v>
      </c>
      <c r="P890" s="11" t="s">
        <v>77</v>
      </c>
      <c r="Q890" s="11" t="s">
        <v>77</v>
      </c>
      <c r="R890" s="11" t="s">
        <v>77</v>
      </c>
      <c r="S890" s="11"/>
      <c r="T890" s="12" t="s">
        <v>77</v>
      </c>
      <c r="U890" s="12" t="s">
        <v>77</v>
      </c>
      <c r="V890" s="4"/>
      <c r="W890" s="11" t="s">
        <v>2027</v>
      </c>
      <c r="X890" s="11" t="s">
        <v>409</v>
      </c>
      <c r="Y890" s="11" t="s">
        <v>2111</v>
      </c>
      <c r="Z890" s="11">
        <v>0.5</v>
      </c>
      <c r="AA890" s="11"/>
      <c r="AB890" s="12" t="s">
        <v>2112</v>
      </c>
      <c r="AC890" s="12">
        <v>46365</v>
      </c>
      <c r="AD890" s="12" t="s">
        <v>124</v>
      </c>
      <c r="AE890" s="42"/>
      <c r="AF890" s="42"/>
    </row>
    <row r="891" spans="1:32" ht="45" x14ac:dyDescent="0.25">
      <c r="A891" s="44"/>
      <c r="B891" s="42"/>
      <c r="C891" s="42"/>
      <c r="D891" s="42"/>
      <c r="E891" s="42"/>
      <c r="F891" s="42"/>
      <c r="G891" s="42"/>
      <c r="H891" s="42"/>
      <c r="I891" s="48"/>
      <c r="J891" s="42"/>
      <c r="K891" s="42"/>
      <c r="L891" s="42"/>
      <c r="M891" s="42"/>
      <c r="N891" s="53"/>
      <c r="O891" s="11" t="s">
        <v>1796</v>
      </c>
      <c r="P891" s="11" t="s">
        <v>84</v>
      </c>
      <c r="Q891" s="20" t="s">
        <v>2113</v>
      </c>
      <c r="R891" s="11">
        <v>0.5</v>
      </c>
      <c r="S891" s="11"/>
      <c r="T891" s="12" t="s">
        <v>2068</v>
      </c>
      <c r="U891" s="12">
        <v>46366</v>
      </c>
      <c r="V891" s="13" t="s">
        <v>2114</v>
      </c>
      <c r="W891" s="11" t="s">
        <v>2027</v>
      </c>
      <c r="X891" s="11" t="s">
        <v>409</v>
      </c>
      <c r="Y891" s="11" t="s">
        <v>2111</v>
      </c>
      <c r="Z891" s="11">
        <v>0.5</v>
      </c>
      <c r="AA891" s="11"/>
      <c r="AB891" s="12" t="s">
        <v>2112</v>
      </c>
      <c r="AC891" s="12">
        <v>46365</v>
      </c>
      <c r="AD891" s="12" t="s">
        <v>124</v>
      </c>
      <c r="AE891" s="42"/>
      <c r="AF891" s="42"/>
    </row>
    <row r="892" spans="1:32" ht="23.85" customHeight="1" x14ac:dyDescent="0.25">
      <c r="A892" s="44">
        <v>295</v>
      </c>
      <c r="B892" s="42" t="s">
        <v>1660</v>
      </c>
      <c r="C892" s="42" t="s">
        <v>2115</v>
      </c>
      <c r="D892" s="42">
        <v>70366</v>
      </c>
      <c r="E892" s="42" t="s">
        <v>2116</v>
      </c>
      <c r="F892" s="42" t="s">
        <v>31</v>
      </c>
      <c r="G892" s="42" t="s">
        <v>32</v>
      </c>
      <c r="H892" s="42" t="s">
        <v>1663</v>
      </c>
      <c r="I892" s="48" t="s">
        <v>2117</v>
      </c>
      <c r="J892" s="42" t="s">
        <v>71</v>
      </c>
      <c r="K892" s="42"/>
      <c r="L892" s="42" t="s">
        <v>1701</v>
      </c>
      <c r="M892" s="52">
        <v>48797</v>
      </c>
      <c r="N892" s="53" t="s">
        <v>2118</v>
      </c>
      <c r="O892" s="11" t="s">
        <v>1713</v>
      </c>
      <c r="P892" s="11" t="s">
        <v>163</v>
      </c>
      <c r="Q892" s="11" t="s">
        <v>2119</v>
      </c>
      <c r="R892" s="11">
        <v>0.5</v>
      </c>
      <c r="S892" s="11"/>
      <c r="T892" s="12" t="s">
        <v>2112</v>
      </c>
      <c r="U892" s="12">
        <v>46365</v>
      </c>
      <c r="V892" s="4" t="s">
        <v>124</v>
      </c>
      <c r="W892" s="11" t="s">
        <v>2120</v>
      </c>
      <c r="X892" s="11" t="s">
        <v>409</v>
      </c>
      <c r="Y892" s="11" t="s">
        <v>2121</v>
      </c>
      <c r="Z892" s="11">
        <v>0.5</v>
      </c>
      <c r="AA892" s="11"/>
      <c r="AB892" s="12">
        <v>45103</v>
      </c>
      <c r="AC892" s="12">
        <v>46930</v>
      </c>
      <c r="AD892" s="14" t="s">
        <v>2122</v>
      </c>
      <c r="AE892" s="42"/>
      <c r="AF892" s="43" t="s">
        <v>2123</v>
      </c>
    </row>
    <row r="893" spans="1:32" ht="90" x14ac:dyDescent="0.25">
      <c r="A893" s="44"/>
      <c r="B893" s="42"/>
      <c r="C893" s="42"/>
      <c r="D893" s="42"/>
      <c r="E893" s="42"/>
      <c r="F893" s="42"/>
      <c r="G893" s="42"/>
      <c r="H893" s="42"/>
      <c r="I893" s="48"/>
      <c r="J893" s="42"/>
      <c r="K893" s="42"/>
      <c r="L893" s="42"/>
      <c r="M893" s="42"/>
      <c r="N893" s="53"/>
      <c r="O893" s="11" t="s">
        <v>77</v>
      </c>
      <c r="P893" s="11" t="s">
        <v>77</v>
      </c>
      <c r="Q893" s="11" t="s">
        <v>77</v>
      </c>
      <c r="R893" s="11" t="s">
        <v>77</v>
      </c>
      <c r="S893" s="11"/>
      <c r="T893" s="12" t="s">
        <v>77</v>
      </c>
      <c r="U893" s="12" t="s">
        <v>77</v>
      </c>
      <c r="V893" s="4"/>
      <c r="W893" s="11" t="s">
        <v>2120</v>
      </c>
      <c r="X893" s="11" t="s">
        <v>409</v>
      </c>
      <c r="Y893" s="11" t="s">
        <v>2121</v>
      </c>
      <c r="Z893" s="11">
        <v>0.5</v>
      </c>
      <c r="AA893" s="11"/>
      <c r="AB893" s="12">
        <v>45103</v>
      </c>
      <c r="AC893" s="12">
        <v>46930</v>
      </c>
      <c r="AD893" s="14" t="s">
        <v>2122</v>
      </c>
      <c r="AE893" s="42"/>
      <c r="AF893" s="42"/>
    </row>
    <row r="894" spans="1:32" ht="90" x14ac:dyDescent="0.25">
      <c r="A894" s="44"/>
      <c r="B894" s="42"/>
      <c r="C894" s="42"/>
      <c r="D894" s="42"/>
      <c r="E894" s="42"/>
      <c r="F894" s="42"/>
      <c r="G894" s="42"/>
      <c r="H894" s="42"/>
      <c r="I894" s="48"/>
      <c r="J894" s="42"/>
      <c r="K894" s="42"/>
      <c r="L894" s="42"/>
      <c r="M894" s="42"/>
      <c r="N894" s="53"/>
      <c r="O894" s="11" t="s">
        <v>1721</v>
      </c>
      <c r="P894" s="11" t="s">
        <v>163</v>
      </c>
      <c r="Q894" s="11" t="s">
        <v>2124</v>
      </c>
      <c r="R894" s="11">
        <v>0.5</v>
      </c>
      <c r="S894" s="11"/>
      <c r="T894" s="12" t="s">
        <v>2112</v>
      </c>
      <c r="U894" s="12">
        <v>46365</v>
      </c>
      <c r="V894" s="4" t="s">
        <v>124</v>
      </c>
      <c r="W894" s="11" t="s">
        <v>2120</v>
      </c>
      <c r="X894" s="11" t="s">
        <v>409</v>
      </c>
      <c r="Y894" s="11" t="s">
        <v>2121</v>
      </c>
      <c r="Z894" s="11">
        <v>0.5</v>
      </c>
      <c r="AA894" s="11"/>
      <c r="AB894" s="12">
        <v>45103</v>
      </c>
      <c r="AC894" s="12">
        <v>46930</v>
      </c>
      <c r="AD894" s="14" t="s">
        <v>2122</v>
      </c>
      <c r="AE894" s="42"/>
      <c r="AF894" s="42"/>
    </row>
    <row r="895" spans="1:32" ht="23.85" customHeight="1" x14ac:dyDescent="0.25">
      <c r="A895" s="44">
        <v>296</v>
      </c>
      <c r="B895" s="42" t="s">
        <v>1660</v>
      </c>
      <c r="C895" s="42" t="s">
        <v>2115</v>
      </c>
      <c r="D895" s="42">
        <v>70366</v>
      </c>
      <c r="E895" s="42" t="s">
        <v>2125</v>
      </c>
      <c r="F895" s="42" t="s">
        <v>31</v>
      </c>
      <c r="G895" s="42" t="s">
        <v>68</v>
      </c>
      <c r="H895" s="42" t="s">
        <v>1663</v>
      </c>
      <c r="I895" s="48" t="s">
        <v>2126</v>
      </c>
      <c r="J895" s="42" t="s">
        <v>71</v>
      </c>
      <c r="K895" s="42"/>
      <c r="L895" s="42" t="s">
        <v>1701</v>
      </c>
      <c r="M895" s="52">
        <v>48797</v>
      </c>
      <c r="N895" s="53" t="s">
        <v>2127</v>
      </c>
      <c r="O895" s="11" t="s">
        <v>1713</v>
      </c>
      <c r="P895" s="11" t="s">
        <v>84</v>
      </c>
      <c r="Q895" s="11" t="s">
        <v>2128</v>
      </c>
      <c r="R895" s="11">
        <v>0.5</v>
      </c>
      <c r="S895" s="11"/>
      <c r="T895" s="12" t="s">
        <v>2112</v>
      </c>
      <c r="U895" s="12">
        <v>46365</v>
      </c>
      <c r="V895" s="4" t="s">
        <v>124</v>
      </c>
      <c r="W895" s="11" t="s">
        <v>2120</v>
      </c>
      <c r="X895" s="11" t="s">
        <v>409</v>
      </c>
      <c r="Y895" s="11" t="s">
        <v>2121</v>
      </c>
      <c r="Z895" s="11">
        <v>0.5</v>
      </c>
      <c r="AA895" s="11"/>
      <c r="AB895" s="12">
        <v>45103</v>
      </c>
      <c r="AC895" s="12">
        <v>46930</v>
      </c>
      <c r="AD895" s="14" t="s">
        <v>2122</v>
      </c>
      <c r="AE895" s="42"/>
      <c r="AF895" s="43" t="s">
        <v>2123</v>
      </c>
    </row>
    <row r="896" spans="1:32" ht="90" x14ac:dyDescent="0.25">
      <c r="A896" s="44"/>
      <c r="B896" s="42"/>
      <c r="C896" s="42"/>
      <c r="D896" s="42"/>
      <c r="E896" s="42"/>
      <c r="F896" s="42"/>
      <c r="G896" s="42"/>
      <c r="H896" s="42"/>
      <c r="I896" s="48"/>
      <c r="J896" s="42"/>
      <c r="K896" s="42"/>
      <c r="L896" s="42"/>
      <c r="M896" s="42"/>
      <c r="N896" s="53"/>
      <c r="O896" s="11" t="s">
        <v>1713</v>
      </c>
      <c r="P896" s="11" t="s">
        <v>84</v>
      </c>
      <c r="Q896" s="11" t="s">
        <v>2129</v>
      </c>
      <c r="R896" s="11">
        <v>0.5</v>
      </c>
      <c r="S896" s="11"/>
      <c r="T896" s="12" t="s">
        <v>2112</v>
      </c>
      <c r="U896" s="12">
        <v>46365</v>
      </c>
      <c r="V896" s="4" t="s">
        <v>124</v>
      </c>
      <c r="W896" s="11" t="s">
        <v>2120</v>
      </c>
      <c r="X896" s="11" t="s">
        <v>409</v>
      </c>
      <c r="Y896" s="11" t="s">
        <v>2121</v>
      </c>
      <c r="Z896" s="11">
        <v>0.5</v>
      </c>
      <c r="AA896" s="11"/>
      <c r="AB896" s="12">
        <v>45103</v>
      </c>
      <c r="AC896" s="12">
        <v>46930</v>
      </c>
      <c r="AD896" s="14" t="s">
        <v>2122</v>
      </c>
      <c r="AE896" s="42"/>
      <c r="AF896" s="42"/>
    </row>
    <row r="897" spans="1:32" ht="90" x14ac:dyDescent="0.25">
      <c r="A897" s="44"/>
      <c r="B897" s="42"/>
      <c r="C897" s="42"/>
      <c r="D897" s="42"/>
      <c r="E897" s="42"/>
      <c r="F897" s="42"/>
      <c r="G897" s="42"/>
      <c r="H897" s="42"/>
      <c r="I897" s="48"/>
      <c r="J897" s="42"/>
      <c r="K897" s="42"/>
      <c r="L897" s="42"/>
      <c r="M897" s="42"/>
      <c r="N897" s="53"/>
      <c r="O897" s="11" t="s">
        <v>1721</v>
      </c>
      <c r="P897" s="11" t="s">
        <v>84</v>
      </c>
      <c r="Q897" s="11" t="s">
        <v>2130</v>
      </c>
      <c r="R897" s="11">
        <v>0.5</v>
      </c>
      <c r="S897" s="11"/>
      <c r="T897" s="12" t="s">
        <v>2112</v>
      </c>
      <c r="U897" s="12">
        <v>46365</v>
      </c>
      <c r="V897" s="4" t="s">
        <v>124</v>
      </c>
      <c r="W897" s="11" t="s">
        <v>2120</v>
      </c>
      <c r="X897" s="11" t="s">
        <v>409</v>
      </c>
      <c r="Y897" s="11" t="s">
        <v>2121</v>
      </c>
      <c r="Z897" s="11">
        <v>0.5</v>
      </c>
      <c r="AA897" s="11"/>
      <c r="AB897" s="12">
        <v>45103</v>
      </c>
      <c r="AC897" s="12">
        <v>46930</v>
      </c>
      <c r="AD897" s="14" t="s">
        <v>2122</v>
      </c>
      <c r="AE897" s="42"/>
      <c r="AF897" s="42"/>
    </row>
    <row r="898" spans="1:32" ht="23.85" customHeight="1" x14ac:dyDescent="0.25">
      <c r="A898" s="44">
        <v>297</v>
      </c>
      <c r="B898" s="42" t="s">
        <v>1660</v>
      </c>
      <c r="C898" s="42" t="s">
        <v>2115</v>
      </c>
      <c r="D898" s="42">
        <v>70366</v>
      </c>
      <c r="E898" s="42" t="s">
        <v>2131</v>
      </c>
      <c r="F898" s="42" t="s">
        <v>31</v>
      </c>
      <c r="G898" s="42" t="s">
        <v>68</v>
      </c>
      <c r="H898" s="42" t="s">
        <v>1663</v>
      </c>
      <c r="I898" s="48" t="s">
        <v>2132</v>
      </c>
      <c r="J898" s="42" t="s">
        <v>71</v>
      </c>
      <c r="K898" s="42"/>
      <c r="L898" s="42" t="s">
        <v>2133</v>
      </c>
      <c r="M898" s="52">
        <v>48731</v>
      </c>
      <c r="N898" s="53" t="s">
        <v>2134</v>
      </c>
      <c r="O898" s="11" t="s">
        <v>1713</v>
      </c>
      <c r="P898" s="11" t="s">
        <v>116</v>
      </c>
      <c r="Q898" s="11" t="s">
        <v>2135</v>
      </c>
      <c r="R898" s="11">
        <v>0.5</v>
      </c>
      <c r="S898" s="11"/>
      <c r="T898" s="12" t="s">
        <v>2112</v>
      </c>
      <c r="U898" s="12">
        <v>46365</v>
      </c>
      <c r="V898" s="4" t="s">
        <v>124</v>
      </c>
      <c r="W898" s="11" t="s">
        <v>2120</v>
      </c>
      <c r="X898" s="11" t="s">
        <v>409</v>
      </c>
      <c r="Y898" s="11" t="s">
        <v>2121</v>
      </c>
      <c r="Z898" s="11">
        <v>0.5</v>
      </c>
      <c r="AA898" s="11"/>
      <c r="AB898" s="12">
        <v>45103</v>
      </c>
      <c r="AC898" s="12">
        <v>46930</v>
      </c>
      <c r="AD898" s="14" t="s">
        <v>2122</v>
      </c>
      <c r="AE898" s="42"/>
      <c r="AF898" s="43" t="s">
        <v>2123</v>
      </c>
    </row>
    <row r="899" spans="1:32" ht="90" x14ac:dyDescent="0.25">
      <c r="A899" s="44"/>
      <c r="B899" s="42"/>
      <c r="C899" s="42"/>
      <c r="D899" s="42"/>
      <c r="E899" s="42"/>
      <c r="F899" s="42"/>
      <c r="G899" s="42"/>
      <c r="H899" s="42"/>
      <c r="I899" s="48"/>
      <c r="J899" s="42"/>
      <c r="K899" s="42"/>
      <c r="L899" s="42"/>
      <c r="M899" s="42"/>
      <c r="N899" s="53"/>
      <c r="O899" s="11" t="s">
        <v>1713</v>
      </c>
      <c r="P899" s="11" t="s">
        <v>116</v>
      </c>
      <c r="Q899" s="11" t="s">
        <v>2136</v>
      </c>
      <c r="R899" s="11">
        <v>0.5</v>
      </c>
      <c r="S899" s="11"/>
      <c r="T899" s="12" t="s">
        <v>2112</v>
      </c>
      <c r="U899" s="12">
        <v>46365</v>
      </c>
      <c r="V899" s="4" t="s">
        <v>124</v>
      </c>
      <c r="W899" s="11" t="s">
        <v>2120</v>
      </c>
      <c r="X899" s="11" t="s">
        <v>409</v>
      </c>
      <c r="Y899" s="11" t="s">
        <v>2121</v>
      </c>
      <c r="Z899" s="11">
        <v>0.5</v>
      </c>
      <c r="AA899" s="11"/>
      <c r="AB899" s="12">
        <v>45103</v>
      </c>
      <c r="AC899" s="12">
        <v>46930</v>
      </c>
      <c r="AD899" s="14" t="s">
        <v>2122</v>
      </c>
      <c r="AE899" s="42"/>
      <c r="AF899" s="42"/>
    </row>
    <row r="900" spans="1:32" ht="90" x14ac:dyDescent="0.25">
      <c r="A900" s="44"/>
      <c r="B900" s="42"/>
      <c r="C900" s="42"/>
      <c r="D900" s="42"/>
      <c r="E900" s="42"/>
      <c r="F900" s="42"/>
      <c r="G900" s="42"/>
      <c r="H900" s="42"/>
      <c r="I900" s="48"/>
      <c r="J900" s="42"/>
      <c r="K900" s="42"/>
      <c r="L900" s="42"/>
      <c r="M900" s="42"/>
      <c r="N900" s="53"/>
      <c r="O900" s="11" t="s">
        <v>1721</v>
      </c>
      <c r="P900" s="11" t="s">
        <v>116</v>
      </c>
      <c r="Q900" s="11" t="s">
        <v>2137</v>
      </c>
      <c r="R900" s="11">
        <v>0.5</v>
      </c>
      <c r="S900" s="11"/>
      <c r="T900" s="12" t="s">
        <v>2112</v>
      </c>
      <c r="U900" s="12">
        <v>46365</v>
      </c>
      <c r="V900" s="4" t="s">
        <v>124</v>
      </c>
      <c r="W900" s="11" t="s">
        <v>2120</v>
      </c>
      <c r="X900" s="11" t="s">
        <v>409</v>
      </c>
      <c r="Y900" s="11" t="s">
        <v>2121</v>
      </c>
      <c r="Z900" s="11">
        <v>0.5</v>
      </c>
      <c r="AA900" s="11"/>
      <c r="AB900" s="12">
        <v>45103</v>
      </c>
      <c r="AC900" s="12">
        <v>46930</v>
      </c>
      <c r="AD900" s="14" t="s">
        <v>2122</v>
      </c>
      <c r="AE900" s="42"/>
      <c r="AF900" s="42"/>
    </row>
    <row r="901" spans="1:32" ht="23.85" customHeight="1" x14ac:dyDescent="0.25">
      <c r="A901" s="44">
        <v>298</v>
      </c>
      <c r="B901" s="42" t="s">
        <v>1660</v>
      </c>
      <c r="C901" s="42" t="s">
        <v>2115</v>
      </c>
      <c r="D901" s="42">
        <v>70366</v>
      </c>
      <c r="E901" s="42" t="s">
        <v>2138</v>
      </c>
      <c r="F901" s="42" t="s">
        <v>31</v>
      </c>
      <c r="G901" s="42" t="s">
        <v>68</v>
      </c>
      <c r="H901" s="42" t="s">
        <v>1663</v>
      </c>
      <c r="I901" s="48" t="s">
        <v>2139</v>
      </c>
      <c r="J901" s="42" t="s">
        <v>71</v>
      </c>
      <c r="K901" s="42"/>
      <c r="L901" s="42" t="s">
        <v>1701</v>
      </c>
      <c r="M901" s="52">
        <v>48797</v>
      </c>
      <c r="N901" s="53" t="s">
        <v>2140</v>
      </c>
      <c r="O901" s="11" t="s">
        <v>1713</v>
      </c>
      <c r="P901" s="11" t="s">
        <v>84</v>
      </c>
      <c r="Q901" s="11" t="s">
        <v>2141</v>
      </c>
      <c r="R901" s="11">
        <v>0.5</v>
      </c>
      <c r="S901" s="11"/>
      <c r="T901" s="12" t="s">
        <v>2112</v>
      </c>
      <c r="U901" s="12">
        <v>46365</v>
      </c>
      <c r="V901" s="4" t="s">
        <v>124</v>
      </c>
      <c r="W901" s="11" t="s">
        <v>2120</v>
      </c>
      <c r="X901" s="11" t="s">
        <v>409</v>
      </c>
      <c r="Y901" s="11" t="s">
        <v>2142</v>
      </c>
      <c r="Z901" s="11">
        <v>0.5</v>
      </c>
      <c r="AA901" s="11"/>
      <c r="AB901" s="12">
        <v>45103</v>
      </c>
      <c r="AC901" s="12">
        <v>46930</v>
      </c>
      <c r="AD901" s="14" t="s">
        <v>2143</v>
      </c>
      <c r="AE901" s="42"/>
      <c r="AF901" s="43" t="s">
        <v>2123</v>
      </c>
    </row>
    <row r="902" spans="1:32" ht="90" x14ac:dyDescent="0.25">
      <c r="A902" s="44"/>
      <c r="B902" s="42"/>
      <c r="C902" s="42"/>
      <c r="D902" s="42"/>
      <c r="E902" s="42"/>
      <c r="F902" s="42"/>
      <c r="G902" s="42"/>
      <c r="H902" s="42"/>
      <c r="I902" s="48"/>
      <c r="J902" s="42"/>
      <c r="K902" s="42"/>
      <c r="L902" s="42"/>
      <c r="M902" s="42"/>
      <c r="N902" s="53"/>
      <c r="O902" s="11" t="s">
        <v>1713</v>
      </c>
      <c r="P902" s="11" t="s">
        <v>84</v>
      </c>
      <c r="Q902" s="11" t="s">
        <v>2144</v>
      </c>
      <c r="R902" s="11">
        <v>0.5</v>
      </c>
      <c r="S902" s="11"/>
      <c r="T902" s="12" t="s">
        <v>2112</v>
      </c>
      <c r="U902" s="12">
        <v>46365</v>
      </c>
      <c r="V902" s="4" t="s">
        <v>124</v>
      </c>
      <c r="W902" s="11" t="s">
        <v>2120</v>
      </c>
      <c r="X902" s="11" t="s">
        <v>409</v>
      </c>
      <c r="Y902" s="11" t="s">
        <v>2142</v>
      </c>
      <c r="Z902" s="11">
        <v>0.5</v>
      </c>
      <c r="AA902" s="11"/>
      <c r="AB902" s="12">
        <v>45103</v>
      </c>
      <c r="AC902" s="12">
        <v>46930</v>
      </c>
      <c r="AD902" s="14" t="s">
        <v>2143</v>
      </c>
      <c r="AE902" s="42"/>
      <c r="AF902" s="42"/>
    </row>
    <row r="903" spans="1:32" ht="90" x14ac:dyDescent="0.25">
      <c r="A903" s="44"/>
      <c r="B903" s="42"/>
      <c r="C903" s="42"/>
      <c r="D903" s="42"/>
      <c r="E903" s="42"/>
      <c r="F903" s="42"/>
      <c r="G903" s="42"/>
      <c r="H903" s="42"/>
      <c r="I903" s="48"/>
      <c r="J903" s="42"/>
      <c r="K903" s="42"/>
      <c r="L903" s="42"/>
      <c r="M903" s="42"/>
      <c r="N903" s="53"/>
      <c r="O903" s="11" t="s">
        <v>1721</v>
      </c>
      <c r="P903" s="11" t="s">
        <v>84</v>
      </c>
      <c r="Q903" s="11" t="s">
        <v>2145</v>
      </c>
      <c r="R903" s="11">
        <v>0.5</v>
      </c>
      <c r="S903" s="11"/>
      <c r="T903" s="12" t="s">
        <v>2112</v>
      </c>
      <c r="U903" s="12">
        <v>46365</v>
      </c>
      <c r="V903" s="4" t="s">
        <v>124</v>
      </c>
      <c r="W903" s="11" t="s">
        <v>2120</v>
      </c>
      <c r="X903" s="11" t="s">
        <v>409</v>
      </c>
      <c r="Y903" s="11" t="s">
        <v>2142</v>
      </c>
      <c r="Z903" s="11">
        <v>0.5</v>
      </c>
      <c r="AA903" s="11"/>
      <c r="AB903" s="12">
        <v>45103</v>
      </c>
      <c r="AC903" s="12">
        <v>46930</v>
      </c>
      <c r="AD903" s="14" t="s">
        <v>2143</v>
      </c>
      <c r="AE903" s="42"/>
      <c r="AF903" s="42"/>
    </row>
    <row r="904" spans="1:32" ht="23.85" customHeight="1" x14ac:dyDescent="0.25">
      <c r="A904" s="44">
        <v>299</v>
      </c>
      <c r="B904" s="42" t="s">
        <v>1660</v>
      </c>
      <c r="C904" s="42" t="s">
        <v>2115</v>
      </c>
      <c r="D904" s="42">
        <v>70366</v>
      </c>
      <c r="E904" s="42" t="s">
        <v>2146</v>
      </c>
      <c r="F904" s="42" t="s">
        <v>31</v>
      </c>
      <c r="G904" s="42" t="s">
        <v>32</v>
      </c>
      <c r="H904" s="42" t="s">
        <v>1663</v>
      </c>
      <c r="I904" s="48" t="s">
        <v>2147</v>
      </c>
      <c r="J904" s="42" t="s">
        <v>71</v>
      </c>
      <c r="K904" s="42"/>
      <c r="L904" s="42" t="s">
        <v>1695</v>
      </c>
      <c r="M904" s="52">
        <v>48759</v>
      </c>
      <c r="N904" s="53" t="s">
        <v>2148</v>
      </c>
      <c r="O904" s="11" t="s">
        <v>1713</v>
      </c>
      <c r="P904" s="11" t="s">
        <v>156</v>
      </c>
      <c r="Q904" s="11" t="s">
        <v>2149</v>
      </c>
      <c r="R904" s="11">
        <v>0.5</v>
      </c>
      <c r="S904" s="11"/>
      <c r="T904" s="12">
        <v>44897</v>
      </c>
      <c r="U904" s="12">
        <v>46358</v>
      </c>
      <c r="V904" s="13" t="s">
        <v>2150</v>
      </c>
      <c r="W904" s="11" t="s">
        <v>2120</v>
      </c>
      <c r="X904" s="11" t="s">
        <v>409</v>
      </c>
      <c r="Y904" s="11" t="s">
        <v>2142</v>
      </c>
      <c r="Z904" s="11">
        <v>0.5</v>
      </c>
      <c r="AA904" s="11"/>
      <c r="AB904" s="12">
        <v>45103</v>
      </c>
      <c r="AC904" s="12">
        <v>46930</v>
      </c>
      <c r="AD904" s="14" t="s">
        <v>2143</v>
      </c>
      <c r="AE904" s="42"/>
      <c r="AF904" s="43" t="s">
        <v>2123</v>
      </c>
    </row>
    <row r="905" spans="1:32" ht="90" x14ac:dyDescent="0.25">
      <c r="A905" s="44"/>
      <c r="B905" s="42"/>
      <c r="C905" s="42"/>
      <c r="D905" s="42"/>
      <c r="E905" s="42"/>
      <c r="F905" s="42"/>
      <c r="G905" s="42"/>
      <c r="H905" s="42"/>
      <c r="I905" s="48"/>
      <c r="J905" s="42"/>
      <c r="K905" s="42"/>
      <c r="L905" s="42"/>
      <c r="M905" s="42"/>
      <c r="N905" s="53"/>
      <c r="O905" s="11" t="s">
        <v>1713</v>
      </c>
      <c r="P905" s="11" t="s">
        <v>156</v>
      </c>
      <c r="Q905" s="20" t="s">
        <v>2151</v>
      </c>
      <c r="R905" s="11">
        <v>0.5</v>
      </c>
      <c r="S905" s="11"/>
      <c r="T905" s="12">
        <v>45624</v>
      </c>
      <c r="U905" s="12">
        <v>47085</v>
      </c>
      <c r="V905" s="5" t="s">
        <v>336</v>
      </c>
      <c r="W905" s="11" t="s">
        <v>2120</v>
      </c>
      <c r="X905" s="11" t="s">
        <v>409</v>
      </c>
      <c r="Y905" s="11" t="s">
        <v>2142</v>
      </c>
      <c r="Z905" s="11">
        <v>0.5</v>
      </c>
      <c r="AA905" s="11"/>
      <c r="AB905" s="12">
        <v>45103</v>
      </c>
      <c r="AC905" s="12">
        <v>46930</v>
      </c>
      <c r="AD905" s="14" t="s">
        <v>2143</v>
      </c>
      <c r="AE905" s="42"/>
      <c r="AF905" s="42"/>
    </row>
    <row r="906" spans="1:32" ht="90" x14ac:dyDescent="0.25">
      <c r="A906" s="44"/>
      <c r="B906" s="42"/>
      <c r="C906" s="42"/>
      <c r="D906" s="42"/>
      <c r="E906" s="42"/>
      <c r="F906" s="42"/>
      <c r="G906" s="42"/>
      <c r="H906" s="42"/>
      <c r="I906" s="48"/>
      <c r="J906" s="42"/>
      <c r="K906" s="42"/>
      <c r="L906" s="42"/>
      <c r="M906" s="42"/>
      <c r="N906" s="53"/>
      <c r="O906" s="11" t="s">
        <v>1721</v>
      </c>
      <c r="P906" s="11" t="s">
        <v>156</v>
      </c>
      <c r="Q906" s="11" t="s">
        <v>2152</v>
      </c>
      <c r="R906" s="11">
        <v>0.5</v>
      </c>
      <c r="S906" s="11"/>
      <c r="T906" s="12">
        <v>44897</v>
      </c>
      <c r="U906" s="12">
        <v>46358</v>
      </c>
      <c r="V906" s="13" t="s">
        <v>2153</v>
      </c>
      <c r="W906" s="11" t="s">
        <v>2120</v>
      </c>
      <c r="X906" s="11" t="s">
        <v>409</v>
      </c>
      <c r="Y906" s="11" t="s">
        <v>2142</v>
      </c>
      <c r="Z906" s="11">
        <v>0.5</v>
      </c>
      <c r="AA906" s="11"/>
      <c r="AB906" s="12">
        <v>45103</v>
      </c>
      <c r="AC906" s="12">
        <v>46930</v>
      </c>
      <c r="AD906" s="14" t="s">
        <v>2143</v>
      </c>
      <c r="AE906" s="42"/>
      <c r="AF906" s="42"/>
    </row>
    <row r="907" spans="1:32" ht="23.85" customHeight="1" x14ac:dyDescent="0.25">
      <c r="A907" s="44">
        <v>300</v>
      </c>
      <c r="B907" s="42" t="s">
        <v>1660</v>
      </c>
      <c r="C907" s="42" t="s">
        <v>2115</v>
      </c>
      <c r="D907" s="42">
        <v>70366</v>
      </c>
      <c r="E907" s="42" t="s">
        <v>2154</v>
      </c>
      <c r="F907" s="42" t="s">
        <v>31</v>
      </c>
      <c r="G907" s="42" t="s">
        <v>32</v>
      </c>
      <c r="H907" s="42" t="s">
        <v>1663</v>
      </c>
      <c r="I907" s="48" t="s">
        <v>2155</v>
      </c>
      <c r="J907" s="42" t="s">
        <v>71</v>
      </c>
      <c r="K907" s="42"/>
      <c r="L907" s="42" t="s">
        <v>1701</v>
      </c>
      <c r="M907" s="52">
        <v>48797</v>
      </c>
      <c r="N907" s="53" t="s">
        <v>2156</v>
      </c>
      <c r="O907" s="11" t="s">
        <v>1713</v>
      </c>
      <c r="P907" s="11" t="s">
        <v>163</v>
      </c>
      <c r="Q907" s="11" t="s">
        <v>2157</v>
      </c>
      <c r="R907" s="11">
        <v>0.5</v>
      </c>
      <c r="S907" s="11"/>
      <c r="T907" s="12">
        <v>44760</v>
      </c>
      <c r="U907" s="12">
        <v>46221</v>
      </c>
      <c r="V907" s="13" t="s">
        <v>2158</v>
      </c>
      <c r="W907" s="11" t="s">
        <v>2120</v>
      </c>
      <c r="X907" s="11" t="s">
        <v>409</v>
      </c>
      <c r="Y907" s="11" t="s">
        <v>2142</v>
      </c>
      <c r="Z907" s="11">
        <v>0.5</v>
      </c>
      <c r="AA907" s="11"/>
      <c r="AB907" s="12">
        <v>45103</v>
      </c>
      <c r="AC907" s="12">
        <v>46930</v>
      </c>
      <c r="AD907" s="14" t="s">
        <v>2143</v>
      </c>
      <c r="AE907" s="42"/>
      <c r="AF907" s="43" t="s">
        <v>2123</v>
      </c>
    </row>
    <row r="908" spans="1:32" ht="90" x14ac:dyDescent="0.25">
      <c r="A908" s="44"/>
      <c r="B908" s="42"/>
      <c r="C908" s="42"/>
      <c r="D908" s="42"/>
      <c r="E908" s="42"/>
      <c r="F908" s="42"/>
      <c r="G908" s="42"/>
      <c r="H908" s="42"/>
      <c r="I908" s="48"/>
      <c r="J908" s="42"/>
      <c r="K908" s="42"/>
      <c r="L908" s="42"/>
      <c r="M908" s="42"/>
      <c r="N908" s="53"/>
      <c r="O908" s="11" t="s">
        <v>77</v>
      </c>
      <c r="P908" s="11" t="s">
        <v>77</v>
      </c>
      <c r="Q908" s="11" t="s">
        <v>77</v>
      </c>
      <c r="R908" s="11" t="s">
        <v>77</v>
      </c>
      <c r="S908" s="11"/>
      <c r="T908" s="12" t="s">
        <v>77</v>
      </c>
      <c r="U908" s="12" t="s">
        <v>77</v>
      </c>
      <c r="V908" s="4"/>
      <c r="W908" s="11" t="s">
        <v>2120</v>
      </c>
      <c r="X908" s="11" t="s">
        <v>409</v>
      </c>
      <c r="Y908" s="11" t="s">
        <v>2142</v>
      </c>
      <c r="Z908" s="11">
        <v>0.5</v>
      </c>
      <c r="AA908" s="11"/>
      <c r="AB908" s="12">
        <v>45103</v>
      </c>
      <c r="AC908" s="12">
        <v>46930</v>
      </c>
      <c r="AD908" s="14" t="s">
        <v>2143</v>
      </c>
      <c r="AE908" s="42"/>
      <c r="AF908" s="42"/>
    </row>
    <row r="909" spans="1:32" ht="90" x14ac:dyDescent="0.25">
      <c r="A909" s="44"/>
      <c r="B909" s="42"/>
      <c r="C909" s="42"/>
      <c r="D909" s="42"/>
      <c r="E909" s="42"/>
      <c r="F909" s="42"/>
      <c r="G909" s="42"/>
      <c r="H909" s="42"/>
      <c r="I909" s="48"/>
      <c r="J909" s="42"/>
      <c r="K909" s="42"/>
      <c r="L909" s="42"/>
      <c r="M909" s="42"/>
      <c r="N909" s="53"/>
      <c r="O909" s="11" t="s">
        <v>1721</v>
      </c>
      <c r="P909" s="11" t="s">
        <v>163</v>
      </c>
      <c r="Q909" s="11">
        <v>15198</v>
      </c>
      <c r="R909" s="11">
        <v>0.5</v>
      </c>
      <c r="S909" s="11"/>
      <c r="T909" s="12">
        <v>44760</v>
      </c>
      <c r="U909" s="12">
        <v>46221</v>
      </c>
      <c r="V909" s="13" t="s">
        <v>2159</v>
      </c>
      <c r="W909" s="11" t="s">
        <v>2120</v>
      </c>
      <c r="X909" s="11" t="s">
        <v>409</v>
      </c>
      <c r="Y909" s="11" t="s">
        <v>2142</v>
      </c>
      <c r="Z909" s="11">
        <v>0.5</v>
      </c>
      <c r="AA909" s="11"/>
      <c r="AB909" s="12">
        <v>45103</v>
      </c>
      <c r="AC909" s="12">
        <v>46930</v>
      </c>
      <c r="AD909" s="14" t="s">
        <v>2143</v>
      </c>
      <c r="AE909" s="42"/>
      <c r="AF909" s="42"/>
    </row>
    <row r="910" spans="1:32" ht="46.35" customHeight="1" x14ac:dyDescent="0.25">
      <c r="A910" s="44">
        <v>301</v>
      </c>
      <c r="B910" s="42" t="s">
        <v>1660</v>
      </c>
      <c r="C910" s="42" t="s">
        <v>2115</v>
      </c>
      <c r="D910" s="42">
        <v>70366</v>
      </c>
      <c r="E910" s="42" t="s">
        <v>2160</v>
      </c>
      <c r="F910" s="42" t="s">
        <v>31</v>
      </c>
      <c r="G910" s="42" t="s">
        <v>32</v>
      </c>
      <c r="H910" s="42" t="s">
        <v>1663</v>
      </c>
      <c r="I910" s="48" t="s">
        <v>2161</v>
      </c>
      <c r="J910" s="42" t="s">
        <v>71</v>
      </c>
      <c r="K910" s="42"/>
      <c r="L910" s="42" t="s">
        <v>1695</v>
      </c>
      <c r="M910" s="52">
        <v>48759</v>
      </c>
      <c r="N910" s="53" t="s">
        <v>2162</v>
      </c>
      <c r="O910" s="11" t="s">
        <v>1713</v>
      </c>
      <c r="P910" s="11" t="s">
        <v>84</v>
      </c>
      <c r="Q910" s="11" t="s">
        <v>2163</v>
      </c>
      <c r="R910" s="11">
        <v>0.5</v>
      </c>
      <c r="S910" s="11"/>
      <c r="T910" s="12">
        <v>44760</v>
      </c>
      <c r="U910" s="12">
        <v>46221</v>
      </c>
      <c r="V910" s="5" t="s">
        <v>336</v>
      </c>
      <c r="W910" s="11" t="s">
        <v>2120</v>
      </c>
      <c r="X910" s="11" t="s">
        <v>409</v>
      </c>
      <c r="Y910" s="11" t="s">
        <v>2142</v>
      </c>
      <c r="Z910" s="11">
        <v>0.5</v>
      </c>
      <c r="AA910" s="11"/>
      <c r="AB910" s="12">
        <v>45103</v>
      </c>
      <c r="AC910" s="12">
        <v>46930</v>
      </c>
      <c r="AD910" s="14" t="s">
        <v>2143</v>
      </c>
      <c r="AE910" s="42"/>
      <c r="AF910" s="43" t="s">
        <v>2123</v>
      </c>
    </row>
    <row r="911" spans="1:32" ht="90" x14ac:dyDescent="0.25">
      <c r="A911" s="44"/>
      <c r="B911" s="42"/>
      <c r="C911" s="42"/>
      <c r="D911" s="42"/>
      <c r="E911" s="42"/>
      <c r="F911" s="42"/>
      <c r="G911" s="42"/>
      <c r="H911" s="42"/>
      <c r="I911" s="48"/>
      <c r="J911" s="42"/>
      <c r="K911" s="42"/>
      <c r="L911" s="42"/>
      <c r="M911" s="42"/>
      <c r="N911" s="53"/>
      <c r="O911" s="11" t="s">
        <v>1713</v>
      </c>
      <c r="P911" s="11" t="s">
        <v>84</v>
      </c>
      <c r="Q911" s="11" t="s">
        <v>2164</v>
      </c>
      <c r="R911" s="11">
        <v>0.5</v>
      </c>
      <c r="S911" s="11"/>
      <c r="T911" s="12">
        <v>44760</v>
      </c>
      <c r="U911" s="12">
        <v>46221</v>
      </c>
      <c r="V911" s="5" t="s">
        <v>336</v>
      </c>
      <c r="W911" s="11" t="s">
        <v>2120</v>
      </c>
      <c r="X911" s="11" t="s">
        <v>409</v>
      </c>
      <c r="Y911" s="11" t="s">
        <v>2142</v>
      </c>
      <c r="Z911" s="11">
        <v>0.5</v>
      </c>
      <c r="AA911" s="11"/>
      <c r="AB911" s="12">
        <v>45103</v>
      </c>
      <c r="AC911" s="12">
        <v>46930</v>
      </c>
      <c r="AD911" s="14" t="s">
        <v>2143</v>
      </c>
      <c r="AE911" s="42"/>
      <c r="AF911" s="42"/>
    </row>
    <row r="912" spans="1:32" ht="90" x14ac:dyDescent="0.25">
      <c r="A912" s="44"/>
      <c r="B912" s="42"/>
      <c r="C912" s="42"/>
      <c r="D912" s="42"/>
      <c r="E912" s="42"/>
      <c r="F912" s="42"/>
      <c r="G912" s="42"/>
      <c r="H912" s="42"/>
      <c r="I912" s="48"/>
      <c r="J912" s="42"/>
      <c r="K912" s="42"/>
      <c r="L912" s="42"/>
      <c r="M912" s="42"/>
      <c r="N912" s="53"/>
      <c r="O912" s="11" t="s">
        <v>1721</v>
      </c>
      <c r="P912" s="11" t="s">
        <v>84</v>
      </c>
      <c r="Q912" s="11">
        <v>24477</v>
      </c>
      <c r="R912" s="11">
        <v>0.5</v>
      </c>
      <c r="S912" s="11"/>
      <c r="T912" s="12">
        <v>44760</v>
      </c>
      <c r="U912" s="12">
        <v>46221</v>
      </c>
      <c r="V912" s="5" t="s">
        <v>336</v>
      </c>
      <c r="W912" s="11" t="s">
        <v>2120</v>
      </c>
      <c r="X912" s="11" t="s">
        <v>409</v>
      </c>
      <c r="Y912" s="11" t="s">
        <v>2142</v>
      </c>
      <c r="Z912" s="11">
        <v>0.5</v>
      </c>
      <c r="AA912" s="11"/>
      <c r="AB912" s="12">
        <v>45103</v>
      </c>
      <c r="AC912" s="12">
        <v>46930</v>
      </c>
      <c r="AD912" s="14" t="s">
        <v>2143</v>
      </c>
      <c r="AE912" s="42"/>
      <c r="AF912" s="42"/>
    </row>
    <row r="913" spans="1:32" ht="46.35" customHeight="1" x14ac:dyDescent="0.25">
      <c r="A913" s="44">
        <v>302</v>
      </c>
      <c r="B913" s="42" t="s">
        <v>1660</v>
      </c>
      <c r="C913" s="42" t="s">
        <v>2115</v>
      </c>
      <c r="D913" s="42">
        <v>70366</v>
      </c>
      <c r="E913" s="42" t="s">
        <v>2165</v>
      </c>
      <c r="F913" s="42" t="s">
        <v>31</v>
      </c>
      <c r="G913" s="42" t="s">
        <v>32</v>
      </c>
      <c r="H913" s="42" t="s">
        <v>1663</v>
      </c>
      <c r="I913" s="48" t="s">
        <v>2166</v>
      </c>
      <c r="J913" s="42" t="s">
        <v>71</v>
      </c>
      <c r="K913" s="42"/>
      <c r="L913" s="42" t="s">
        <v>2167</v>
      </c>
      <c r="M913" s="52">
        <v>48758</v>
      </c>
      <c r="N913" s="53" t="s">
        <v>2168</v>
      </c>
      <c r="O913" s="11" t="s">
        <v>1713</v>
      </c>
      <c r="P913" s="11" t="s">
        <v>84</v>
      </c>
      <c r="Q913" s="11" t="s">
        <v>2169</v>
      </c>
      <c r="R913" s="11">
        <v>0.5</v>
      </c>
      <c r="S913" s="11"/>
      <c r="T913" s="12" t="s">
        <v>2112</v>
      </c>
      <c r="U913" s="12">
        <v>46365</v>
      </c>
      <c r="V913" s="5" t="s">
        <v>336</v>
      </c>
      <c r="W913" s="11" t="s">
        <v>2120</v>
      </c>
      <c r="X913" s="11" t="s">
        <v>409</v>
      </c>
      <c r="Y913" s="11" t="s">
        <v>2142</v>
      </c>
      <c r="Z913" s="11">
        <v>0.5</v>
      </c>
      <c r="AA913" s="11"/>
      <c r="AB913" s="12">
        <v>45103</v>
      </c>
      <c r="AC913" s="12">
        <v>46930</v>
      </c>
      <c r="AD913" s="14" t="s">
        <v>2143</v>
      </c>
      <c r="AE913" s="42"/>
      <c r="AF913" s="43" t="s">
        <v>2123</v>
      </c>
    </row>
    <row r="914" spans="1:32" ht="90" x14ac:dyDescent="0.25">
      <c r="A914" s="44"/>
      <c r="B914" s="42"/>
      <c r="C914" s="42"/>
      <c r="D914" s="42"/>
      <c r="E914" s="42"/>
      <c r="F914" s="42"/>
      <c r="G914" s="42"/>
      <c r="H914" s="42"/>
      <c r="I914" s="48"/>
      <c r="J914" s="42"/>
      <c r="K914" s="42"/>
      <c r="L914" s="42"/>
      <c r="M914" s="42"/>
      <c r="N914" s="53"/>
      <c r="O914" s="11" t="s">
        <v>1713</v>
      </c>
      <c r="P914" s="11" t="s">
        <v>84</v>
      </c>
      <c r="Q914" s="11" t="s">
        <v>2170</v>
      </c>
      <c r="R914" s="11">
        <v>0.5</v>
      </c>
      <c r="S914" s="11"/>
      <c r="T914" s="12" t="s">
        <v>2112</v>
      </c>
      <c r="U914" s="12">
        <v>46365</v>
      </c>
      <c r="V914" s="5" t="s">
        <v>336</v>
      </c>
      <c r="W914" s="11" t="s">
        <v>2120</v>
      </c>
      <c r="X914" s="11" t="s">
        <v>409</v>
      </c>
      <c r="Y914" s="11" t="s">
        <v>2142</v>
      </c>
      <c r="Z914" s="11">
        <v>0.5</v>
      </c>
      <c r="AA914" s="11"/>
      <c r="AB914" s="12">
        <v>45103</v>
      </c>
      <c r="AC914" s="12">
        <v>46930</v>
      </c>
      <c r="AD914" s="14" t="s">
        <v>2143</v>
      </c>
      <c r="AE914" s="42"/>
      <c r="AF914" s="42"/>
    </row>
    <row r="915" spans="1:32" ht="90" x14ac:dyDescent="0.25">
      <c r="A915" s="44"/>
      <c r="B915" s="42"/>
      <c r="C915" s="42"/>
      <c r="D915" s="42"/>
      <c r="E915" s="42"/>
      <c r="F915" s="42"/>
      <c r="G915" s="42"/>
      <c r="H915" s="42"/>
      <c r="I915" s="48"/>
      <c r="J915" s="42"/>
      <c r="K915" s="42"/>
      <c r="L915" s="42"/>
      <c r="M915" s="42"/>
      <c r="N915" s="53"/>
      <c r="O915" s="11" t="s">
        <v>1721</v>
      </c>
      <c r="P915" s="11" t="s">
        <v>84</v>
      </c>
      <c r="Q915" s="11" t="s">
        <v>2171</v>
      </c>
      <c r="R915" s="11">
        <v>0.5</v>
      </c>
      <c r="S915" s="11"/>
      <c r="T915" s="12" t="s">
        <v>2112</v>
      </c>
      <c r="U915" s="12">
        <v>46365</v>
      </c>
      <c r="V915" s="5" t="s">
        <v>336</v>
      </c>
      <c r="W915" s="11" t="s">
        <v>2120</v>
      </c>
      <c r="X915" s="11" t="s">
        <v>409</v>
      </c>
      <c r="Y915" s="11" t="s">
        <v>2142</v>
      </c>
      <c r="Z915" s="11">
        <v>0.5</v>
      </c>
      <c r="AA915" s="11"/>
      <c r="AB915" s="12">
        <v>45103</v>
      </c>
      <c r="AC915" s="12">
        <v>46930</v>
      </c>
      <c r="AD915" s="14" t="s">
        <v>2143</v>
      </c>
      <c r="AE915" s="42"/>
      <c r="AF915" s="42"/>
    </row>
    <row r="916" spans="1:32" ht="46.35" customHeight="1" x14ac:dyDescent="0.25">
      <c r="A916" s="44">
        <v>303</v>
      </c>
      <c r="B916" s="42" t="s">
        <v>1660</v>
      </c>
      <c r="C916" s="42" t="s">
        <v>2115</v>
      </c>
      <c r="D916" s="42">
        <v>70366</v>
      </c>
      <c r="E916" s="42" t="s">
        <v>2172</v>
      </c>
      <c r="F916" s="42" t="s">
        <v>31</v>
      </c>
      <c r="G916" s="42" t="s">
        <v>68</v>
      </c>
      <c r="H916" s="42" t="s">
        <v>1663</v>
      </c>
      <c r="I916" s="48" t="s">
        <v>2173</v>
      </c>
      <c r="J916" s="42" t="s">
        <v>71</v>
      </c>
      <c r="K916" s="42"/>
      <c r="L916" s="42" t="s">
        <v>2133</v>
      </c>
      <c r="M916" s="52">
        <v>48731</v>
      </c>
      <c r="N916" s="53" t="s">
        <v>2174</v>
      </c>
      <c r="O916" s="11" t="s">
        <v>1713</v>
      </c>
      <c r="P916" s="11" t="s">
        <v>116</v>
      </c>
      <c r="Q916" s="11" t="s">
        <v>2175</v>
      </c>
      <c r="R916" s="11">
        <v>0.5</v>
      </c>
      <c r="S916" s="11"/>
      <c r="T916" s="12" t="s">
        <v>2112</v>
      </c>
      <c r="U916" s="12">
        <v>46365</v>
      </c>
      <c r="V916" s="5" t="s">
        <v>336</v>
      </c>
      <c r="W916" s="11" t="s">
        <v>2120</v>
      </c>
      <c r="X916" s="11" t="s">
        <v>409</v>
      </c>
      <c r="Y916" s="11" t="s">
        <v>2142</v>
      </c>
      <c r="Z916" s="11">
        <v>0.5</v>
      </c>
      <c r="AA916" s="11"/>
      <c r="AB916" s="12">
        <v>45103</v>
      </c>
      <c r="AC916" s="12">
        <v>46930</v>
      </c>
      <c r="AD916" s="14" t="s">
        <v>2143</v>
      </c>
      <c r="AE916" s="42"/>
      <c r="AF916" s="43" t="s">
        <v>2123</v>
      </c>
    </row>
    <row r="917" spans="1:32" ht="90" x14ac:dyDescent="0.25">
      <c r="A917" s="44"/>
      <c r="B917" s="42"/>
      <c r="C917" s="42"/>
      <c r="D917" s="42"/>
      <c r="E917" s="42"/>
      <c r="F917" s="42"/>
      <c r="G917" s="42"/>
      <c r="H917" s="42"/>
      <c r="I917" s="48"/>
      <c r="J917" s="42"/>
      <c r="K917" s="42"/>
      <c r="L917" s="42"/>
      <c r="M917" s="42"/>
      <c r="N917" s="53"/>
      <c r="O917" s="11" t="s">
        <v>1713</v>
      </c>
      <c r="P917" s="11" t="s">
        <v>116</v>
      </c>
      <c r="Q917" s="11" t="s">
        <v>2176</v>
      </c>
      <c r="R917" s="11">
        <v>0.5</v>
      </c>
      <c r="S917" s="11"/>
      <c r="T917" s="12" t="s">
        <v>2112</v>
      </c>
      <c r="U917" s="12">
        <v>46365</v>
      </c>
      <c r="V917" s="5" t="s">
        <v>336</v>
      </c>
      <c r="W917" s="11" t="s">
        <v>2120</v>
      </c>
      <c r="X917" s="11" t="s">
        <v>409</v>
      </c>
      <c r="Y917" s="11" t="s">
        <v>2142</v>
      </c>
      <c r="Z917" s="11">
        <v>0.5</v>
      </c>
      <c r="AA917" s="11"/>
      <c r="AB917" s="12">
        <v>45103</v>
      </c>
      <c r="AC917" s="12">
        <v>46930</v>
      </c>
      <c r="AD917" s="14" t="s">
        <v>2143</v>
      </c>
      <c r="AE917" s="42"/>
      <c r="AF917" s="42"/>
    </row>
    <row r="918" spans="1:32" ht="90" x14ac:dyDescent="0.25">
      <c r="A918" s="44"/>
      <c r="B918" s="42"/>
      <c r="C918" s="42"/>
      <c r="D918" s="42"/>
      <c r="E918" s="42"/>
      <c r="F918" s="42"/>
      <c r="G918" s="42"/>
      <c r="H918" s="42"/>
      <c r="I918" s="48"/>
      <c r="J918" s="42"/>
      <c r="K918" s="42"/>
      <c r="L918" s="42"/>
      <c r="M918" s="42"/>
      <c r="N918" s="53"/>
      <c r="O918" s="11" t="s">
        <v>1721</v>
      </c>
      <c r="P918" s="11" t="s">
        <v>116</v>
      </c>
      <c r="Q918" s="11" t="s">
        <v>2177</v>
      </c>
      <c r="R918" s="11">
        <v>0.5</v>
      </c>
      <c r="S918" s="11"/>
      <c r="T918" s="12" t="s">
        <v>2112</v>
      </c>
      <c r="U918" s="12">
        <v>46365</v>
      </c>
      <c r="V918" s="5" t="s">
        <v>336</v>
      </c>
      <c r="W918" s="11" t="s">
        <v>2120</v>
      </c>
      <c r="X918" s="11" t="s">
        <v>409</v>
      </c>
      <c r="Y918" s="11" t="s">
        <v>2142</v>
      </c>
      <c r="Z918" s="11">
        <v>0.5</v>
      </c>
      <c r="AA918" s="11"/>
      <c r="AB918" s="12">
        <v>45103</v>
      </c>
      <c r="AC918" s="12">
        <v>46930</v>
      </c>
      <c r="AD918" s="14" t="s">
        <v>2143</v>
      </c>
      <c r="AE918" s="42"/>
      <c r="AF918" s="42"/>
    </row>
    <row r="919" spans="1:32" ht="23.85" customHeight="1" x14ac:dyDescent="0.25">
      <c r="A919" s="44">
        <v>304</v>
      </c>
      <c r="B919" s="42" t="s">
        <v>1660</v>
      </c>
      <c r="C919" s="42" t="s">
        <v>2115</v>
      </c>
      <c r="D919" s="42">
        <v>70366</v>
      </c>
      <c r="E919" s="42" t="s">
        <v>2178</v>
      </c>
      <c r="F919" s="42" t="s">
        <v>31</v>
      </c>
      <c r="G919" s="42" t="s">
        <v>68</v>
      </c>
      <c r="H919" s="42" t="s">
        <v>1663</v>
      </c>
      <c r="I919" s="48" t="s">
        <v>2179</v>
      </c>
      <c r="J919" s="42" t="s">
        <v>71</v>
      </c>
      <c r="K919" s="42"/>
      <c r="L919" s="42" t="s">
        <v>1689</v>
      </c>
      <c r="M919" s="52">
        <v>48795</v>
      </c>
      <c r="N919" s="53" t="s">
        <v>2180</v>
      </c>
      <c r="O919" s="11" t="s">
        <v>990</v>
      </c>
      <c r="P919" s="11" t="s">
        <v>1704</v>
      </c>
      <c r="Q919" s="11" t="s">
        <v>2181</v>
      </c>
      <c r="R919" s="11">
        <v>0.5</v>
      </c>
      <c r="S919" s="11"/>
      <c r="T919" s="12" t="s">
        <v>2182</v>
      </c>
      <c r="U919" s="12">
        <v>46222</v>
      </c>
      <c r="V919" s="4" t="s">
        <v>124</v>
      </c>
      <c r="W919" s="11" t="s">
        <v>77</v>
      </c>
      <c r="X919" s="11" t="s">
        <v>77</v>
      </c>
      <c r="Y919" s="11" t="s">
        <v>77</v>
      </c>
      <c r="Z919" s="11">
        <v>0</v>
      </c>
      <c r="AA919" s="11"/>
      <c r="AB919" s="12" t="s">
        <v>77</v>
      </c>
      <c r="AC919" s="12" t="s">
        <v>77</v>
      </c>
      <c r="AD919" s="12"/>
      <c r="AE919" s="42"/>
      <c r="AF919" s="43" t="s">
        <v>995</v>
      </c>
    </row>
    <row r="920" spans="1:32" ht="25.5" x14ac:dyDescent="0.25">
      <c r="A920" s="44"/>
      <c r="B920" s="42"/>
      <c r="C920" s="42"/>
      <c r="D920" s="42"/>
      <c r="E920" s="42"/>
      <c r="F920" s="42"/>
      <c r="G920" s="42"/>
      <c r="H920" s="42"/>
      <c r="I920" s="48"/>
      <c r="J920" s="42"/>
      <c r="K920" s="42"/>
      <c r="L920" s="42"/>
      <c r="M920" s="42"/>
      <c r="N920" s="53"/>
      <c r="O920" s="11" t="s">
        <v>990</v>
      </c>
      <c r="P920" s="11" t="s">
        <v>1704</v>
      </c>
      <c r="Q920" s="11" t="s">
        <v>2183</v>
      </c>
      <c r="R920" s="11">
        <v>0.5</v>
      </c>
      <c r="S920" s="11"/>
      <c r="T920" s="12" t="s">
        <v>2182</v>
      </c>
      <c r="U920" s="12">
        <v>46222</v>
      </c>
      <c r="V920" s="4" t="s">
        <v>124</v>
      </c>
      <c r="W920" s="11" t="s">
        <v>77</v>
      </c>
      <c r="X920" s="11" t="s">
        <v>77</v>
      </c>
      <c r="Y920" s="11" t="s">
        <v>77</v>
      </c>
      <c r="Z920" s="11" t="s">
        <v>77</v>
      </c>
      <c r="AA920" s="11"/>
      <c r="AB920" s="12" t="s">
        <v>77</v>
      </c>
      <c r="AC920" s="12" t="s">
        <v>77</v>
      </c>
      <c r="AD920" s="12"/>
      <c r="AE920" s="42"/>
      <c r="AF920" s="42"/>
    </row>
    <row r="921" spans="1:32" x14ac:dyDescent="0.25">
      <c r="A921" s="44"/>
      <c r="B921" s="42"/>
      <c r="C921" s="42"/>
      <c r="D921" s="42"/>
      <c r="E921" s="42"/>
      <c r="F921" s="42"/>
      <c r="G921" s="42"/>
      <c r="H921" s="42"/>
      <c r="I921" s="48"/>
      <c r="J921" s="42"/>
      <c r="K921" s="42"/>
      <c r="L921" s="42"/>
      <c r="M921" s="42"/>
      <c r="N921" s="53"/>
      <c r="O921" s="11" t="s">
        <v>997</v>
      </c>
      <c r="P921" s="11" t="s">
        <v>1704</v>
      </c>
      <c r="Q921" s="11" t="s">
        <v>2184</v>
      </c>
      <c r="R921" s="11">
        <v>0.5</v>
      </c>
      <c r="S921" s="11"/>
      <c r="T921" s="12" t="s">
        <v>2182</v>
      </c>
      <c r="U921" s="12">
        <v>46222</v>
      </c>
      <c r="V921" s="4" t="s">
        <v>124</v>
      </c>
      <c r="W921" s="11" t="s">
        <v>77</v>
      </c>
      <c r="X921" s="11" t="s">
        <v>77</v>
      </c>
      <c r="Y921" s="11" t="s">
        <v>77</v>
      </c>
      <c r="Z921" s="11" t="s">
        <v>77</v>
      </c>
      <c r="AA921" s="11"/>
      <c r="AB921" s="12" t="s">
        <v>77</v>
      </c>
      <c r="AC921" s="12" t="s">
        <v>77</v>
      </c>
      <c r="AD921" s="12"/>
      <c r="AE921" s="42"/>
      <c r="AF921" s="42"/>
    </row>
    <row r="922" spans="1:32" ht="23.85" customHeight="1" x14ac:dyDescent="0.25">
      <c r="A922" s="44">
        <v>305</v>
      </c>
      <c r="B922" s="42" t="s">
        <v>1660</v>
      </c>
      <c r="C922" s="42" t="s">
        <v>2115</v>
      </c>
      <c r="D922" s="42">
        <v>70366</v>
      </c>
      <c r="E922" s="42" t="s">
        <v>2185</v>
      </c>
      <c r="F922" s="42" t="s">
        <v>31</v>
      </c>
      <c r="G922" s="42" t="s">
        <v>68</v>
      </c>
      <c r="H922" s="42" t="s">
        <v>1663</v>
      </c>
      <c r="I922" s="48" t="s">
        <v>2186</v>
      </c>
      <c r="J922" s="42" t="s">
        <v>71</v>
      </c>
      <c r="K922" s="42"/>
      <c r="L922" s="42" t="s">
        <v>1701</v>
      </c>
      <c r="M922" s="52">
        <v>48797</v>
      </c>
      <c r="N922" s="53" t="s">
        <v>2187</v>
      </c>
      <c r="O922" s="11" t="s">
        <v>990</v>
      </c>
      <c r="P922" s="11" t="s">
        <v>1704</v>
      </c>
      <c r="Q922" s="11" t="s">
        <v>2188</v>
      </c>
      <c r="R922" s="11">
        <v>0.5</v>
      </c>
      <c r="S922" s="11"/>
      <c r="T922" s="12" t="s">
        <v>2182</v>
      </c>
      <c r="U922" s="12">
        <v>46222</v>
      </c>
      <c r="V922" s="4" t="s">
        <v>124</v>
      </c>
      <c r="W922" s="11" t="s">
        <v>77</v>
      </c>
      <c r="X922" s="11" t="s">
        <v>77</v>
      </c>
      <c r="Y922" s="11" t="s">
        <v>77</v>
      </c>
      <c r="Z922" s="11">
        <v>0</v>
      </c>
      <c r="AA922" s="11"/>
      <c r="AB922" s="12" t="s">
        <v>77</v>
      </c>
      <c r="AC922" s="12" t="s">
        <v>77</v>
      </c>
      <c r="AD922" s="12"/>
      <c r="AE922" s="42"/>
      <c r="AF922" s="43" t="s">
        <v>995</v>
      </c>
    </row>
    <row r="923" spans="1:32" ht="25.5" x14ac:dyDescent="0.25">
      <c r="A923" s="44"/>
      <c r="B923" s="42"/>
      <c r="C923" s="42"/>
      <c r="D923" s="42"/>
      <c r="E923" s="42"/>
      <c r="F923" s="42"/>
      <c r="G923" s="42"/>
      <c r="H923" s="42"/>
      <c r="I923" s="48"/>
      <c r="J923" s="42"/>
      <c r="K923" s="42"/>
      <c r="L923" s="42"/>
      <c r="M923" s="42"/>
      <c r="N923" s="53"/>
      <c r="O923" s="11" t="s">
        <v>990</v>
      </c>
      <c r="P923" s="11" t="s">
        <v>1704</v>
      </c>
      <c r="Q923" s="11" t="s">
        <v>2189</v>
      </c>
      <c r="R923" s="11">
        <v>0.5</v>
      </c>
      <c r="S923" s="11"/>
      <c r="T923" s="12" t="s">
        <v>2182</v>
      </c>
      <c r="U923" s="12">
        <v>46222</v>
      </c>
      <c r="V923" s="4" t="s">
        <v>124</v>
      </c>
      <c r="W923" s="11" t="s">
        <v>77</v>
      </c>
      <c r="X923" s="11" t="s">
        <v>77</v>
      </c>
      <c r="Y923" s="11" t="s">
        <v>77</v>
      </c>
      <c r="Z923" s="11" t="s">
        <v>77</v>
      </c>
      <c r="AA923" s="11"/>
      <c r="AB923" s="12" t="s">
        <v>77</v>
      </c>
      <c r="AC923" s="12" t="s">
        <v>77</v>
      </c>
      <c r="AD923" s="12"/>
      <c r="AE923" s="42"/>
      <c r="AF923" s="42"/>
    </row>
    <row r="924" spans="1:32" x14ac:dyDescent="0.25">
      <c r="A924" s="44"/>
      <c r="B924" s="42"/>
      <c r="C924" s="42"/>
      <c r="D924" s="42"/>
      <c r="E924" s="42"/>
      <c r="F924" s="42"/>
      <c r="G924" s="42"/>
      <c r="H924" s="42"/>
      <c r="I924" s="48"/>
      <c r="J924" s="42"/>
      <c r="K924" s="42"/>
      <c r="L924" s="42"/>
      <c r="M924" s="42"/>
      <c r="N924" s="53"/>
      <c r="O924" s="11" t="s">
        <v>997</v>
      </c>
      <c r="P924" s="11" t="s">
        <v>1704</v>
      </c>
      <c r="Q924" s="11" t="s">
        <v>2190</v>
      </c>
      <c r="R924" s="11">
        <v>0.5</v>
      </c>
      <c r="S924" s="11"/>
      <c r="T924" s="12" t="s">
        <v>2182</v>
      </c>
      <c r="U924" s="12">
        <v>46222</v>
      </c>
      <c r="V924" s="4" t="s">
        <v>124</v>
      </c>
      <c r="W924" s="11" t="s">
        <v>77</v>
      </c>
      <c r="X924" s="11" t="s">
        <v>77</v>
      </c>
      <c r="Y924" s="11" t="s">
        <v>77</v>
      </c>
      <c r="Z924" s="11" t="s">
        <v>77</v>
      </c>
      <c r="AA924" s="11"/>
      <c r="AB924" s="12" t="s">
        <v>77</v>
      </c>
      <c r="AC924" s="12" t="s">
        <v>77</v>
      </c>
      <c r="AD924" s="12"/>
      <c r="AE924" s="42"/>
      <c r="AF924" s="42"/>
    </row>
    <row r="925" spans="1:32" ht="23.85" customHeight="1" x14ac:dyDescent="0.25">
      <c r="A925" s="44">
        <v>306</v>
      </c>
      <c r="B925" s="42" t="s">
        <v>1660</v>
      </c>
      <c r="C925" s="42" t="s">
        <v>2191</v>
      </c>
      <c r="D925" s="42">
        <v>355466</v>
      </c>
      <c r="E925" s="42" t="s">
        <v>2192</v>
      </c>
      <c r="F925" s="42" t="s">
        <v>31</v>
      </c>
      <c r="G925" s="42" t="s">
        <v>32</v>
      </c>
      <c r="H925" s="42" t="s">
        <v>1663</v>
      </c>
      <c r="I925" s="48" t="s">
        <v>2193</v>
      </c>
      <c r="J925" s="42" t="s">
        <v>71</v>
      </c>
      <c r="K925" s="42"/>
      <c r="L925" s="42" t="s">
        <v>1701</v>
      </c>
      <c r="M925" s="52">
        <v>48797</v>
      </c>
      <c r="N925" s="53" t="s">
        <v>2194</v>
      </c>
      <c r="O925" s="11" t="s">
        <v>1791</v>
      </c>
      <c r="P925" s="11" t="s">
        <v>156</v>
      </c>
      <c r="Q925" s="20" t="s">
        <v>2195</v>
      </c>
      <c r="R925" s="11">
        <v>0.5</v>
      </c>
      <c r="S925" s="11"/>
      <c r="T925" s="12" t="s">
        <v>2196</v>
      </c>
      <c r="U925" s="12">
        <v>46371</v>
      </c>
      <c r="V925" s="4" t="s">
        <v>124</v>
      </c>
      <c r="W925" s="11" t="s">
        <v>1668</v>
      </c>
      <c r="X925" s="11" t="s">
        <v>42</v>
      </c>
      <c r="Y925" s="11" t="s">
        <v>2197</v>
      </c>
      <c r="Z925" s="11">
        <v>0.5</v>
      </c>
      <c r="AA925" s="11"/>
      <c r="AB925" s="12" t="s">
        <v>1670</v>
      </c>
      <c r="AC925" s="12">
        <v>46103</v>
      </c>
      <c r="AD925" s="12" t="s">
        <v>124</v>
      </c>
      <c r="AE925" s="42"/>
      <c r="AF925" s="43" t="s">
        <v>45</v>
      </c>
    </row>
    <row r="926" spans="1:32" x14ac:dyDescent="0.25">
      <c r="A926" s="44"/>
      <c r="B926" s="42"/>
      <c r="C926" s="42"/>
      <c r="D926" s="42"/>
      <c r="E926" s="42"/>
      <c r="F926" s="42"/>
      <c r="G926" s="42"/>
      <c r="H926" s="42"/>
      <c r="I926" s="48"/>
      <c r="J926" s="42"/>
      <c r="K926" s="42"/>
      <c r="L926" s="42"/>
      <c r="M926" s="42"/>
      <c r="N926" s="53"/>
      <c r="O926" s="11" t="s">
        <v>77</v>
      </c>
      <c r="P926" s="11" t="s">
        <v>77</v>
      </c>
      <c r="Q926" s="11" t="s">
        <v>77</v>
      </c>
      <c r="R926" s="11" t="s">
        <v>77</v>
      </c>
      <c r="S926" s="11"/>
      <c r="T926" s="12" t="s">
        <v>77</v>
      </c>
      <c r="U926" s="12" t="s">
        <v>77</v>
      </c>
      <c r="V926" s="4"/>
      <c r="W926" s="11" t="s">
        <v>1668</v>
      </c>
      <c r="X926" s="11" t="s">
        <v>42</v>
      </c>
      <c r="Y926" s="11" t="s">
        <v>2197</v>
      </c>
      <c r="Z926" s="11">
        <v>0.5</v>
      </c>
      <c r="AA926" s="11"/>
      <c r="AB926" s="12" t="s">
        <v>1670</v>
      </c>
      <c r="AC926" s="12">
        <v>46103</v>
      </c>
      <c r="AD926" s="12" t="s">
        <v>124</v>
      </c>
      <c r="AE926" s="42"/>
      <c r="AF926" s="42"/>
    </row>
    <row r="927" spans="1:32" x14ac:dyDescent="0.25">
      <c r="A927" s="44"/>
      <c r="B927" s="42"/>
      <c r="C927" s="42"/>
      <c r="D927" s="42"/>
      <c r="E927" s="42"/>
      <c r="F927" s="42"/>
      <c r="G927" s="42"/>
      <c r="H927" s="42"/>
      <c r="I927" s="48"/>
      <c r="J927" s="42"/>
      <c r="K927" s="42"/>
      <c r="L927" s="42"/>
      <c r="M927" s="42"/>
      <c r="N927" s="53"/>
      <c r="O927" s="11" t="s">
        <v>1796</v>
      </c>
      <c r="P927" s="11" t="s">
        <v>156</v>
      </c>
      <c r="Q927" s="20" t="s">
        <v>2198</v>
      </c>
      <c r="R927" s="11">
        <v>0.5</v>
      </c>
      <c r="S927" s="11"/>
      <c r="T927" s="12" t="s">
        <v>2196</v>
      </c>
      <c r="U927" s="12">
        <v>46371</v>
      </c>
      <c r="V927" s="4" t="s">
        <v>124</v>
      </c>
      <c r="W927" s="11" t="s">
        <v>1668</v>
      </c>
      <c r="X927" s="11" t="s">
        <v>42</v>
      </c>
      <c r="Y927" s="11" t="s">
        <v>2197</v>
      </c>
      <c r="Z927" s="11">
        <v>0.5</v>
      </c>
      <c r="AA927" s="11"/>
      <c r="AB927" s="12" t="s">
        <v>1670</v>
      </c>
      <c r="AC927" s="12">
        <v>46103</v>
      </c>
      <c r="AD927" s="12" t="s">
        <v>124</v>
      </c>
      <c r="AE927" s="42"/>
      <c r="AF927" s="42"/>
    </row>
    <row r="928" spans="1:32" ht="23.85" customHeight="1" x14ac:dyDescent="0.25">
      <c r="A928" s="44">
        <v>307</v>
      </c>
      <c r="B928" s="42" t="s">
        <v>1660</v>
      </c>
      <c r="C928" s="42" t="s">
        <v>2191</v>
      </c>
      <c r="D928" s="42">
        <v>355466</v>
      </c>
      <c r="E928" s="42" t="s">
        <v>1870</v>
      </c>
      <c r="F928" s="42" t="s">
        <v>31</v>
      </c>
      <c r="G928" s="42" t="s">
        <v>32</v>
      </c>
      <c r="H928" s="42" t="s">
        <v>1663</v>
      </c>
      <c r="I928" s="48" t="s">
        <v>2199</v>
      </c>
      <c r="J928" s="42" t="s">
        <v>71</v>
      </c>
      <c r="K928" s="42"/>
      <c r="L928" s="42" t="s">
        <v>1665</v>
      </c>
      <c r="M928" s="52">
        <v>48796</v>
      </c>
      <c r="N928" s="53" t="s">
        <v>2200</v>
      </c>
      <c r="O928" s="11" t="s">
        <v>1791</v>
      </c>
      <c r="P928" s="11" t="s">
        <v>93</v>
      </c>
      <c r="Q928" s="20" t="s">
        <v>2201</v>
      </c>
      <c r="R928" s="11">
        <v>0.5</v>
      </c>
      <c r="S928" s="11"/>
      <c r="T928" s="12" t="s">
        <v>2196</v>
      </c>
      <c r="U928" s="12">
        <v>46371</v>
      </c>
      <c r="V928" s="4" t="s">
        <v>124</v>
      </c>
      <c r="W928" s="11" t="s">
        <v>1668</v>
      </c>
      <c r="X928" s="11" t="s">
        <v>42</v>
      </c>
      <c r="Y928" s="11" t="s">
        <v>2197</v>
      </c>
      <c r="Z928" s="11">
        <v>0.5</v>
      </c>
      <c r="AA928" s="11"/>
      <c r="AB928" s="12" t="s">
        <v>1670</v>
      </c>
      <c r="AC928" s="12">
        <v>46103</v>
      </c>
      <c r="AD928" s="12" t="s">
        <v>124</v>
      </c>
      <c r="AE928" s="42"/>
      <c r="AF928" s="43" t="s">
        <v>45</v>
      </c>
    </row>
    <row r="929" spans="1:32" x14ac:dyDescent="0.25">
      <c r="A929" s="44"/>
      <c r="B929" s="42"/>
      <c r="C929" s="42"/>
      <c r="D929" s="42"/>
      <c r="E929" s="42"/>
      <c r="F929" s="42"/>
      <c r="G929" s="42"/>
      <c r="H929" s="42"/>
      <c r="I929" s="48"/>
      <c r="J929" s="42"/>
      <c r="K929" s="42"/>
      <c r="L929" s="42"/>
      <c r="M929" s="42"/>
      <c r="N929" s="53"/>
      <c r="O929" s="11" t="s">
        <v>77</v>
      </c>
      <c r="P929" s="11" t="s">
        <v>77</v>
      </c>
      <c r="Q929" s="11" t="s">
        <v>77</v>
      </c>
      <c r="R929" s="11" t="s">
        <v>77</v>
      </c>
      <c r="S929" s="11"/>
      <c r="T929" s="12" t="s">
        <v>77</v>
      </c>
      <c r="U929" s="12" t="s">
        <v>77</v>
      </c>
      <c r="V929" s="4"/>
      <c r="W929" s="11" t="s">
        <v>1668</v>
      </c>
      <c r="X929" s="11" t="s">
        <v>42</v>
      </c>
      <c r="Y929" s="11" t="s">
        <v>2197</v>
      </c>
      <c r="Z929" s="11">
        <v>0.5</v>
      </c>
      <c r="AA929" s="11"/>
      <c r="AB929" s="12" t="s">
        <v>1670</v>
      </c>
      <c r="AC929" s="12">
        <v>46103</v>
      </c>
      <c r="AD929" s="12" t="s">
        <v>124</v>
      </c>
      <c r="AE929" s="42"/>
      <c r="AF929" s="42"/>
    </row>
    <row r="930" spans="1:32" x14ac:dyDescent="0.25">
      <c r="A930" s="44"/>
      <c r="B930" s="42"/>
      <c r="C930" s="42"/>
      <c r="D930" s="42"/>
      <c r="E930" s="42"/>
      <c r="F930" s="42"/>
      <c r="G930" s="42"/>
      <c r="H930" s="42"/>
      <c r="I930" s="48"/>
      <c r="J930" s="42"/>
      <c r="K930" s="42"/>
      <c r="L930" s="42"/>
      <c r="M930" s="42"/>
      <c r="N930" s="53"/>
      <c r="O930" s="11" t="s">
        <v>1796</v>
      </c>
      <c r="P930" s="11" t="s">
        <v>93</v>
      </c>
      <c r="Q930" s="20" t="s">
        <v>2202</v>
      </c>
      <c r="R930" s="11">
        <v>0.5</v>
      </c>
      <c r="S930" s="11"/>
      <c r="T930" s="12" t="s">
        <v>2196</v>
      </c>
      <c r="U930" s="12">
        <v>46371</v>
      </c>
      <c r="V930" s="4" t="s">
        <v>124</v>
      </c>
      <c r="W930" s="11" t="s">
        <v>1668</v>
      </c>
      <c r="X930" s="11" t="s">
        <v>42</v>
      </c>
      <c r="Y930" s="11" t="s">
        <v>2197</v>
      </c>
      <c r="Z930" s="11">
        <v>0.5</v>
      </c>
      <c r="AA930" s="11"/>
      <c r="AB930" s="12" t="s">
        <v>1670</v>
      </c>
      <c r="AC930" s="12">
        <v>46103</v>
      </c>
      <c r="AD930" s="12" t="s">
        <v>124</v>
      </c>
      <c r="AE930" s="42"/>
      <c r="AF930" s="42"/>
    </row>
    <row r="931" spans="1:32" ht="23.85" customHeight="1" x14ac:dyDescent="0.25">
      <c r="A931" s="44">
        <v>308</v>
      </c>
      <c r="B931" s="42" t="s">
        <v>1660</v>
      </c>
      <c r="C931" s="42" t="s">
        <v>2191</v>
      </c>
      <c r="D931" s="42">
        <v>355466</v>
      </c>
      <c r="E931" s="42" t="s">
        <v>2203</v>
      </c>
      <c r="F931" s="42" t="s">
        <v>31</v>
      </c>
      <c r="G931" s="42" t="s">
        <v>32</v>
      </c>
      <c r="H931" s="42" t="s">
        <v>1663</v>
      </c>
      <c r="I931" s="48" t="s">
        <v>2204</v>
      </c>
      <c r="J931" s="42" t="s">
        <v>71</v>
      </c>
      <c r="K931" s="42"/>
      <c r="L931" s="42" t="s">
        <v>1701</v>
      </c>
      <c r="M931" s="52">
        <v>48797</v>
      </c>
      <c r="N931" s="53" t="s">
        <v>2205</v>
      </c>
      <c r="O931" s="11" t="s">
        <v>1791</v>
      </c>
      <c r="P931" s="11" t="s">
        <v>156</v>
      </c>
      <c r="Q931" s="20" t="s">
        <v>2206</v>
      </c>
      <c r="R931" s="11">
        <v>0.5</v>
      </c>
      <c r="S931" s="11"/>
      <c r="T931" s="12" t="s">
        <v>1815</v>
      </c>
      <c r="U931" s="12">
        <v>46364</v>
      </c>
      <c r="V931" s="4" t="s">
        <v>124</v>
      </c>
      <c r="W931" s="11" t="s">
        <v>1668</v>
      </c>
      <c r="X931" s="11" t="s">
        <v>42</v>
      </c>
      <c r="Y931" s="11" t="s">
        <v>2197</v>
      </c>
      <c r="Z931" s="11">
        <v>0.5</v>
      </c>
      <c r="AA931" s="11"/>
      <c r="AB931" s="12" t="s">
        <v>1670</v>
      </c>
      <c r="AC931" s="12">
        <v>46103</v>
      </c>
      <c r="AD931" s="12" t="s">
        <v>124</v>
      </c>
      <c r="AE931" s="42"/>
      <c r="AF931" s="43" t="s">
        <v>45</v>
      </c>
    </row>
    <row r="932" spans="1:32" x14ac:dyDescent="0.25">
      <c r="A932" s="44"/>
      <c r="B932" s="42"/>
      <c r="C932" s="42"/>
      <c r="D932" s="42"/>
      <c r="E932" s="42"/>
      <c r="F932" s="42"/>
      <c r="G932" s="42"/>
      <c r="H932" s="42"/>
      <c r="I932" s="48"/>
      <c r="J932" s="42"/>
      <c r="K932" s="42"/>
      <c r="L932" s="42"/>
      <c r="M932" s="42"/>
      <c r="N932" s="53"/>
      <c r="O932" s="11" t="s">
        <v>77</v>
      </c>
      <c r="P932" s="11" t="s">
        <v>77</v>
      </c>
      <c r="Q932" s="11" t="s">
        <v>77</v>
      </c>
      <c r="R932" s="11" t="s">
        <v>77</v>
      </c>
      <c r="S932" s="11"/>
      <c r="T932" s="12" t="s">
        <v>77</v>
      </c>
      <c r="U932" s="12" t="s">
        <v>77</v>
      </c>
      <c r="V932" s="4"/>
      <c r="W932" s="11" t="s">
        <v>1668</v>
      </c>
      <c r="X932" s="11" t="s">
        <v>42</v>
      </c>
      <c r="Y932" s="11" t="s">
        <v>2197</v>
      </c>
      <c r="Z932" s="11">
        <v>0.5</v>
      </c>
      <c r="AA932" s="11"/>
      <c r="AB932" s="12" t="s">
        <v>1670</v>
      </c>
      <c r="AC932" s="12">
        <v>46103</v>
      </c>
      <c r="AD932" s="12" t="s">
        <v>124</v>
      </c>
      <c r="AE932" s="42"/>
      <c r="AF932" s="42"/>
    </row>
    <row r="933" spans="1:32" x14ac:dyDescent="0.25">
      <c r="A933" s="44"/>
      <c r="B933" s="42"/>
      <c r="C933" s="42"/>
      <c r="D933" s="42"/>
      <c r="E933" s="42"/>
      <c r="F933" s="42"/>
      <c r="G933" s="42"/>
      <c r="H933" s="42"/>
      <c r="I933" s="48"/>
      <c r="J933" s="42"/>
      <c r="K933" s="42"/>
      <c r="L933" s="42"/>
      <c r="M933" s="42"/>
      <c r="N933" s="53"/>
      <c r="O933" s="11" t="s">
        <v>1796</v>
      </c>
      <c r="P933" s="11" t="s">
        <v>156</v>
      </c>
      <c r="Q933" s="20" t="s">
        <v>2207</v>
      </c>
      <c r="R933" s="11">
        <v>0.5</v>
      </c>
      <c r="S933" s="11"/>
      <c r="T933" s="12" t="s">
        <v>2196</v>
      </c>
      <c r="U933" s="12">
        <v>46371</v>
      </c>
      <c r="V933" s="4" t="s">
        <v>124</v>
      </c>
      <c r="W933" s="11" t="s">
        <v>1668</v>
      </c>
      <c r="X933" s="11" t="s">
        <v>42</v>
      </c>
      <c r="Y933" s="11" t="s">
        <v>2197</v>
      </c>
      <c r="Z933" s="11">
        <v>0.5</v>
      </c>
      <c r="AA933" s="11"/>
      <c r="AB933" s="12" t="s">
        <v>1670</v>
      </c>
      <c r="AC933" s="12">
        <v>46103</v>
      </c>
      <c r="AD933" s="12" t="s">
        <v>124</v>
      </c>
      <c r="AE933" s="42"/>
      <c r="AF933" s="42"/>
    </row>
    <row r="934" spans="1:32" ht="23.85" customHeight="1" x14ac:dyDescent="0.25">
      <c r="A934" s="44">
        <v>309</v>
      </c>
      <c r="B934" s="42" t="s">
        <v>1660</v>
      </c>
      <c r="C934" s="42" t="s">
        <v>2191</v>
      </c>
      <c r="D934" s="42">
        <v>355466</v>
      </c>
      <c r="E934" s="42" t="s">
        <v>1798</v>
      </c>
      <c r="F934" s="42" t="s">
        <v>31</v>
      </c>
      <c r="G934" s="42" t="s">
        <v>68</v>
      </c>
      <c r="H934" s="42" t="s">
        <v>1663</v>
      </c>
      <c r="I934" s="48" t="s">
        <v>2208</v>
      </c>
      <c r="J934" s="42" t="s">
        <v>71</v>
      </c>
      <c r="K934" s="42"/>
      <c r="L934" s="42" t="s">
        <v>1701</v>
      </c>
      <c r="M934" s="52">
        <v>48797</v>
      </c>
      <c r="N934" s="53" t="s">
        <v>2209</v>
      </c>
      <c r="O934" s="11" t="s">
        <v>1791</v>
      </c>
      <c r="P934" s="11" t="s">
        <v>163</v>
      </c>
      <c r="Q934" s="20" t="s">
        <v>2210</v>
      </c>
      <c r="R934" s="11">
        <v>0.5</v>
      </c>
      <c r="S934" s="11"/>
      <c r="T934" s="12" t="s">
        <v>2196</v>
      </c>
      <c r="U934" s="12">
        <v>46371</v>
      </c>
      <c r="V934" s="4" t="s">
        <v>124</v>
      </c>
      <c r="W934" s="11" t="s">
        <v>1668</v>
      </c>
      <c r="X934" s="11" t="s">
        <v>42</v>
      </c>
      <c r="Y934" s="11" t="s">
        <v>2197</v>
      </c>
      <c r="Z934" s="11">
        <v>0.5</v>
      </c>
      <c r="AA934" s="11"/>
      <c r="AB934" s="12" t="s">
        <v>1670</v>
      </c>
      <c r="AC934" s="12">
        <v>46103</v>
      </c>
      <c r="AD934" s="12" t="s">
        <v>124</v>
      </c>
      <c r="AE934" s="42"/>
      <c r="AF934" s="43" t="s">
        <v>45</v>
      </c>
    </row>
    <row r="935" spans="1:32" x14ac:dyDescent="0.25">
      <c r="A935" s="44"/>
      <c r="B935" s="42"/>
      <c r="C935" s="42"/>
      <c r="D935" s="42"/>
      <c r="E935" s="42"/>
      <c r="F935" s="42"/>
      <c r="G935" s="42"/>
      <c r="H935" s="42"/>
      <c r="I935" s="48"/>
      <c r="J935" s="42"/>
      <c r="K935" s="42"/>
      <c r="L935" s="42"/>
      <c r="M935" s="42"/>
      <c r="N935" s="53"/>
      <c r="O935" s="11" t="s">
        <v>77</v>
      </c>
      <c r="P935" s="11" t="s">
        <v>77</v>
      </c>
      <c r="Q935" s="11" t="s">
        <v>77</v>
      </c>
      <c r="R935" s="11" t="s">
        <v>77</v>
      </c>
      <c r="S935" s="11"/>
      <c r="T935" s="12" t="s">
        <v>77</v>
      </c>
      <c r="U935" s="12" t="s">
        <v>77</v>
      </c>
      <c r="V935" s="4"/>
      <c r="W935" s="11" t="s">
        <v>1668</v>
      </c>
      <c r="X935" s="11" t="s">
        <v>42</v>
      </c>
      <c r="Y935" s="11" t="s">
        <v>2197</v>
      </c>
      <c r="Z935" s="11">
        <v>0.5</v>
      </c>
      <c r="AA935" s="11"/>
      <c r="AB935" s="12" t="s">
        <v>1670</v>
      </c>
      <c r="AC935" s="12">
        <v>46103</v>
      </c>
      <c r="AD935" s="12" t="s">
        <v>124</v>
      </c>
      <c r="AE935" s="42"/>
      <c r="AF935" s="42"/>
    </row>
    <row r="936" spans="1:32" x14ac:dyDescent="0.25">
      <c r="A936" s="44"/>
      <c r="B936" s="42"/>
      <c r="C936" s="42"/>
      <c r="D936" s="42"/>
      <c r="E936" s="42"/>
      <c r="F936" s="42"/>
      <c r="G936" s="42"/>
      <c r="H936" s="42"/>
      <c r="I936" s="48"/>
      <c r="J936" s="42"/>
      <c r="K936" s="42"/>
      <c r="L936" s="42"/>
      <c r="M936" s="42"/>
      <c r="N936" s="53"/>
      <c r="O936" s="11" t="s">
        <v>1796</v>
      </c>
      <c r="P936" s="11" t="s">
        <v>163</v>
      </c>
      <c r="Q936" s="20" t="s">
        <v>2211</v>
      </c>
      <c r="R936" s="11">
        <v>0.5</v>
      </c>
      <c r="S936" s="11"/>
      <c r="T936" s="12" t="s">
        <v>2196</v>
      </c>
      <c r="U936" s="12">
        <v>46371</v>
      </c>
      <c r="V936" s="4" t="s">
        <v>124</v>
      </c>
      <c r="W936" s="11" t="s">
        <v>1668</v>
      </c>
      <c r="X936" s="11" t="s">
        <v>42</v>
      </c>
      <c r="Y936" s="11" t="s">
        <v>2197</v>
      </c>
      <c r="Z936" s="11">
        <v>0.5</v>
      </c>
      <c r="AA936" s="11"/>
      <c r="AB936" s="12" t="s">
        <v>1670</v>
      </c>
      <c r="AC936" s="12">
        <v>46103</v>
      </c>
      <c r="AD936" s="12" t="s">
        <v>124</v>
      </c>
      <c r="AE936" s="42"/>
      <c r="AF936" s="42"/>
    </row>
    <row r="937" spans="1:32" ht="23.85" customHeight="1" x14ac:dyDescent="0.25">
      <c r="A937" s="44">
        <v>310</v>
      </c>
      <c r="B937" s="42" t="s">
        <v>1660</v>
      </c>
      <c r="C937" s="42" t="s">
        <v>2191</v>
      </c>
      <c r="D937" s="42">
        <v>355466</v>
      </c>
      <c r="E937" s="42" t="s">
        <v>2212</v>
      </c>
      <c r="F937" s="42" t="s">
        <v>31</v>
      </c>
      <c r="G937" s="42" t="s">
        <v>68</v>
      </c>
      <c r="H937" s="42" t="s">
        <v>1663</v>
      </c>
      <c r="I937" s="48" t="s">
        <v>2213</v>
      </c>
      <c r="J937" s="42" t="s">
        <v>71</v>
      </c>
      <c r="K937" s="42"/>
      <c r="L937" s="42" t="s">
        <v>1689</v>
      </c>
      <c r="M937" s="52">
        <v>48795</v>
      </c>
      <c r="N937" s="53" t="s">
        <v>2214</v>
      </c>
      <c r="O937" s="11" t="s">
        <v>1791</v>
      </c>
      <c r="P937" s="11" t="s">
        <v>84</v>
      </c>
      <c r="Q937" s="20" t="s">
        <v>2215</v>
      </c>
      <c r="R937" s="11">
        <v>0.5</v>
      </c>
      <c r="S937" s="11"/>
      <c r="T937" s="12" t="s">
        <v>2216</v>
      </c>
      <c r="U937" s="12">
        <v>46372</v>
      </c>
      <c r="V937" s="4" t="s">
        <v>124</v>
      </c>
      <c r="W937" s="11" t="s">
        <v>1668</v>
      </c>
      <c r="X937" s="11" t="s">
        <v>42</v>
      </c>
      <c r="Y937" s="11" t="s">
        <v>2197</v>
      </c>
      <c r="Z937" s="11">
        <v>0.5</v>
      </c>
      <c r="AA937" s="11"/>
      <c r="AB937" s="12" t="s">
        <v>1670</v>
      </c>
      <c r="AC937" s="12">
        <v>46103</v>
      </c>
      <c r="AD937" s="12" t="s">
        <v>124</v>
      </c>
      <c r="AE937" s="42"/>
      <c r="AF937" s="43" t="s">
        <v>45</v>
      </c>
    </row>
    <row r="938" spans="1:32" x14ac:dyDescent="0.25">
      <c r="A938" s="44"/>
      <c r="B938" s="42"/>
      <c r="C938" s="42"/>
      <c r="D938" s="42"/>
      <c r="E938" s="42"/>
      <c r="F938" s="42"/>
      <c r="G938" s="42"/>
      <c r="H938" s="42"/>
      <c r="I938" s="48"/>
      <c r="J938" s="42"/>
      <c r="K938" s="42"/>
      <c r="L938" s="42"/>
      <c r="M938" s="42"/>
      <c r="N938" s="53"/>
      <c r="O938" s="11" t="s">
        <v>77</v>
      </c>
      <c r="P938" s="11" t="s">
        <v>77</v>
      </c>
      <c r="Q938" s="11" t="s">
        <v>77</v>
      </c>
      <c r="R938" s="11" t="s">
        <v>77</v>
      </c>
      <c r="S938" s="11"/>
      <c r="T938" s="12" t="s">
        <v>77</v>
      </c>
      <c r="U938" s="12" t="s">
        <v>77</v>
      </c>
      <c r="V938" s="4"/>
      <c r="W938" s="11" t="s">
        <v>1668</v>
      </c>
      <c r="X938" s="11" t="s">
        <v>42</v>
      </c>
      <c r="Y938" s="11" t="s">
        <v>2197</v>
      </c>
      <c r="Z938" s="11">
        <v>0.5</v>
      </c>
      <c r="AA938" s="11"/>
      <c r="AB938" s="12" t="s">
        <v>1670</v>
      </c>
      <c r="AC938" s="12">
        <v>46103</v>
      </c>
      <c r="AD938" s="12" t="s">
        <v>124</v>
      </c>
      <c r="AE938" s="42"/>
      <c r="AF938" s="42"/>
    </row>
    <row r="939" spans="1:32" x14ac:dyDescent="0.25">
      <c r="A939" s="44"/>
      <c r="B939" s="42"/>
      <c r="C939" s="42"/>
      <c r="D939" s="42"/>
      <c r="E939" s="42"/>
      <c r="F939" s="42"/>
      <c r="G939" s="42"/>
      <c r="H939" s="42"/>
      <c r="I939" s="48"/>
      <c r="J939" s="42"/>
      <c r="K939" s="42"/>
      <c r="L939" s="42"/>
      <c r="M939" s="42"/>
      <c r="N939" s="53"/>
      <c r="O939" s="11" t="s">
        <v>1796</v>
      </c>
      <c r="P939" s="11" t="s">
        <v>84</v>
      </c>
      <c r="Q939" s="20" t="s">
        <v>2217</v>
      </c>
      <c r="R939" s="11">
        <v>0.5</v>
      </c>
      <c r="S939" s="11"/>
      <c r="T939" s="12" t="s">
        <v>2216</v>
      </c>
      <c r="U939" s="12">
        <v>46372</v>
      </c>
      <c r="V939" s="4" t="s">
        <v>124</v>
      </c>
      <c r="W939" s="11" t="s">
        <v>1668</v>
      </c>
      <c r="X939" s="11" t="s">
        <v>42</v>
      </c>
      <c r="Y939" s="11" t="s">
        <v>2197</v>
      </c>
      <c r="Z939" s="11">
        <v>0.5</v>
      </c>
      <c r="AA939" s="11"/>
      <c r="AB939" s="12" t="s">
        <v>1670</v>
      </c>
      <c r="AC939" s="12">
        <v>46103</v>
      </c>
      <c r="AD939" s="12" t="s">
        <v>124</v>
      </c>
      <c r="AE939" s="42"/>
      <c r="AF939" s="42"/>
    </row>
    <row r="940" spans="1:32" ht="23.85" customHeight="1" x14ac:dyDescent="0.25">
      <c r="A940" s="44">
        <v>311</v>
      </c>
      <c r="B940" s="42" t="s">
        <v>1660</v>
      </c>
      <c r="C940" s="42" t="s">
        <v>2191</v>
      </c>
      <c r="D940" s="42">
        <v>355466</v>
      </c>
      <c r="E940" s="42" t="s">
        <v>1723</v>
      </c>
      <c r="F940" s="42" t="s">
        <v>31</v>
      </c>
      <c r="G940" s="42" t="s">
        <v>68</v>
      </c>
      <c r="H940" s="42" t="s">
        <v>1663</v>
      </c>
      <c r="I940" s="48" t="s">
        <v>2218</v>
      </c>
      <c r="J940" s="42" t="s">
        <v>71</v>
      </c>
      <c r="K940" s="42"/>
      <c r="L940" s="42" t="s">
        <v>1665</v>
      </c>
      <c r="M940" s="52">
        <v>48796</v>
      </c>
      <c r="N940" s="53" t="s">
        <v>2219</v>
      </c>
      <c r="O940" s="11" t="s">
        <v>1791</v>
      </c>
      <c r="P940" s="11" t="s">
        <v>116</v>
      </c>
      <c r="Q940" s="20" t="s">
        <v>2220</v>
      </c>
      <c r="R940" s="11">
        <v>0.5</v>
      </c>
      <c r="S940" s="11"/>
      <c r="T940" s="12" t="s">
        <v>2216</v>
      </c>
      <c r="U940" s="12">
        <v>46372</v>
      </c>
      <c r="V940" s="4" t="s">
        <v>124</v>
      </c>
      <c r="W940" s="11" t="s">
        <v>1668</v>
      </c>
      <c r="X940" s="11" t="s">
        <v>42</v>
      </c>
      <c r="Y940" s="11" t="s">
        <v>2197</v>
      </c>
      <c r="Z940" s="11">
        <v>0.5</v>
      </c>
      <c r="AA940" s="11"/>
      <c r="AB940" s="12" t="s">
        <v>1670</v>
      </c>
      <c r="AC940" s="12">
        <v>46103</v>
      </c>
      <c r="AD940" s="12" t="s">
        <v>124</v>
      </c>
      <c r="AE940" s="42"/>
      <c r="AF940" s="43" t="s">
        <v>45</v>
      </c>
    </row>
    <row r="941" spans="1:32" x14ac:dyDescent="0.25">
      <c r="A941" s="44"/>
      <c r="B941" s="42"/>
      <c r="C941" s="42"/>
      <c r="D941" s="42"/>
      <c r="E941" s="42"/>
      <c r="F941" s="42"/>
      <c r="G941" s="42"/>
      <c r="H941" s="42"/>
      <c r="I941" s="48"/>
      <c r="J941" s="42"/>
      <c r="K941" s="42"/>
      <c r="L941" s="42"/>
      <c r="M941" s="42"/>
      <c r="N941" s="53"/>
      <c r="O941" s="11" t="s">
        <v>77</v>
      </c>
      <c r="P941" s="11" t="s">
        <v>77</v>
      </c>
      <c r="Q941" s="11" t="s">
        <v>77</v>
      </c>
      <c r="R941" s="11" t="s">
        <v>77</v>
      </c>
      <c r="S941" s="11"/>
      <c r="T941" s="12" t="s">
        <v>77</v>
      </c>
      <c r="U941" s="12" t="s">
        <v>77</v>
      </c>
      <c r="V941" s="4"/>
      <c r="W941" s="11" t="s">
        <v>1668</v>
      </c>
      <c r="X941" s="11" t="s">
        <v>42</v>
      </c>
      <c r="Y941" s="11" t="s">
        <v>2197</v>
      </c>
      <c r="Z941" s="11">
        <v>0.5</v>
      </c>
      <c r="AA941" s="11"/>
      <c r="AB941" s="12" t="s">
        <v>1670</v>
      </c>
      <c r="AC941" s="12">
        <v>46103</v>
      </c>
      <c r="AD941" s="12" t="s">
        <v>124</v>
      </c>
      <c r="AE941" s="42"/>
      <c r="AF941" s="42"/>
    </row>
    <row r="942" spans="1:32" x14ac:dyDescent="0.25">
      <c r="A942" s="44"/>
      <c r="B942" s="42"/>
      <c r="C942" s="42"/>
      <c r="D942" s="42"/>
      <c r="E942" s="42"/>
      <c r="F942" s="42"/>
      <c r="G942" s="42"/>
      <c r="H942" s="42"/>
      <c r="I942" s="48"/>
      <c r="J942" s="42"/>
      <c r="K942" s="42"/>
      <c r="L942" s="42"/>
      <c r="M942" s="42"/>
      <c r="N942" s="53"/>
      <c r="O942" s="11" t="s">
        <v>1796</v>
      </c>
      <c r="P942" s="11" t="s">
        <v>116</v>
      </c>
      <c r="Q942" s="20" t="s">
        <v>2221</v>
      </c>
      <c r="R942" s="11">
        <v>0.5</v>
      </c>
      <c r="S942" s="11"/>
      <c r="T942" s="12" t="s">
        <v>2216</v>
      </c>
      <c r="U942" s="12">
        <v>46372</v>
      </c>
      <c r="V942" s="4" t="s">
        <v>124</v>
      </c>
      <c r="W942" s="11" t="s">
        <v>1668</v>
      </c>
      <c r="X942" s="11" t="s">
        <v>42</v>
      </c>
      <c r="Y942" s="11" t="s">
        <v>2197</v>
      </c>
      <c r="Z942" s="11">
        <v>0.5</v>
      </c>
      <c r="AA942" s="11"/>
      <c r="AB942" s="12" t="s">
        <v>1670</v>
      </c>
      <c r="AC942" s="12">
        <v>46103</v>
      </c>
      <c r="AD942" s="12" t="s">
        <v>124</v>
      </c>
      <c r="AE942" s="42"/>
      <c r="AF942" s="42"/>
    </row>
    <row r="943" spans="1:32" ht="23.85" customHeight="1" x14ac:dyDescent="0.25">
      <c r="A943" s="44">
        <v>312</v>
      </c>
      <c r="B943" s="42" t="s">
        <v>1660</v>
      </c>
      <c r="C943" s="42" t="s">
        <v>2191</v>
      </c>
      <c r="D943" s="42">
        <v>355466</v>
      </c>
      <c r="E943" s="42" t="s">
        <v>2222</v>
      </c>
      <c r="F943" s="42" t="s">
        <v>31</v>
      </c>
      <c r="G943" s="42" t="s">
        <v>32</v>
      </c>
      <c r="H943" s="42" t="s">
        <v>1663</v>
      </c>
      <c r="I943" s="48" t="s">
        <v>2223</v>
      </c>
      <c r="J943" s="42" t="s">
        <v>71</v>
      </c>
      <c r="K943" s="42"/>
      <c r="L943" s="42" t="s">
        <v>1701</v>
      </c>
      <c r="M943" s="52">
        <v>48797</v>
      </c>
      <c r="N943" s="53" t="s">
        <v>2224</v>
      </c>
      <c r="O943" s="11" t="s">
        <v>1791</v>
      </c>
      <c r="P943" s="11" t="s">
        <v>84</v>
      </c>
      <c r="Q943" s="20" t="s">
        <v>2225</v>
      </c>
      <c r="R943" s="11">
        <v>0.5</v>
      </c>
      <c r="S943" s="11"/>
      <c r="T943" s="12" t="s">
        <v>2216</v>
      </c>
      <c r="U943" s="12">
        <v>46372</v>
      </c>
      <c r="V943" s="4" t="s">
        <v>124</v>
      </c>
      <c r="W943" s="11" t="s">
        <v>1668</v>
      </c>
      <c r="X943" s="11" t="s">
        <v>42</v>
      </c>
      <c r="Y943" s="11" t="s">
        <v>2197</v>
      </c>
      <c r="Z943" s="11">
        <v>0.5</v>
      </c>
      <c r="AA943" s="11"/>
      <c r="AB943" s="12" t="s">
        <v>1670</v>
      </c>
      <c r="AC943" s="12">
        <v>46103</v>
      </c>
      <c r="AD943" s="12" t="s">
        <v>124</v>
      </c>
      <c r="AE943" s="42"/>
      <c r="AF943" s="43" t="s">
        <v>45</v>
      </c>
    </row>
    <row r="944" spans="1:32" x14ac:dyDescent="0.25">
      <c r="A944" s="44"/>
      <c r="B944" s="42"/>
      <c r="C944" s="42"/>
      <c r="D944" s="42"/>
      <c r="E944" s="42"/>
      <c r="F944" s="42"/>
      <c r="G944" s="42"/>
      <c r="H944" s="42"/>
      <c r="I944" s="48"/>
      <c r="J944" s="42"/>
      <c r="K944" s="42"/>
      <c r="L944" s="42"/>
      <c r="M944" s="42"/>
      <c r="N944" s="53"/>
      <c r="O944" s="11" t="s">
        <v>77</v>
      </c>
      <c r="P944" s="11" t="s">
        <v>77</v>
      </c>
      <c r="Q944" s="11" t="s">
        <v>77</v>
      </c>
      <c r="R944" s="11" t="s">
        <v>77</v>
      </c>
      <c r="S944" s="11"/>
      <c r="T944" s="12" t="s">
        <v>77</v>
      </c>
      <c r="U944" s="12" t="s">
        <v>77</v>
      </c>
      <c r="V944" s="4"/>
      <c r="W944" s="11" t="s">
        <v>1668</v>
      </c>
      <c r="X944" s="11" t="s">
        <v>42</v>
      </c>
      <c r="Y944" s="11" t="s">
        <v>2197</v>
      </c>
      <c r="Z944" s="11">
        <v>0.5</v>
      </c>
      <c r="AA944" s="11"/>
      <c r="AB944" s="12" t="s">
        <v>1670</v>
      </c>
      <c r="AC944" s="12">
        <v>46103</v>
      </c>
      <c r="AD944" s="12" t="s">
        <v>124</v>
      </c>
      <c r="AE944" s="42"/>
      <c r="AF944" s="42"/>
    </row>
    <row r="945" spans="1:32" x14ac:dyDescent="0.25">
      <c r="A945" s="44"/>
      <c r="B945" s="42"/>
      <c r="C945" s="42"/>
      <c r="D945" s="42"/>
      <c r="E945" s="42"/>
      <c r="F945" s="42"/>
      <c r="G945" s="42"/>
      <c r="H945" s="42"/>
      <c r="I945" s="48"/>
      <c r="J945" s="42"/>
      <c r="K945" s="42"/>
      <c r="L945" s="42"/>
      <c r="M945" s="42"/>
      <c r="N945" s="53"/>
      <c r="O945" s="11" t="s">
        <v>1796</v>
      </c>
      <c r="P945" s="11" t="s">
        <v>84</v>
      </c>
      <c r="Q945" s="20" t="s">
        <v>2226</v>
      </c>
      <c r="R945" s="11">
        <v>0.5</v>
      </c>
      <c r="S945" s="11"/>
      <c r="T945" s="12" t="s">
        <v>2216</v>
      </c>
      <c r="U945" s="12">
        <v>46372</v>
      </c>
      <c r="V945" s="4" t="s">
        <v>124</v>
      </c>
      <c r="W945" s="11" t="s">
        <v>1668</v>
      </c>
      <c r="X945" s="11" t="s">
        <v>42</v>
      </c>
      <c r="Y945" s="11" t="s">
        <v>2197</v>
      </c>
      <c r="Z945" s="11">
        <v>0.5</v>
      </c>
      <c r="AA945" s="11"/>
      <c r="AB945" s="12" t="s">
        <v>1670</v>
      </c>
      <c r="AC945" s="12">
        <v>46103</v>
      </c>
      <c r="AD945" s="12" t="s">
        <v>124</v>
      </c>
      <c r="AE945" s="42"/>
      <c r="AF945" s="42"/>
    </row>
    <row r="946" spans="1:32" ht="23.85" customHeight="1" x14ac:dyDescent="0.25">
      <c r="A946" s="44">
        <v>313</v>
      </c>
      <c r="B946" s="42" t="s">
        <v>1660</v>
      </c>
      <c r="C946" s="42" t="s">
        <v>2191</v>
      </c>
      <c r="D946" s="42">
        <v>355466</v>
      </c>
      <c r="E946" s="42" t="s">
        <v>2227</v>
      </c>
      <c r="F946" s="42" t="s">
        <v>31</v>
      </c>
      <c r="G946" s="42" t="s">
        <v>68</v>
      </c>
      <c r="H946" s="42" t="s">
        <v>1663</v>
      </c>
      <c r="I946" s="48" t="s">
        <v>2228</v>
      </c>
      <c r="J946" s="42" t="s">
        <v>71</v>
      </c>
      <c r="K946" s="42"/>
      <c r="L946" s="42" t="s">
        <v>1665</v>
      </c>
      <c r="M946" s="52">
        <v>48796</v>
      </c>
      <c r="N946" s="53" t="s">
        <v>2229</v>
      </c>
      <c r="O946" s="11" t="s">
        <v>1791</v>
      </c>
      <c r="P946" s="11" t="s">
        <v>156</v>
      </c>
      <c r="Q946" s="20" t="s">
        <v>2230</v>
      </c>
      <c r="R946" s="11">
        <v>0.5</v>
      </c>
      <c r="S946" s="11"/>
      <c r="T946" s="12" t="s">
        <v>2216</v>
      </c>
      <c r="U946" s="12">
        <v>46372</v>
      </c>
      <c r="V946" s="4" t="s">
        <v>124</v>
      </c>
      <c r="W946" s="11" t="s">
        <v>1668</v>
      </c>
      <c r="X946" s="11" t="s">
        <v>42</v>
      </c>
      <c r="Y946" s="11" t="s">
        <v>2197</v>
      </c>
      <c r="Z946" s="11">
        <v>0.5</v>
      </c>
      <c r="AA946" s="11"/>
      <c r="AB946" s="12" t="s">
        <v>1670</v>
      </c>
      <c r="AC946" s="12">
        <v>46103</v>
      </c>
      <c r="AD946" s="12" t="s">
        <v>124</v>
      </c>
      <c r="AE946" s="42"/>
      <c r="AF946" s="43" t="s">
        <v>45</v>
      </c>
    </row>
    <row r="947" spans="1:32" x14ac:dyDescent="0.25">
      <c r="A947" s="44"/>
      <c r="B947" s="42"/>
      <c r="C947" s="42"/>
      <c r="D947" s="42"/>
      <c r="E947" s="42"/>
      <c r="F947" s="42"/>
      <c r="G947" s="42"/>
      <c r="H947" s="42"/>
      <c r="I947" s="48"/>
      <c r="J947" s="42"/>
      <c r="K947" s="42"/>
      <c r="L947" s="42"/>
      <c r="M947" s="42"/>
      <c r="N947" s="53"/>
      <c r="O947" s="11" t="s">
        <v>77</v>
      </c>
      <c r="P947" s="11" t="s">
        <v>77</v>
      </c>
      <c r="Q947" s="11" t="s">
        <v>77</v>
      </c>
      <c r="R947" s="11" t="s">
        <v>77</v>
      </c>
      <c r="S947" s="11"/>
      <c r="T947" s="12" t="s">
        <v>77</v>
      </c>
      <c r="U947" s="12" t="s">
        <v>77</v>
      </c>
      <c r="V947" s="4"/>
      <c r="W947" s="11" t="s">
        <v>1668</v>
      </c>
      <c r="X947" s="11" t="s">
        <v>42</v>
      </c>
      <c r="Y947" s="11" t="s">
        <v>2197</v>
      </c>
      <c r="Z947" s="11">
        <v>0.5</v>
      </c>
      <c r="AA947" s="11"/>
      <c r="AB947" s="12" t="s">
        <v>1670</v>
      </c>
      <c r="AC947" s="12">
        <v>46103</v>
      </c>
      <c r="AD947" s="12" t="s">
        <v>124</v>
      </c>
      <c r="AE947" s="42"/>
      <c r="AF947" s="42"/>
    </row>
    <row r="948" spans="1:32" x14ac:dyDescent="0.25">
      <c r="A948" s="44"/>
      <c r="B948" s="42"/>
      <c r="C948" s="42"/>
      <c r="D948" s="42"/>
      <c r="E948" s="42"/>
      <c r="F948" s="42"/>
      <c r="G948" s="42"/>
      <c r="H948" s="42"/>
      <c r="I948" s="48"/>
      <c r="J948" s="42"/>
      <c r="K948" s="42"/>
      <c r="L948" s="42"/>
      <c r="M948" s="42"/>
      <c r="N948" s="53"/>
      <c r="O948" s="11" t="s">
        <v>1796</v>
      </c>
      <c r="P948" s="11" t="s">
        <v>156</v>
      </c>
      <c r="Q948" s="20" t="s">
        <v>2231</v>
      </c>
      <c r="R948" s="11">
        <v>0.5</v>
      </c>
      <c r="S948" s="11"/>
      <c r="T948" s="12" t="s">
        <v>2216</v>
      </c>
      <c r="U948" s="12">
        <v>46372</v>
      </c>
      <c r="V948" s="4" t="s">
        <v>124</v>
      </c>
      <c r="W948" s="11" t="s">
        <v>1668</v>
      </c>
      <c r="X948" s="11" t="s">
        <v>42</v>
      </c>
      <c r="Y948" s="11" t="s">
        <v>2197</v>
      </c>
      <c r="Z948" s="11">
        <v>0.5</v>
      </c>
      <c r="AA948" s="11"/>
      <c r="AB948" s="12" t="s">
        <v>1670</v>
      </c>
      <c r="AC948" s="12">
        <v>46103</v>
      </c>
      <c r="AD948" s="12" t="s">
        <v>124</v>
      </c>
      <c r="AE948" s="42"/>
      <c r="AF948" s="42"/>
    </row>
    <row r="949" spans="1:32" ht="23.85" customHeight="1" x14ac:dyDescent="0.25">
      <c r="A949" s="44">
        <v>314</v>
      </c>
      <c r="B949" s="42" t="s">
        <v>1660</v>
      </c>
      <c r="C949" s="42" t="s">
        <v>2191</v>
      </c>
      <c r="D949" s="42">
        <v>355466</v>
      </c>
      <c r="E949" s="42" t="s">
        <v>2232</v>
      </c>
      <c r="F949" s="42" t="s">
        <v>31</v>
      </c>
      <c r="G949" s="42" t="s">
        <v>68</v>
      </c>
      <c r="H949" s="42" t="s">
        <v>1663</v>
      </c>
      <c r="I949" s="48" t="s">
        <v>2233</v>
      </c>
      <c r="J949" s="42" t="s">
        <v>71</v>
      </c>
      <c r="K949" s="42"/>
      <c r="L949" s="42" t="s">
        <v>1701</v>
      </c>
      <c r="M949" s="52">
        <v>48797</v>
      </c>
      <c r="N949" s="53" t="s">
        <v>2234</v>
      </c>
      <c r="O949" s="11" t="s">
        <v>1791</v>
      </c>
      <c r="P949" s="11" t="s">
        <v>433</v>
      </c>
      <c r="Q949" s="11" t="s">
        <v>2235</v>
      </c>
      <c r="R949" s="11">
        <v>0.5</v>
      </c>
      <c r="S949" s="11"/>
      <c r="T949" s="12">
        <v>45812</v>
      </c>
      <c r="U949" s="12">
        <v>47273</v>
      </c>
      <c r="V949" s="4" t="s">
        <v>2236</v>
      </c>
      <c r="W949" s="11" t="s">
        <v>1668</v>
      </c>
      <c r="X949" s="11" t="s">
        <v>42</v>
      </c>
      <c r="Y949" s="11" t="s">
        <v>2197</v>
      </c>
      <c r="Z949" s="11">
        <v>0.5</v>
      </c>
      <c r="AA949" s="11"/>
      <c r="AB949" s="12" t="s">
        <v>1670</v>
      </c>
      <c r="AC949" s="12">
        <v>46103</v>
      </c>
      <c r="AD949" s="12" t="s">
        <v>124</v>
      </c>
      <c r="AE949" s="42"/>
      <c r="AF949" s="43" t="s">
        <v>45</v>
      </c>
    </row>
    <row r="950" spans="1:32" x14ac:dyDescent="0.25">
      <c r="A950" s="44"/>
      <c r="B950" s="42"/>
      <c r="C950" s="42"/>
      <c r="D950" s="42"/>
      <c r="E950" s="42"/>
      <c r="F950" s="42"/>
      <c r="G950" s="42"/>
      <c r="H950" s="42"/>
      <c r="I950" s="48"/>
      <c r="J950" s="42"/>
      <c r="K950" s="42"/>
      <c r="L950" s="42"/>
      <c r="M950" s="42"/>
      <c r="N950" s="53"/>
      <c r="O950" s="11" t="s">
        <v>77</v>
      </c>
      <c r="P950" s="11" t="s">
        <v>77</v>
      </c>
      <c r="Q950" s="11" t="s">
        <v>77</v>
      </c>
      <c r="R950" s="11" t="s">
        <v>77</v>
      </c>
      <c r="S950" s="11"/>
      <c r="T950" s="12" t="s">
        <v>77</v>
      </c>
      <c r="U950" s="12" t="s">
        <v>77</v>
      </c>
      <c r="V950" s="4"/>
      <c r="W950" s="11" t="s">
        <v>1668</v>
      </c>
      <c r="X950" s="11" t="s">
        <v>42</v>
      </c>
      <c r="Y950" s="11" t="s">
        <v>2197</v>
      </c>
      <c r="Z950" s="11">
        <v>0.5</v>
      </c>
      <c r="AA950" s="11"/>
      <c r="AB950" s="12" t="s">
        <v>1670</v>
      </c>
      <c r="AC950" s="12">
        <v>46103</v>
      </c>
      <c r="AD950" s="12" t="s">
        <v>124</v>
      </c>
      <c r="AE950" s="42"/>
      <c r="AF950" s="42"/>
    </row>
    <row r="951" spans="1:32" ht="38.25" x14ac:dyDescent="0.25">
      <c r="A951" s="44"/>
      <c r="B951" s="42"/>
      <c r="C951" s="42"/>
      <c r="D951" s="42"/>
      <c r="E951" s="42"/>
      <c r="F951" s="42"/>
      <c r="G951" s="42"/>
      <c r="H951" s="42"/>
      <c r="I951" s="48"/>
      <c r="J951" s="42"/>
      <c r="K951" s="42"/>
      <c r="L951" s="42"/>
      <c r="M951" s="42"/>
      <c r="N951" s="53"/>
      <c r="O951" s="11" t="s">
        <v>1796</v>
      </c>
      <c r="P951" s="11" t="s">
        <v>433</v>
      </c>
      <c r="Q951" s="11">
        <v>7887</v>
      </c>
      <c r="R951" s="11">
        <v>0.5</v>
      </c>
      <c r="S951" s="11"/>
      <c r="T951" s="12">
        <v>45812</v>
      </c>
      <c r="U951" s="12">
        <v>47273</v>
      </c>
      <c r="V951" s="4" t="s">
        <v>2237</v>
      </c>
      <c r="W951" s="11" t="s">
        <v>1668</v>
      </c>
      <c r="X951" s="11" t="s">
        <v>42</v>
      </c>
      <c r="Y951" s="11" t="s">
        <v>2197</v>
      </c>
      <c r="Z951" s="11">
        <v>0.5</v>
      </c>
      <c r="AA951" s="11"/>
      <c r="AB951" s="12" t="s">
        <v>1670</v>
      </c>
      <c r="AC951" s="12">
        <v>46103</v>
      </c>
      <c r="AD951" s="12" t="s">
        <v>124</v>
      </c>
      <c r="AE951" s="42"/>
      <c r="AF951" s="42"/>
    </row>
    <row r="952" spans="1:32" ht="23.85" customHeight="1" x14ac:dyDescent="0.25">
      <c r="A952" s="44">
        <v>315</v>
      </c>
      <c r="B952" s="42" t="s">
        <v>1660</v>
      </c>
      <c r="C952" s="42" t="s">
        <v>2191</v>
      </c>
      <c r="D952" s="42">
        <v>355466</v>
      </c>
      <c r="E952" s="42" t="s">
        <v>2238</v>
      </c>
      <c r="F952" s="42" t="s">
        <v>31</v>
      </c>
      <c r="G952" s="42" t="s">
        <v>68</v>
      </c>
      <c r="H952" s="42" t="s">
        <v>1663</v>
      </c>
      <c r="I952" s="48" t="s">
        <v>2239</v>
      </c>
      <c r="J952" s="42" t="s">
        <v>71</v>
      </c>
      <c r="K952" s="42"/>
      <c r="L952" s="42" t="s">
        <v>2167</v>
      </c>
      <c r="M952" s="52">
        <v>48758</v>
      </c>
      <c r="N952" s="53" t="s">
        <v>2240</v>
      </c>
      <c r="O952" s="11" t="s">
        <v>1791</v>
      </c>
      <c r="P952" s="11" t="s">
        <v>156</v>
      </c>
      <c r="Q952" s="20" t="s">
        <v>2241</v>
      </c>
      <c r="R952" s="11">
        <v>0.5</v>
      </c>
      <c r="S952" s="11"/>
      <c r="T952" s="12" t="s">
        <v>2242</v>
      </c>
      <c r="U952" s="12">
        <v>46373</v>
      </c>
      <c r="V952" s="4" t="s">
        <v>124</v>
      </c>
      <c r="W952" s="11" t="s">
        <v>1668</v>
      </c>
      <c r="X952" s="11" t="s">
        <v>42</v>
      </c>
      <c r="Y952" s="11" t="s">
        <v>2243</v>
      </c>
      <c r="Z952" s="11">
        <v>0.5</v>
      </c>
      <c r="AA952" s="11"/>
      <c r="AB952" s="12" t="s">
        <v>1670</v>
      </c>
      <c r="AC952" s="12">
        <v>46103</v>
      </c>
      <c r="AD952" s="12" t="s">
        <v>124</v>
      </c>
      <c r="AE952" s="42"/>
      <c r="AF952" s="43" t="s">
        <v>45</v>
      </c>
    </row>
    <row r="953" spans="1:32" x14ac:dyDescent="0.25">
      <c r="A953" s="44"/>
      <c r="B953" s="42"/>
      <c r="C953" s="42"/>
      <c r="D953" s="42"/>
      <c r="E953" s="42"/>
      <c r="F953" s="42"/>
      <c r="G953" s="42"/>
      <c r="H953" s="42"/>
      <c r="I953" s="48"/>
      <c r="J953" s="42"/>
      <c r="K953" s="42"/>
      <c r="L953" s="42"/>
      <c r="M953" s="42"/>
      <c r="N953" s="53"/>
      <c r="O953" s="11" t="s">
        <v>77</v>
      </c>
      <c r="P953" s="11" t="s">
        <v>77</v>
      </c>
      <c r="Q953" s="11" t="s">
        <v>77</v>
      </c>
      <c r="R953" s="11" t="s">
        <v>77</v>
      </c>
      <c r="S953" s="11"/>
      <c r="T953" s="12" t="s">
        <v>77</v>
      </c>
      <c r="U953" s="12" t="s">
        <v>77</v>
      </c>
      <c r="V953" s="4"/>
      <c r="W953" s="11" t="s">
        <v>1668</v>
      </c>
      <c r="X953" s="11" t="s">
        <v>42</v>
      </c>
      <c r="Y953" s="11" t="s">
        <v>2243</v>
      </c>
      <c r="Z953" s="11">
        <v>0.5</v>
      </c>
      <c r="AA953" s="11"/>
      <c r="AB953" s="12" t="s">
        <v>1670</v>
      </c>
      <c r="AC953" s="12">
        <v>46103</v>
      </c>
      <c r="AD953" s="12" t="s">
        <v>124</v>
      </c>
      <c r="AE953" s="42"/>
      <c r="AF953" s="42"/>
    </row>
    <row r="954" spans="1:32" x14ac:dyDescent="0.25">
      <c r="A954" s="44"/>
      <c r="B954" s="42"/>
      <c r="C954" s="42"/>
      <c r="D954" s="42"/>
      <c r="E954" s="42"/>
      <c r="F954" s="42"/>
      <c r="G954" s="42"/>
      <c r="H954" s="42"/>
      <c r="I954" s="48"/>
      <c r="J954" s="42"/>
      <c r="K954" s="42"/>
      <c r="L954" s="42"/>
      <c r="M954" s="42"/>
      <c r="N954" s="53"/>
      <c r="O954" s="11" t="s">
        <v>1796</v>
      </c>
      <c r="P954" s="11" t="s">
        <v>156</v>
      </c>
      <c r="Q954" s="20" t="s">
        <v>2244</v>
      </c>
      <c r="R954" s="11">
        <v>0.5</v>
      </c>
      <c r="S954" s="11"/>
      <c r="T954" s="12" t="s">
        <v>2242</v>
      </c>
      <c r="U954" s="12">
        <v>46373</v>
      </c>
      <c r="V954" s="4" t="s">
        <v>124</v>
      </c>
      <c r="W954" s="11" t="s">
        <v>1668</v>
      </c>
      <c r="X954" s="11" t="s">
        <v>42</v>
      </c>
      <c r="Y954" s="11" t="s">
        <v>2243</v>
      </c>
      <c r="Z954" s="11">
        <v>0.5</v>
      </c>
      <c r="AA954" s="11"/>
      <c r="AB954" s="12" t="s">
        <v>1670</v>
      </c>
      <c r="AC954" s="12">
        <v>46103</v>
      </c>
      <c r="AD954" s="12" t="s">
        <v>124</v>
      </c>
      <c r="AE954" s="42"/>
      <c r="AF954" s="42"/>
    </row>
    <row r="955" spans="1:32" ht="23.85" customHeight="1" x14ac:dyDescent="0.25">
      <c r="A955" s="44">
        <v>316</v>
      </c>
      <c r="B955" s="42" t="s">
        <v>1660</v>
      </c>
      <c r="C955" s="42" t="s">
        <v>2191</v>
      </c>
      <c r="D955" s="42">
        <v>355466</v>
      </c>
      <c r="E955" s="42" t="s">
        <v>1743</v>
      </c>
      <c r="F955" s="42" t="s">
        <v>31</v>
      </c>
      <c r="G955" s="42" t="s">
        <v>32</v>
      </c>
      <c r="H955" s="42" t="s">
        <v>1663</v>
      </c>
      <c r="I955" s="48" t="s">
        <v>2245</v>
      </c>
      <c r="J955" s="42" t="s">
        <v>71</v>
      </c>
      <c r="K955" s="42"/>
      <c r="L955" s="42" t="s">
        <v>1689</v>
      </c>
      <c r="M955" s="52">
        <v>48795</v>
      </c>
      <c r="N955" s="53" t="s">
        <v>2246</v>
      </c>
      <c r="O955" s="11" t="s">
        <v>1791</v>
      </c>
      <c r="P955" s="11" t="s">
        <v>156</v>
      </c>
      <c r="Q955" s="20" t="s">
        <v>2247</v>
      </c>
      <c r="R955" s="11">
        <v>0.5</v>
      </c>
      <c r="S955" s="11"/>
      <c r="T955" s="12" t="s">
        <v>2242</v>
      </c>
      <c r="U955" s="12">
        <v>46373</v>
      </c>
      <c r="V955" s="4" t="s">
        <v>124</v>
      </c>
      <c r="W955" s="11" t="s">
        <v>1668</v>
      </c>
      <c r="X955" s="11" t="s">
        <v>42</v>
      </c>
      <c r="Y955" s="11" t="s">
        <v>2243</v>
      </c>
      <c r="Z955" s="11">
        <v>0.5</v>
      </c>
      <c r="AA955" s="11"/>
      <c r="AB955" s="12" t="s">
        <v>1670</v>
      </c>
      <c r="AC955" s="12">
        <v>46103</v>
      </c>
      <c r="AD955" s="12" t="s">
        <v>124</v>
      </c>
      <c r="AE955" s="42"/>
      <c r="AF955" s="43" t="s">
        <v>45</v>
      </c>
    </row>
    <row r="956" spans="1:32" x14ac:dyDescent="0.25">
      <c r="A956" s="44"/>
      <c r="B956" s="42"/>
      <c r="C956" s="42"/>
      <c r="D956" s="42"/>
      <c r="E956" s="42"/>
      <c r="F956" s="42"/>
      <c r="G956" s="42"/>
      <c r="H956" s="42"/>
      <c r="I956" s="48"/>
      <c r="J956" s="42"/>
      <c r="K956" s="42"/>
      <c r="L956" s="42"/>
      <c r="M956" s="42"/>
      <c r="N956" s="53"/>
      <c r="O956" s="11" t="s">
        <v>77</v>
      </c>
      <c r="P956" s="11" t="s">
        <v>77</v>
      </c>
      <c r="Q956" s="11" t="s">
        <v>77</v>
      </c>
      <c r="R956" s="11" t="s">
        <v>77</v>
      </c>
      <c r="S956" s="11"/>
      <c r="T956" s="12" t="s">
        <v>77</v>
      </c>
      <c r="U956" s="12" t="s">
        <v>77</v>
      </c>
      <c r="V956" s="4"/>
      <c r="W956" s="11" t="s">
        <v>1668</v>
      </c>
      <c r="X956" s="11" t="s">
        <v>42</v>
      </c>
      <c r="Y956" s="11" t="s">
        <v>2243</v>
      </c>
      <c r="Z956" s="11">
        <v>0.5</v>
      </c>
      <c r="AA956" s="11"/>
      <c r="AB956" s="12" t="s">
        <v>1670</v>
      </c>
      <c r="AC956" s="12">
        <v>46103</v>
      </c>
      <c r="AD956" s="12" t="s">
        <v>124</v>
      </c>
      <c r="AE956" s="42"/>
      <c r="AF956" s="42"/>
    </row>
    <row r="957" spans="1:32" x14ac:dyDescent="0.25">
      <c r="A957" s="44"/>
      <c r="B957" s="42"/>
      <c r="C957" s="42"/>
      <c r="D957" s="42"/>
      <c r="E957" s="42"/>
      <c r="F957" s="42"/>
      <c r="G957" s="42"/>
      <c r="H957" s="42"/>
      <c r="I957" s="48"/>
      <c r="J957" s="42"/>
      <c r="K957" s="42"/>
      <c r="L957" s="42"/>
      <c r="M957" s="42"/>
      <c r="N957" s="53"/>
      <c r="O957" s="11" t="s">
        <v>1796</v>
      </c>
      <c r="P957" s="11" t="s">
        <v>156</v>
      </c>
      <c r="Q957" s="20" t="s">
        <v>2248</v>
      </c>
      <c r="R957" s="11">
        <v>0.5</v>
      </c>
      <c r="S957" s="11"/>
      <c r="T957" s="12" t="s">
        <v>2242</v>
      </c>
      <c r="U957" s="12">
        <v>46373</v>
      </c>
      <c r="V957" s="4" t="s">
        <v>124</v>
      </c>
      <c r="W957" s="11" t="s">
        <v>1668</v>
      </c>
      <c r="X957" s="11" t="s">
        <v>42</v>
      </c>
      <c r="Y957" s="11" t="s">
        <v>2243</v>
      </c>
      <c r="Z957" s="11">
        <v>0.5</v>
      </c>
      <c r="AA957" s="11"/>
      <c r="AB957" s="12" t="s">
        <v>1670</v>
      </c>
      <c r="AC957" s="12">
        <v>46103</v>
      </c>
      <c r="AD957" s="12" t="s">
        <v>124</v>
      </c>
      <c r="AE957" s="42"/>
      <c r="AF957" s="42"/>
    </row>
    <row r="958" spans="1:32" ht="23.85" customHeight="1" x14ac:dyDescent="0.25">
      <c r="A958" s="44">
        <v>317</v>
      </c>
      <c r="B958" s="42" t="s">
        <v>1660</v>
      </c>
      <c r="C958" s="42" t="s">
        <v>2191</v>
      </c>
      <c r="D958" s="42">
        <v>355466</v>
      </c>
      <c r="E958" s="42" t="s">
        <v>2249</v>
      </c>
      <c r="F958" s="42" t="s">
        <v>31</v>
      </c>
      <c r="G958" s="42" t="s">
        <v>32</v>
      </c>
      <c r="H958" s="42" t="s">
        <v>1663</v>
      </c>
      <c r="I958" s="48" t="s">
        <v>2250</v>
      </c>
      <c r="J958" s="42" t="s">
        <v>71</v>
      </c>
      <c r="K958" s="42"/>
      <c r="L958" s="52">
        <v>45013</v>
      </c>
      <c r="M958" s="52">
        <v>49396</v>
      </c>
      <c r="N958" s="53" t="s">
        <v>2251</v>
      </c>
      <c r="O958" s="11" t="s">
        <v>1791</v>
      </c>
      <c r="P958" s="11" t="s">
        <v>156</v>
      </c>
      <c r="Q958" s="20" t="s">
        <v>2252</v>
      </c>
      <c r="R958" s="11">
        <v>0.5</v>
      </c>
      <c r="S958" s="11"/>
      <c r="T958" s="12" t="s">
        <v>2242</v>
      </c>
      <c r="U958" s="12">
        <v>46373</v>
      </c>
      <c r="V958" s="4" t="s">
        <v>124</v>
      </c>
      <c r="W958" s="11" t="s">
        <v>1668</v>
      </c>
      <c r="X958" s="11" t="s">
        <v>42</v>
      </c>
      <c r="Y958" s="11" t="s">
        <v>2243</v>
      </c>
      <c r="Z958" s="11">
        <v>0.5</v>
      </c>
      <c r="AA958" s="11"/>
      <c r="AB958" s="12" t="s">
        <v>1670</v>
      </c>
      <c r="AC958" s="12">
        <v>46103</v>
      </c>
      <c r="AD958" s="12" t="s">
        <v>124</v>
      </c>
      <c r="AE958" s="42"/>
      <c r="AF958" s="43" t="s">
        <v>45</v>
      </c>
    </row>
    <row r="959" spans="1:32" x14ac:dyDescent="0.25">
      <c r="A959" s="44"/>
      <c r="B959" s="42"/>
      <c r="C959" s="42"/>
      <c r="D959" s="42"/>
      <c r="E959" s="42"/>
      <c r="F959" s="42"/>
      <c r="G959" s="42"/>
      <c r="H959" s="42"/>
      <c r="I959" s="48"/>
      <c r="J959" s="42"/>
      <c r="K959" s="42"/>
      <c r="L959" s="42"/>
      <c r="M959" s="42"/>
      <c r="N959" s="53"/>
      <c r="O959" s="11" t="s">
        <v>77</v>
      </c>
      <c r="P959" s="11" t="s">
        <v>77</v>
      </c>
      <c r="Q959" s="11" t="s">
        <v>77</v>
      </c>
      <c r="R959" s="11" t="s">
        <v>77</v>
      </c>
      <c r="S959" s="11"/>
      <c r="T959" s="12" t="s">
        <v>77</v>
      </c>
      <c r="U959" s="12" t="s">
        <v>77</v>
      </c>
      <c r="V959" s="4"/>
      <c r="W959" s="11" t="s">
        <v>1668</v>
      </c>
      <c r="X959" s="11" t="s">
        <v>42</v>
      </c>
      <c r="Y959" s="11" t="s">
        <v>2243</v>
      </c>
      <c r="Z959" s="11">
        <v>0.5</v>
      </c>
      <c r="AA959" s="11"/>
      <c r="AB959" s="12" t="s">
        <v>1670</v>
      </c>
      <c r="AC959" s="12">
        <v>46103</v>
      </c>
      <c r="AD959" s="12" t="s">
        <v>124</v>
      </c>
      <c r="AE959" s="42"/>
      <c r="AF959" s="42"/>
    </row>
    <row r="960" spans="1:32" x14ac:dyDescent="0.25">
      <c r="A960" s="44"/>
      <c r="B960" s="42"/>
      <c r="C960" s="42"/>
      <c r="D960" s="42"/>
      <c r="E960" s="42"/>
      <c r="F960" s="42"/>
      <c r="G960" s="42"/>
      <c r="H960" s="42"/>
      <c r="I960" s="48"/>
      <c r="J960" s="42"/>
      <c r="K960" s="42"/>
      <c r="L960" s="42"/>
      <c r="M960" s="42"/>
      <c r="N960" s="53"/>
      <c r="O960" s="11" t="s">
        <v>1796</v>
      </c>
      <c r="P960" s="11" t="s">
        <v>156</v>
      </c>
      <c r="Q960" s="20" t="s">
        <v>2253</v>
      </c>
      <c r="R960" s="11">
        <v>0.5</v>
      </c>
      <c r="S960" s="11"/>
      <c r="T960" s="12" t="s">
        <v>2242</v>
      </c>
      <c r="U960" s="12">
        <v>46373</v>
      </c>
      <c r="V960" s="4" t="s">
        <v>124</v>
      </c>
      <c r="W960" s="11" t="s">
        <v>1668</v>
      </c>
      <c r="X960" s="11" t="s">
        <v>42</v>
      </c>
      <c r="Y960" s="11" t="s">
        <v>2243</v>
      </c>
      <c r="Z960" s="11">
        <v>0.5</v>
      </c>
      <c r="AA960" s="11"/>
      <c r="AB960" s="12" t="s">
        <v>1670</v>
      </c>
      <c r="AC960" s="12">
        <v>46103</v>
      </c>
      <c r="AD960" s="12" t="s">
        <v>124</v>
      </c>
      <c r="AE960" s="42"/>
      <c r="AF960" s="42"/>
    </row>
    <row r="961" spans="1:32" ht="23.85" customHeight="1" x14ac:dyDescent="0.25">
      <c r="A961" s="44">
        <v>318</v>
      </c>
      <c r="B961" s="42" t="s">
        <v>1660</v>
      </c>
      <c r="C961" s="42" t="s">
        <v>2191</v>
      </c>
      <c r="D961" s="42">
        <v>355466</v>
      </c>
      <c r="E961" s="42" t="s">
        <v>2254</v>
      </c>
      <c r="F961" s="42" t="s">
        <v>31</v>
      </c>
      <c r="G961" s="42" t="s">
        <v>68</v>
      </c>
      <c r="H961" s="42" t="s">
        <v>1663</v>
      </c>
      <c r="I961" s="48" t="s">
        <v>2255</v>
      </c>
      <c r="J961" s="42" t="s">
        <v>71</v>
      </c>
      <c r="K961" s="42"/>
      <c r="L961" s="42" t="s">
        <v>1701</v>
      </c>
      <c r="M961" s="52">
        <v>48797</v>
      </c>
      <c r="N961" s="53" t="s">
        <v>2256</v>
      </c>
      <c r="O961" s="11" t="s">
        <v>1791</v>
      </c>
      <c r="P961" s="11" t="s">
        <v>116</v>
      </c>
      <c r="Q961" s="20" t="s">
        <v>2257</v>
      </c>
      <c r="R961" s="11">
        <v>0.5</v>
      </c>
      <c r="S961" s="11"/>
      <c r="T961" s="12" t="s">
        <v>2242</v>
      </c>
      <c r="U961" s="12">
        <v>46373</v>
      </c>
      <c r="V961" s="4" t="s">
        <v>124</v>
      </c>
      <c r="W961" s="11" t="s">
        <v>1668</v>
      </c>
      <c r="X961" s="11" t="s">
        <v>42</v>
      </c>
      <c r="Y961" s="11" t="s">
        <v>2243</v>
      </c>
      <c r="Z961" s="11">
        <v>0.5</v>
      </c>
      <c r="AA961" s="11"/>
      <c r="AB961" s="12" t="s">
        <v>1670</v>
      </c>
      <c r="AC961" s="12">
        <v>46103</v>
      </c>
      <c r="AD961" s="12" t="s">
        <v>124</v>
      </c>
      <c r="AE961" s="42"/>
      <c r="AF961" s="43" t="s">
        <v>45</v>
      </c>
    </row>
    <row r="962" spans="1:32" x14ac:dyDescent="0.25">
      <c r="A962" s="44"/>
      <c r="B962" s="42"/>
      <c r="C962" s="42"/>
      <c r="D962" s="42"/>
      <c r="E962" s="42"/>
      <c r="F962" s="42"/>
      <c r="G962" s="42"/>
      <c r="H962" s="42"/>
      <c r="I962" s="48"/>
      <c r="J962" s="42"/>
      <c r="K962" s="42"/>
      <c r="L962" s="42"/>
      <c r="M962" s="42"/>
      <c r="N962" s="53"/>
      <c r="O962" s="11" t="s">
        <v>77</v>
      </c>
      <c r="P962" s="11" t="s">
        <v>77</v>
      </c>
      <c r="Q962" s="11" t="s">
        <v>77</v>
      </c>
      <c r="R962" s="11" t="s">
        <v>77</v>
      </c>
      <c r="S962" s="11"/>
      <c r="T962" s="12" t="s">
        <v>77</v>
      </c>
      <c r="U962" s="12" t="s">
        <v>77</v>
      </c>
      <c r="V962" s="4"/>
      <c r="W962" s="11" t="s">
        <v>1668</v>
      </c>
      <c r="X962" s="11" t="s">
        <v>42</v>
      </c>
      <c r="Y962" s="11" t="s">
        <v>2243</v>
      </c>
      <c r="Z962" s="11">
        <v>0.5</v>
      </c>
      <c r="AA962" s="11"/>
      <c r="AB962" s="12" t="s">
        <v>1670</v>
      </c>
      <c r="AC962" s="12">
        <v>46103</v>
      </c>
      <c r="AD962" s="12" t="s">
        <v>124</v>
      </c>
      <c r="AE962" s="42"/>
      <c r="AF962" s="42"/>
    </row>
    <row r="963" spans="1:32" x14ac:dyDescent="0.25">
      <c r="A963" s="44"/>
      <c r="B963" s="42"/>
      <c r="C963" s="42"/>
      <c r="D963" s="42"/>
      <c r="E963" s="42"/>
      <c r="F963" s="42"/>
      <c r="G963" s="42"/>
      <c r="H963" s="42"/>
      <c r="I963" s="48"/>
      <c r="J963" s="42"/>
      <c r="K963" s="42"/>
      <c r="L963" s="42"/>
      <c r="M963" s="42"/>
      <c r="N963" s="53"/>
      <c r="O963" s="11" t="s">
        <v>1796</v>
      </c>
      <c r="P963" s="11" t="s">
        <v>116</v>
      </c>
      <c r="Q963" s="20" t="s">
        <v>2258</v>
      </c>
      <c r="R963" s="11">
        <v>0.5</v>
      </c>
      <c r="S963" s="11"/>
      <c r="T963" s="12" t="s">
        <v>2242</v>
      </c>
      <c r="U963" s="12">
        <v>46373</v>
      </c>
      <c r="V963" s="4" t="s">
        <v>124</v>
      </c>
      <c r="W963" s="11" t="s">
        <v>1668</v>
      </c>
      <c r="X963" s="11" t="s">
        <v>42</v>
      </c>
      <c r="Y963" s="11" t="s">
        <v>2243</v>
      </c>
      <c r="Z963" s="11">
        <v>0.5</v>
      </c>
      <c r="AA963" s="11"/>
      <c r="AB963" s="12" t="s">
        <v>1670</v>
      </c>
      <c r="AC963" s="12">
        <v>46103</v>
      </c>
      <c r="AD963" s="12" t="s">
        <v>124</v>
      </c>
      <c r="AE963" s="42"/>
      <c r="AF963" s="42"/>
    </row>
    <row r="964" spans="1:32" ht="23.85" customHeight="1" x14ac:dyDescent="0.25">
      <c r="A964" s="44">
        <v>319</v>
      </c>
      <c r="B964" s="42" t="s">
        <v>1660</v>
      </c>
      <c r="C964" s="42" t="s">
        <v>2191</v>
      </c>
      <c r="D964" s="42">
        <v>355466</v>
      </c>
      <c r="E964" s="42" t="s">
        <v>2259</v>
      </c>
      <c r="F964" s="42" t="s">
        <v>31</v>
      </c>
      <c r="G964" s="42" t="s">
        <v>32</v>
      </c>
      <c r="H964" s="42" t="s">
        <v>1663</v>
      </c>
      <c r="I964" s="48" t="s">
        <v>2260</v>
      </c>
      <c r="J964" s="42" t="s">
        <v>71</v>
      </c>
      <c r="K964" s="42"/>
      <c r="L964" s="42" t="s">
        <v>1665</v>
      </c>
      <c r="M964" s="52">
        <v>48796</v>
      </c>
      <c r="N964" s="53" t="s">
        <v>2261</v>
      </c>
      <c r="O964" s="11" t="s">
        <v>1791</v>
      </c>
      <c r="P964" s="11" t="s">
        <v>156</v>
      </c>
      <c r="Q964" s="20" t="s">
        <v>2262</v>
      </c>
      <c r="R964" s="11">
        <v>0.5</v>
      </c>
      <c r="S964" s="11"/>
      <c r="T964" s="12" t="s">
        <v>2263</v>
      </c>
      <c r="U964" s="12">
        <v>46374</v>
      </c>
      <c r="V964" s="4" t="s">
        <v>124</v>
      </c>
      <c r="W964" s="11" t="s">
        <v>1668</v>
      </c>
      <c r="X964" s="11" t="s">
        <v>42</v>
      </c>
      <c r="Y964" s="11" t="s">
        <v>2243</v>
      </c>
      <c r="Z964" s="11">
        <v>0.5</v>
      </c>
      <c r="AA964" s="11"/>
      <c r="AB964" s="12" t="s">
        <v>1670</v>
      </c>
      <c r="AC964" s="12">
        <v>46103</v>
      </c>
      <c r="AD964" s="12" t="s">
        <v>124</v>
      </c>
      <c r="AE964" s="42"/>
      <c r="AF964" s="43" t="s">
        <v>45</v>
      </c>
    </row>
    <row r="965" spans="1:32" x14ac:dyDescent="0.25">
      <c r="A965" s="44"/>
      <c r="B965" s="42"/>
      <c r="C965" s="42"/>
      <c r="D965" s="42"/>
      <c r="E965" s="42"/>
      <c r="F965" s="42"/>
      <c r="G965" s="42"/>
      <c r="H965" s="42"/>
      <c r="I965" s="48"/>
      <c r="J965" s="42"/>
      <c r="K965" s="42"/>
      <c r="L965" s="42"/>
      <c r="M965" s="42"/>
      <c r="N965" s="53"/>
      <c r="O965" s="11" t="s">
        <v>77</v>
      </c>
      <c r="P965" s="11" t="s">
        <v>77</v>
      </c>
      <c r="Q965" s="11" t="s">
        <v>77</v>
      </c>
      <c r="R965" s="11" t="s">
        <v>77</v>
      </c>
      <c r="S965" s="11"/>
      <c r="T965" s="12" t="s">
        <v>77</v>
      </c>
      <c r="U965" s="12" t="s">
        <v>77</v>
      </c>
      <c r="V965" s="4"/>
      <c r="W965" s="11" t="s">
        <v>1668</v>
      </c>
      <c r="X965" s="11" t="s">
        <v>42</v>
      </c>
      <c r="Y965" s="11" t="s">
        <v>2243</v>
      </c>
      <c r="Z965" s="11">
        <v>0.5</v>
      </c>
      <c r="AA965" s="11"/>
      <c r="AB965" s="12" t="s">
        <v>1670</v>
      </c>
      <c r="AC965" s="12">
        <v>46103</v>
      </c>
      <c r="AD965" s="12" t="s">
        <v>124</v>
      </c>
      <c r="AE965" s="42"/>
      <c r="AF965" s="42"/>
    </row>
    <row r="966" spans="1:32" x14ac:dyDescent="0.25">
      <c r="A966" s="44"/>
      <c r="B966" s="42"/>
      <c r="C966" s="42"/>
      <c r="D966" s="42"/>
      <c r="E966" s="42"/>
      <c r="F966" s="42"/>
      <c r="G966" s="42"/>
      <c r="H966" s="42"/>
      <c r="I966" s="48"/>
      <c r="J966" s="42"/>
      <c r="K966" s="42"/>
      <c r="L966" s="42"/>
      <c r="M966" s="42"/>
      <c r="N966" s="53"/>
      <c r="O966" s="11" t="s">
        <v>1796</v>
      </c>
      <c r="P966" s="11" t="s">
        <v>156</v>
      </c>
      <c r="Q966" s="20" t="s">
        <v>2264</v>
      </c>
      <c r="R966" s="11">
        <v>0.5</v>
      </c>
      <c r="S966" s="11"/>
      <c r="T966" s="12" t="s">
        <v>2263</v>
      </c>
      <c r="U966" s="12">
        <v>46374</v>
      </c>
      <c r="V966" s="4" t="s">
        <v>124</v>
      </c>
      <c r="W966" s="11" t="s">
        <v>1668</v>
      </c>
      <c r="X966" s="11" t="s">
        <v>42</v>
      </c>
      <c r="Y966" s="11" t="s">
        <v>2243</v>
      </c>
      <c r="Z966" s="11">
        <v>0.5</v>
      </c>
      <c r="AA966" s="11"/>
      <c r="AB966" s="12" t="s">
        <v>1670</v>
      </c>
      <c r="AC966" s="12">
        <v>46103</v>
      </c>
      <c r="AD966" s="12" t="s">
        <v>124</v>
      </c>
      <c r="AE966" s="42"/>
      <c r="AF966" s="42"/>
    </row>
    <row r="967" spans="1:32" ht="23.85" customHeight="1" x14ac:dyDescent="0.25">
      <c r="A967" s="44">
        <v>320</v>
      </c>
      <c r="B967" s="42" t="s">
        <v>1660</v>
      </c>
      <c r="C967" s="42" t="s">
        <v>2191</v>
      </c>
      <c r="D967" s="42">
        <v>355466</v>
      </c>
      <c r="E967" s="42" t="s">
        <v>2265</v>
      </c>
      <c r="F967" s="42" t="s">
        <v>31</v>
      </c>
      <c r="G967" s="42" t="s">
        <v>68</v>
      </c>
      <c r="H967" s="42" t="s">
        <v>1663</v>
      </c>
      <c r="I967" s="48" t="s">
        <v>2266</v>
      </c>
      <c r="J967" s="42" t="s">
        <v>71</v>
      </c>
      <c r="K967" s="42"/>
      <c r="L967" s="42" t="s">
        <v>1689</v>
      </c>
      <c r="M967" s="52">
        <v>48795</v>
      </c>
      <c r="N967" s="53" t="s">
        <v>2267</v>
      </c>
      <c r="O967" s="11" t="s">
        <v>1791</v>
      </c>
      <c r="P967" s="11" t="s">
        <v>433</v>
      </c>
      <c r="Q967" s="20" t="s">
        <v>2268</v>
      </c>
      <c r="R967" s="11">
        <v>0.5</v>
      </c>
      <c r="S967" s="11"/>
      <c r="T967" s="12" t="s">
        <v>2263</v>
      </c>
      <c r="U967" s="12">
        <v>46374</v>
      </c>
      <c r="V967" s="4" t="s">
        <v>124</v>
      </c>
      <c r="W967" s="11" t="s">
        <v>1668</v>
      </c>
      <c r="X967" s="11" t="s">
        <v>42</v>
      </c>
      <c r="Y967" s="11" t="s">
        <v>2243</v>
      </c>
      <c r="Z967" s="11">
        <v>0.5</v>
      </c>
      <c r="AA967" s="11"/>
      <c r="AB967" s="12" t="s">
        <v>1670</v>
      </c>
      <c r="AC967" s="12">
        <v>46103</v>
      </c>
      <c r="AD967" s="12" t="s">
        <v>124</v>
      </c>
      <c r="AE967" s="42"/>
      <c r="AF967" s="43" t="s">
        <v>45</v>
      </c>
    </row>
    <row r="968" spans="1:32" x14ac:dyDescent="0.25">
      <c r="A968" s="44"/>
      <c r="B968" s="42"/>
      <c r="C968" s="42"/>
      <c r="D968" s="42"/>
      <c r="E968" s="42"/>
      <c r="F968" s="42"/>
      <c r="G968" s="42"/>
      <c r="H968" s="42"/>
      <c r="I968" s="48"/>
      <c r="J968" s="42"/>
      <c r="K968" s="42"/>
      <c r="L968" s="42"/>
      <c r="M968" s="42"/>
      <c r="N968" s="53"/>
      <c r="O968" s="11" t="s">
        <v>77</v>
      </c>
      <c r="P968" s="11" t="s">
        <v>77</v>
      </c>
      <c r="Q968" s="11" t="s">
        <v>77</v>
      </c>
      <c r="R968" s="11" t="s">
        <v>77</v>
      </c>
      <c r="S968" s="11"/>
      <c r="T968" s="12" t="s">
        <v>77</v>
      </c>
      <c r="U968" s="12" t="s">
        <v>77</v>
      </c>
      <c r="V968" s="4"/>
      <c r="W968" s="11" t="s">
        <v>1668</v>
      </c>
      <c r="X968" s="11" t="s">
        <v>42</v>
      </c>
      <c r="Y968" s="11" t="s">
        <v>2243</v>
      </c>
      <c r="Z968" s="11">
        <v>0.5</v>
      </c>
      <c r="AA968" s="11"/>
      <c r="AB968" s="12" t="s">
        <v>1670</v>
      </c>
      <c r="AC968" s="12">
        <v>46103</v>
      </c>
      <c r="AD968" s="12" t="s">
        <v>124</v>
      </c>
      <c r="AE968" s="42"/>
      <c r="AF968" s="42"/>
    </row>
    <row r="969" spans="1:32" x14ac:dyDescent="0.25">
      <c r="A969" s="44"/>
      <c r="B969" s="42"/>
      <c r="C969" s="42"/>
      <c r="D969" s="42"/>
      <c r="E969" s="42"/>
      <c r="F969" s="42"/>
      <c r="G969" s="42"/>
      <c r="H969" s="42"/>
      <c r="I969" s="48"/>
      <c r="J969" s="42"/>
      <c r="K969" s="42"/>
      <c r="L969" s="42"/>
      <c r="M969" s="42"/>
      <c r="N969" s="53"/>
      <c r="O969" s="11" t="s">
        <v>1796</v>
      </c>
      <c r="P969" s="11" t="s">
        <v>433</v>
      </c>
      <c r="Q969" s="20" t="s">
        <v>2269</v>
      </c>
      <c r="R969" s="11">
        <v>0.5</v>
      </c>
      <c r="S969" s="11"/>
      <c r="T969" s="12" t="s">
        <v>2263</v>
      </c>
      <c r="U969" s="12">
        <v>46374</v>
      </c>
      <c r="V969" s="4" t="s">
        <v>124</v>
      </c>
      <c r="W969" s="11" t="s">
        <v>1668</v>
      </c>
      <c r="X969" s="11" t="s">
        <v>42</v>
      </c>
      <c r="Y969" s="11" t="s">
        <v>2243</v>
      </c>
      <c r="Z969" s="11">
        <v>0.5</v>
      </c>
      <c r="AA969" s="11"/>
      <c r="AB969" s="12" t="s">
        <v>1670</v>
      </c>
      <c r="AC969" s="12">
        <v>46103</v>
      </c>
      <c r="AD969" s="12" t="s">
        <v>124</v>
      </c>
      <c r="AE969" s="42"/>
      <c r="AF969" s="42"/>
    </row>
    <row r="970" spans="1:32" ht="23.85" customHeight="1" x14ac:dyDescent="0.25">
      <c r="A970" s="44">
        <v>321</v>
      </c>
      <c r="B970" s="42" t="s">
        <v>1660</v>
      </c>
      <c r="C970" s="42" t="s">
        <v>2191</v>
      </c>
      <c r="D970" s="42">
        <v>355466</v>
      </c>
      <c r="E970" s="42" t="s">
        <v>2270</v>
      </c>
      <c r="F970" s="42" t="s">
        <v>31</v>
      </c>
      <c r="G970" s="42" t="s">
        <v>68</v>
      </c>
      <c r="H970" s="42" t="s">
        <v>1663</v>
      </c>
      <c r="I970" s="48" t="s">
        <v>2271</v>
      </c>
      <c r="J970" s="42" t="s">
        <v>71</v>
      </c>
      <c r="K970" s="42"/>
      <c r="L970" s="42" t="s">
        <v>1689</v>
      </c>
      <c r="M970" s="52">
        <v>48795</v>
      </c>
      <c r="N970" s="53" t="s">
        <v>2272</v>
      </c>
      <c r="O970" s="11" t="s">
        <v>2273</v>
      </c>
      <c r="P970" s="11" t="s">
        <v>433</v>
      </c>
      <c r="Q970" s="11" t="s">
        <v>2274</v>
      </c>
      <c r="R970" s="11">
        <v>0.5</v>
      </c>
      <c r="S970" s="11"/>
      <c r="T970" s="12">
        <v>45812</v>
      </c>
      <c r="U970" s="12">
        <v>47273</v>
      </c>
      <c r="V970" s="4" t="s">
        <v>2275</v>
      </c>
      <c r="W970" s="11" t="s">
        <v>1668</v>
      </c>
      <c r="X970" s="11" t="s">
        <v>42</v>
      </c>
      <c r="Y970" s="11" t="s">
        <v>2243</v>
      </c>
      <c r="Z970" s="11">
        <v>0.5</v>
      </c>
      <c r="AA970" s="11"/>
      <c r="AB970" s="12" t="s">
        <v>1670</v>
      </c>
      <c r="AC970" s="12">
        <v>46103</v>
      </c>
      <c r="AD970" s="12" t="s">
        <v>124</v>
      </c>
      <c r="AE970" s="42"/>
      <c r="AF970" s="43" t="s">
        <v>45</v>
      </c>
    </row>
    <row r="971" spans="1:32" x14ac:dyDescent="0.25">
      <c r="A971" s="44"/>
      <c r="B971" s="42"/>
      <c r="C971" s="42"/>
      <c r="D971" s="42"/>
      <c r="E971" s="42"/>
      <c r="F971" s="42"/>
      <c r="G971" s="42"/>
      <c r="H971" s="42"/>
      <c r="I971" s="48"/>
      <c r="J971" s="42"/>
      <c r="K971" s="42"/>
      <c r="L971" s="42"/>
      <c r="M971" s="42"/>
      <c r="N971" s="53"/>
      <c r="O971" s="11" t="s">
        <v>77</v>
      </c>
      <c r="P971" s="11" t="s">
        <v>77</v>
      </c>
      <c r="Q971" s="11" t="s">
        <v>77</v>
      </c>
      <c r="R971" s="11" t="s">
        <v>77</v>
      </c>
      <c r="S971" s="11"/>
      <c r="T971" s="12" t="s">
        <v>77</v>
      </c>
      <c r="U971" s="12" t="s">
        <v>77</v>
      </c>
      <c r="V971" s="4"/>
      <c r="W971" s="11" t="s">
        <v>1668</v>
      </c>
      <c r="X971" s="11" t="s">
        <v>42</v>
      </c>
      <c r="Y971" s="11" t="s">
        <v>2243</v>
      </c>
      <c r="Z971" s="11">
        <v>0.5</v>
      </c>
      <c r="AA971" s="11"/>
      <c r="AB971" s="12" t="s">
        <v>1670</v>
      </c>
      <c r="AC971" s="12">
        <v>46103</v>
      </c>
      <c r="AD971" s="12" t="s">
        <v>124</v>
      </c>
      <c r="AE971" s="42"/>
      <c r="AF971" s="42"/>
    </row>
    <row r="972" spans="1:32" ht="38.25" x14ac:dyDescent="0.25">
      <c r="A972" s="44"/>
      <c r="B972" s="42"/>
      <c r="C972" s="42"/>
      <c r="D972" s="42"/>
      <c r="E972" s="42"/>
      <c r="F972" s="42"/>
      <c r="G972" s="42"/>
      <c r="H972" s="42"/>
      <c r="I972" s="48"/>
      <c r="J972" s="42"/>
      <c r="K972" s="42"/>
      <c r="L972" s="42"/>
      <c r="M972" s="42"/>
      <c r="N972" s="53"/>
      <c r="O972" s="11" t="s">
        <v>2276</v>
      </c>
      <c r="P972" s="11" t="s">
        <v>433</v>
      </c>
      <c r="Q972" s="11">
        <v>7959</v>
      </c>
      <c r="R972" s="11">
        <v>0.5</v>
      </c>
      <c r="S972" s="11"/>
      <c r="T972" s="12">
        <v>45812</v>
      </c>
      <c r="U972" s="12">
        <v>47272</v>
      </c>
      <c r="V972" s="4" t="s">
        <v>2277</v>
      </c>
      <c r="W972" s="11" t="s">
        <v>1668</v>
      </c>
      <c r="X972" s="11" t="s">
        <v>42</v>
      </c>
      <c r="Y972" s="11" t="s">
        <v>2243</v>
      </c>
      <c r="Z972" s="11">
        <v>0.5</v>
      </c>
      <c r="AA972" s="11"/>
      <c r="AB972" s="12" t="s">
        <v>1670</v>
      </c>
      <c r="AC972" s="12">
        <v>46103</v>
      </c>
      <c r="AD972" s="12" t="s">
        <v>124</v>
      </c>
      <c r="AE972" s="42"/>
      <c r="AF972" s="42"/>
    </row>
    <row r="973" spans="1:32" ht="23.85" customHeight="1" x14ac:dyDescent="0.25">
      <c r="A973" s="44">
        <v>322</v>
      </c>
      <c r="B973" s="42" t="s">
        <v>1660</v>
      </c>
      <c r="C973" s="42" t="s">
        <v>2191</v>
      </c>
      <c r="D973" s="42">
        <v>355466</v>
      </c>
      <c r="E973" s="42" t="s">
        <v>1861</v>
      </c>
      <c r="F973" s="42" t="s">
        <v>31</v>
      </c>
      <c r="G973" s="42" t="s">
        <v>68</v>
      </c>
      <c r="H973" s="42" t="s">
        <v>1663</v>
      </c>
      <c r="I973" s="48" t="s">
        <v>2278</v>
      </c>
      <c r="J973" s="42" t="s">
        <v>71</v>
      </c>
      <c r="K973" s="42"/>
      <c r="L973" s="42" t="s">
        <v>2167</v>
      </c>
      <c r="M973" s="52">
        <v>48758</v>
      </c>
      <c r="N973" s="53" t="s">
        <v>2279</v>
      </c>
      <c r="O973" s="11" t="s">
        <v>990</v>
      </c>
      <c r="P973" s="11" t="s">
        <v>84</v>
      </c>
      <c r="Q973" s="11" t="s">
        <v>2280</v>
      </c>
      <c r="R973" s="11">
        <v>0.5</v>
      </c>
      <c r="S973" s="11"/>
      <c r="T973" s="12" t="s">
        <v>2014</v>
      </c>
      <c r="U973" s="12">
        <v>49596</v>
      </c>
      <c r="V973" s="4" t="s">
        <v>124</v>
      </c>
      <c r="W973" s="11" t="s">
        <v>77</v>
      </c>
      <c r="X973" s="11" t="s">
        <v>77</v>
      </c>
      <c r="Y973" s="11" t="s">
        <v>77</v>
      </c>
      <c r="Z973" s="11">
        <v>0</v>
      </c>
      <c r="AA973" s="11"/>
      <c r="AB973" s="12" t="s">
        <v>77</v>
      </c>
      <c r="AC973" s="12" t="s">
        <v>77</v>
      </c>
      <c r="AD973" s="12"/>
      <c r="AE973" s="42"/>
      <c r="AF973" s="43" t="s">
        <v>995</v>
      </c>
    </row>
    <row r="974" spans="1:32" ht="25.5" x14ac:dyDescent="0.25">
      <c r="A974" s="44"/>
      <c r="B974" s="42"/>
      <c r="C974" s="42"/>
      <c r="D974" s="42"/>
      <c r="E974" s="42"/>
      <c r="F974" s="42"/>
      <c r="G974" s="42"/>
      <c r="H974" s="42"/>
      <c r="I974" s="48"/>
      <c r="J974" s="42"/>
      <c r="K974" s="42"/>
      <c r="L974" s="42"/>
      <c r="M974" s="42"/>
      <c r="N974" s="53"/>
      <c r="O974" s="11" t="s">
        <v>990</v>
      </c>
      <c r="P974" s="11" t="s">
        <v>84</v>
      </c>
      <c r="Q974" s="11" t="s">
        <v>2281</v>
      </c>
      <c r="R974" s="11">
        <v>0.5</v>
      </c>
      <c r="S974" s="11"/>
      <c r="T974" s="12" t="s">
        <v>1195</v>
      </c>
      <c r="U974" s="12">
        <v>49597</v>
      </c>
      <c r="V974" s="4" t="s">
        <v>124</v>
      </c>
      <c r="W974" s="11" t="s">
        <v>77</v>
      </c>
      <c r="X974" s="11" t="s">
        <v>77</v>
      </c>
      <c r="Y974" s="11" t="s">
        <v>77</v>
      </c>
      <c r="Z974" s="11" t="s">
        <v>77</v>
      </c>
      <c r="AA974" s="11"/>
      <c r="AB974" s="12" t="s">
        <v>77</v>
      </c>
      <c r="AC974" s="12" t="s">
        <v>77</v>
      </c>
      <c r="AD974" s="12"/>
      <c r="AE974" s="42"/>
      <c r="AF974" s="42"/>
    </row>
    <row r="975" spans="1:32" x14ac:dyDescent="0.25">
      <c r="A975" s="44"/>
      <c r="B975" s="42"/>
      <c r="C975" s="42"/>
      <c r="D975" s="42"/>
      <c r="E975" s="42"/>
      <c r="F975" s="42"/>
      <c r="G975" s="42"/>
      <c r="H975" s="42"/>
      <c r="I975" s="48"/>
      <c r="J975" s="42"/>
      <c r="K975" s="42"/>
      <c r="L975" s="42"/>
      <c r="M975" s="42"/>
      <c r="N975" s="53"/>
      <c r="O975" s="11" t="s">
        <v>997</v>
      </c>
      <c r="P975" s="11" t="s">
        <v>84</v>
      </c>
      <c r="Q975" s="11" t="s">
        <v>2282</v>
      </c>
      <c r="R975" s="11">
        <v>0.5</v>
      </c>
      <c r="S975" s="11"/>
      <c r="T975" s="12" t="s">
        <v>1195</v>
      </c>
      <c r="U975" s="12">
        <v>49597</v>
      </c>
      <c r="V975" s="4" t="s">
        <v>124</v>
      </c>
      <c r="W975" s="11" t="s">
        <v>77</v>
      </c>
      <c r="X975" s="11" t="s">
        <v>77</v>
      </c>
      <c r="Y975" s="11" t="s">
        <v>77</v>
      </c>
      <c r="Z975" s="11" t="s">
        <v>77</v>
      </c>
      <c r="AA975" s="11"/>
      <c r="AB975" s="12" t="s">
        <v>77</v>
      </c>
      <c r="AC975" s="12" t="s">
        <v>77</v>
      </c>
      <c r="AD975" s="12"/>
      <c r="AE975" s="42"/>
      <c r="AF975" s="42"/>
    </row>
    <row r="976" spans="1:32" ht="23.85" customHeight="1" x14ac:dyDescent="0.25">
      <c r="A976" s="44">
        <v>323</v>
      </c>
      <c r="B976" s="42" t="s">
        <v>1660</v>
      </c>
      <c r="C976" s="42" t="s">
        <v>2191</v>
      </c>
      <c r="D976" s="42">
        <v>355466</v>
      </c>
      <c r="E976" s="42" t="s">
        <v>2283</v>
      </c>
      <c r="F976" s="42" t="s">
        <v>2284</v>
      </c>
      <c r="G976" s="42" t="s">
        <v>32</v>
      </c>
      <c r="H976" s="42" t="s">
        <v>1663</v>
      </c>
      <c r="I976" s="48" t="s">
        <v>2285</v>
      </c>
      <c r="J976" s="42" t="s">
        <v>71</v>
      </c>
      <c r="K976" s="42"/>
      <c r="L976" s="42" t="s">
        <v>1665</v>
      </c>
      <c r="M976" s="52">
        <v>48796</v>
      </c>
      <c r="N976" s="53" t="s">
        <v>2286</v>
      </c>
      <c r="O976" s="11" t="s">
        <v>2287</v>
      </c>
      <c r="P976" s="11" t="s">
        <v>116</v>
      </c>
      <c r="Q976" s="11" t="s">
        <v>2288</v>
      </c>
      <c r="R976" s="11">
        <v>0.5</v>
      </c>
      <c r="S976" s="11"/>
      <c r="T976" s="12">
        <v>44767</v>
      </c>
      <c r="U976" s="12">
        <v>46228</v>
      </c>
      <c r="V976" s="13" t="s">
        <v>2289</v>
      </c>
      <c r="W976" s="11" t="s">
        <v>2290</v>
      </c>
      <c r="X976" s="11" t="s">
        <v>2291</v>
      </c>
      <c r="Y976" s="11" t="s">
        <v>2292</v>
      </c>
      <c r="Z976" s="11">
        <v>0.5</v>
      </c>
      <c r="AA976" s="11"/>
      <c r="AB976" s="12" t="s">
        <v>2293</v>
      </c>
      <c r="AC976" s="12">
        <v>46358</v>
      </c>
      <c r="AD976" s="12" t="s">
        <v>124</v>
      </c>
      <c r="AE976" s="42"/>
      <c r="AF976" s="43" t="s">
        <v>45</v>
      </c>
    </row>
    <row r="977" spans="1:32" ht="25.5" x14ac:dyDescent="0.25">
      <c r="A977" s="44"/>
      <c r="B977" s="42"/>
      <c r="C977" s="42"/>
      <c r="D977" s="42"/>
      <c r="E977" s="42"/>
      <c r="F977" s="42"/>
      <c r="G977" s="42"/>
      <c r="H977" s="42"/>
      <c r="I977" s="48"/>
      <c r="J977" s="42"/>
      <c r="K977" s="42"/>
      <c r="L977" s="42"/>
      <c r="M977" s="42"/>
      <c r="N977" s="53"/>
      <c r="O977" s="11" t="s">
        <v>77</v>
      </c>
      <c r="P977" s="11" t="s">
        <v>77</v>
      </c>
      <c r="Q977" s="11" t="s">
        <v>77</v>
      </c>
      <c r="R977" s="11" t="s">
        <v>77</v>
      </c>
      <c r="S977" s="11"/>
      <c r="T977" s="12" t="s">
        <v>77</v>
      </c>
      <c r="U977" s="12" t="s">
        <v>77</v>
      </c>
      <c r="V977" s="4"/>
      <c r="W977" s="11" t="s">
        <v>2290</v>
      </c>
      <c r="X977" s="11" t="s">
        <v>2291</v>
      </c>
      <c r="Y977" s="11" t="s">
        <v>2294</v>
      </c>
      <c r="Z977" s="11">
        <v>0.5</v>
      </c>
      <c r="AA977" s="11"/>
      <c r="AB977" s="12" t="s">
        <v>2293</v>
      </c>
      <c r="AC977" s="12">
        <v>46358</v>
      </c>
      <c r="AD977" s="12" t="s">
        <v>124</v>
      </c>
      <c r="AE977" s="42"/>
      <c r="AF977" s="42"/>
    </row>
    <row r="978" spans="1:32" ht="45" x14ac:dyDescent="0.25">
      <c r="A978" s="44"/>
      <c r="B978" s="42"/>
      <c r="C978" s="42"/>
      <c r="D978" s="42"/>
      <c r="E978" s="42"/>
      <c r="F978" s="42"/>
      <c r="G978" s="42"/>
      <c r="H978" s="42"/>
      <c r="I978" s="48"/>
      <c r="J978" s="42"/>
      <c r="K978" s="42"/>
      <c r="L978" s="42"/>
      <c r="M978" s="42"/>
      <c r="N978" s="53"/>
      <c r="O978" s="11" t="s">
        <v>2295</v>
      </c>
      <c r="P978" s="11" t="s">
        <v>116</v>
      </c>
      <c r="Q978" s="11">
        <v>24310</v>
      </c>
      <c r="R978" s="11">
        <v>0.5</v>
      </c>
      <c r="S978" s="11"/>
      <c r="T978" s="12">
        <v>44767</v>
      </c>
      <c r="U978" s="12">
        <v>46228</v>
      </c>
      <c r="V978" s="13" t="s">
        <v>2296</v>
      </c>
      <c r="W978" s="11" t="s">
        <v>2297</v>
      </c>
      <c r="X978" s="11" t="s">
        <v>2291</v>
      </c>
      <c r="Y978" s="11" t="s">
        <v>2298</v>
      </c>
      <c r="Z978" s="11">
        <v>0.5</v>
      </c>
      <c r="AA978" s="11"/>
      <c r="AB978" s="12" t="s">
        <v>2293</v>
      </c>
      <c r="AC978" s="12">
        <v>46358</v>
      </c>
      <c r="AD978" s="12" t="s">
        <v>124</v>
      </c>
      <c r="AE978" s="42"/>
      <c r="AF978" s="42"/>
    </row>
    <row r="979" spans="1:32" ht="23.85" customHeight="1" x14ac:dyDescent="0.25">
      <c r="A979" s="44">
        <v>324</v>
      </c>
      <c r="B979" s="42" t="s">
        <v>1660</v>
      </c>
      <c r="C979" s="42" t="s">
        <v>2191</v>
      </c>
      <c r="D979" s="42">
        <v>355466</v>
      </c>
      <c r="E979" s="42" t="s">
        <v>2299</v>
      </c>
      <c r="F979" s="42" t="s">
        <v>2284</v>
      </c>
      <c r="G979" s="42" t="s">
        <v>32</v>
      </c>
      <c r="H979" s="42" t="s">
        <v>1663</v>
      </c>
      <c r="I979" s="48" t="s">
        <v>2300</v>
      </c>
      <c r="J979" s="42" t="s">
        <v>71</v>
      </c>
      <c r="K979" s="42"/>
      <c r="L979" s="42" t="s">
        <v>1689</v>
      </c>
      <c r="M979" s="52">
        <v>48795</v>
      </c>
      <c r="N979" s="53" t="s">
        <v>2301</v>
      </c>
      <c r="O979" s="11" t="s">
        <v>2287</v>
      </c>
      <c r="P979" s="11" t="s">
        <v>116</v>
      </c>
      <c r="Q979" s="11" t="s">
        <v>2302</v>
      </c>
      <c r="R979" s="11">
        <v>0.5</v>
      </c>
      <c r="S979" s="11"/>
      <c r="T979" s="12">
        <v>44767</v>
      </c>
      <c r="U979" s="12">
        <v>46228</v>
      </c>
      <c r="V979" s="13" t="s">
        <v>2303</v>
      </c>
      <c r="W979" s="11" t="s">
        <v>2290</v>
      </c>
      <c r="X979" s="11" t="s">
        <v>2291</v>
      </c>
      <c r="Y979" s="11" t="s">
        <v>2292</v>
      </c>
      <c r="Z979" s="11">
        <v>0.5</v>
      </c>
      <c r="AA979" s="11"/>
      <c r="AB979" s="12" t="s">
        <v>2293</v>
      </c>
      <c r="AC979" s="12">
        <v>46358</v>
      </c>
      <c r="AD979" s="12" t="s">
        <v>124</v>
      </c>
      <c r="AE979" s="42"/>
      <c r="AF979" s="43" t="s">
        <v>45</v>
      </c>
    </row>
    <row r="980" spans="1:32" ht="25.5" x14ac:dyDescent="0.25">
      <c r="A980" s="44"/>
      <c r="B980" s="42"/>
      <c r="C980" s="42"/>
      <c r="D980" s="42"/>
      <c r="E980" s="42"/>
      <c r="F980" s="42"/>
      <c r="G980" s="42"/>
      <c r="H980" s="42"/>
      <c r="I980" s="48"/>
      <c r="J980" s="42"/>
      <c r="K980" s="42"/>
      <c r="L980" s="42"/>
      <c r="M980" s="42"/>
      <c r="N980" s="53"/>
      <c r="O980" s="11" t="s">
        <v>77</v>
      </c>
      <c r="P980" s="11" t="s">
        <v>77</v>
      </c>
      <c r="Q980" s="11" t="s">
        <v>77</v>
      </c>
      <c r="R980" s="11" t="s">
        <v>77</v>
      </c>
      <c r="S980" s="11"/>
      <c r="T980" s="12" t="s">
        <v>77</v>
      </c>
      <c r="U980" s="12" t="s">
        <v>77</v>
      </c>
      <c r="V980" s="4"/>
      <c r="W980" s="11" t="s">
        <v>2290</v>
      </c>
      <c r="X980" s="11" t="s">
        <v>2291</v>
      </c>
      <c r="Y980" s="11" t="s">
        <v>2294</v>
      </c>
      <c r="Z980" s="11">
        <v>0.5</v>
      </c>
      <c r="AA980" s="11"/>
      <c r="AB980" s="12" t="s">
        <v>2293</v>
      </c>
      <c r="AC980" s="12">
        <v>46358</v>
      </c>
      <c r="AD980" s="12" t="s">
        <v>124</v>
      </c>
      <c r="AE980" s="42"/>
      <c r="AF980" s="42"/>
    </row>
    <row r="981" spans="1:32" ht="45" x14ac:dyDescent="0.25">
      <c r="A981" s="44"/>
      <c r="B981" s="42"/>
      <c r="C981" s="42"/>
      <c r="D981" s="42"/>
      <c r="E981" s="42"/>
      <c r="F981" s="42"/>
      <c r="G981" s="42"/>
      <c r="H981" s="42"/>
      <c r="I981" s="48"/>
      <c r="J981" s="42"/>
      <c r="K981" s="42"/>
      <c r="L981" s="42"/>
      <c r="M981" s="42"/>
      <c r="N981" s="53"/>
      <c r="O981" s="11" t="s">
        <v>2295</v>
      </c>
      <c r="P981" s="11" t="s">
        <v>116</v>
      </c>
      <c r="Q981" s="11">
        <v>24319</v>
      </c>
      <c r="R981" s="11">
        <v>0.5</v>
      </c>
      <c r="S981" s="11"/>
      <c r="T981" s="12">
        <v>44767</v>
      </c>
      <c r="U981" s="12">
        <v>46228</v>
      </c>
      <c r="V981" s="13" t="s">
        <v>2304</v>
      </c>
      <c r="W981" s="11" t="s">
        <v>2297</v>
      </c>
      <c r="X981" s="11" t="s">
        <v>2291</v>
      </c>
      <c r="Y981" s="11" t="s">
        <v>2298</v>
      </c>
      <c r="Z981" s="11">
        <v>0.5</v>
      </c>
      <c r="AA981" s="11"/>
      <c r="AB981" s="12" t="s">
        <v>2293</v>
      </c>
      <c r="AC981" s="12">
        <v>46358</v>
      </c>
      <c r="AD981" s="12" t="s">
        <v>124</v>
      </c>
      <c r="AE981" s="42"/>
      <c r="AF981" s="42"/>
    </row>
    <row r="982" spans="1:32" ht="23.85" customHeight="1" x14ac:dyDescent="0.25">
      <c r="A982" s="44">
        <v>325</v>
      </c>
      <c r="B982" s="42" t="s">
        <v>1660</v>
      </c>
      <c r="C982" s="42" t="s">
        <v>2191</v>
      </c>
      <c r="D982" s="42">
        <v>355466</v>
      </c>
      <c r="E982" s="42" t="s">
        <v>2305</v>
      </c>
      <c r="F982" s="42" t="s">
        <v>2284</v>
      </c>
      <c r="G982" s="42" t="s">
        <v>32</v>
      </c>
      <c r="H982" s="42" t="s">
        <v>1663</v>
      </c>
      <c r="I982" s="48" t="s">
        <v>2306</v>
      </c>
      <c r="J982" s="42" t="s">
        <v>71</v>
      </c>
      <c r="K982" s="42"/>
      <c r="L982" s="42" t="s">
        <v>1701</v>
      </c>
      <c r="M982" s="52">
        <v>48797</v>
      </c>
      <c r="N982" s="53" t="s">
        <v>2307</v>
      </c>
      <c r="O982" s="11" t="s">
        <v>2287</v>
      </c>
      <c r="P982" s="11" t="s">
        <v>84</v>
      </c>
      <c r="Q982" s="11" t="s">
        <v>2308</v>
      </c>
      <c r="R982" s="11">
        <v>0.5</v>
      </c>
      <c r="S982" s="11"/>
      <c r="T982" s="12" t="s">
        <v>1512</v>
      </c>
      <c r="U982" s="12">
        <v>46104</v>
      </c>
      <c r="V982" s="4" t="s">
        <v>124</v>
      </c>
      <c r="W982" s="11" t="s">
        <v>2290</v>
      </c>
      <c r="X982" s="11" t="s">
        <v>2291</v>
      </c>
      <c r="Y982" s="11" t="s">
        <v>2292</v>
      </c>
      <c r="Z982" s="11">
        <v>0.5</v>
      </c>
      <c r="AA982" s="11"/>
      <c r="AB982" s="12" t="s">
        <v>2293</v>
      </c>
      <c r="AC982" s="12">
        <v>46358</v>
      </c>
      <c r="AD982" s="12" t="s">
        <v>124</v>
      </c>
      <c r="AE982" s="42"/>
      <c r="AF982" s="43" t="s">
        <v>45</v>
      </c>
    </row>
    <row r="983" spans="1:32" ht="25.5" x14ac:dyDescent="0.25">
      <c r="A983" s="44"/>
      <c r="B983" s="42"/>
      <c r="C983" s="42"/>
      <c r="D983" s="42"/>
      <c r="E983" s="42"/>
      <c r="F983" s="42"/>
      <c r="G983" s="42"/>
      <c r="H983" s="42"/>
      <c r="I983" s="48"/>
      <c r="J983" s="42"/>
      <c r="K983" s="42"/>
      <c r="L983" s="42"/>
      <c r="M983" s="42"/>
      <c r="N983" s="53"/>
      <c r="O983" s="11" t="s">
        <v>77</v>
      </c>
      <c r="P983" s="11" t="s">
        <v>77</v>
      </c>
      <c r="Q983" s="11" t="s">
        <v>77</v>
      </c>
      <c r="R983" s="11" t="s">
        <v>77</v>
      </c>
      <c r="S983" s="11"/>
      <c r="T983" s="12" t="s">
        <v>77</v>
      </c>
      <c r="U983" s="12" t="s">
        <v>77</v>
      </c>
      <c r="V983" s="4"/>
      <c r="W983" s="11" t="s">
        <v>2290</v>
      </c>
      <c r="X983" s="11" t="s">
        <v>2291</v>
      </c>
      <c r="Y983" s="11" t="s">
        <v>2294</v>
      </c>
      <c r="Z983" s="11">
        <v>0.5</v>
      </c>
      <c r="AA983" s="11"/>
      <c r="AB983" s="12" t="s">
        <v>2293</v>
      </c>
      <c r="AC983" s="12">
        <v>46358</v>
      </c>
      <c r="AD983" s="12" t="s">
        <v>124</v>
      </c>
      <c r="AE983" s="42"/>
      <c r="AF983" s="42"/>
    </row>
    <row r="984" spans="1:32" x14ac:dyDescent="0.25">
      <c r="A984" s="44"/>
      <c r="B984" s="42"/>
      <c r="C984" s="42"/>
      <c r="D984" s="42"/>
      <c r="E984" s="42"/>
      <c r="F984" s="42"/>
      <c r="G984" s="42"/>
      <c r="H984" s="42"/>
      <c r="I984" s="48"/>
      <c r="J984" s="42"/>
      <c r="K984" s="42"/>
      <c r="L984" s="42"/>
      <c r="M984" s="42"/>
      <c r="N984" s="53"/>
      <c r="O984" s="11" t="s">
        <v>2295</v>
      </c>
      <c r="P984" s="11" t="s">
        <v>84</v>
      </c>
      <c r="Q984" s="11" t="s">
        <v>2309</v>
      </c>
      <c r="R984" s="11">
        <v>0.5</v>
      </c>
      <c r="S984" s="11"/>
      <c r="T984" s="12" t="s">
        <v>2310</v>
      </c>
      <c r="U984" s="12">
        <v>46096</v>
      </c>
      <c r="V984" s="4" t="s">
        <v>124</v>
      </c>
      <c r="W984" s="11" t="s">
        <v>2297</v>
      </c>
      <c r="X984" s="11" t="s">
        <v>2291</v>
      </c>
      <c r="Y984" s="11" t="s">
        <v>2298</v>
      </c>
      <c r="Z984" s="11">
        <v>0.5</v>
      </c>
      <c r="AA984" s="11"/>
      <c r="AB984" s="12" t="s">
        <v>2293</v>
      </c>
      <c r="AC984" s="12">
        <v>46358</v>
      </c>
      <c r="AD984" s="12" t="s">
        <v>124</v>
      </c>
      <c r="AE984" s="42"/>
      <c r="AF984" s="42"/>
    </row>
    <row r="985" spans="1:32" ht="23.85" customHeight="1" x14ac:dyDescent="0.25">
      <c r="A985" s="44">
        <v>326</v>
      </c>
      <c r="B985" s="42" t="s">
        <v>1660</v>
      </c>
      <c r="C985" s="42" t="s">
        <v>2191</v>
      </c>
      <c r="D985" s="42">
        <v>355466</v>
      </c>
      <c r="E985" s="42" t="s">
        <v>2311</v>
      </c>
      <c r="F985" s="42" t="s">
        <v>2284</v>
      </c>
      <c r="G985" s="42" t="s">
        <v>32</v>
      </c>
      <c r="H985" s="42" t="s">
        <v>1663</v>
      </c>
      <c r="I985" s="48" t="s">
        <v>2312</v>
      </c>
      <c r="J985" s="42" t="s">
        <v>71</v>
      </c>
      <c r="K985" s="42"/>
      <c r="L985" s="42" t="s">
        <v>1665</v>
      </c>
      <c r="M985" s="52">
        <v>48796</v>
      </c>
      <c r="N985" s="53" t="s">
        <v>2313</v>
      </c>
      <c r="O985" s="11" t="s">
        <v>2314</v>
      </c>
      <c r="P985" s="11" t="s">
        <v>163</v>
      </c>
      <c r="Q985" s="11" t="s">
        <v>2315</v>
      </c>
      <c r="R985" s="11">
        <v>0.5</v>
      </c>
      <c r="S985" s="11"/>
      <c r="T985" s="12" t="s">
        <v>1512</v>
      </c>
      <c r="U985" s="12">
        <v>46104</v>
      </c>
      <c r="V985" s="4" t="s">
        <v>124</v>
      </c>
      <c r="W985" s="11" t="s">
        <v>2316</v>
      </c>
      <c r="X985" s="11" t="s">
        <v>2291</v>
      </c>
      <c r="Y985" s="11" t="s">
        <v>2317</v>
      </c>
      <c r="Z985" s="11">
        <v>0.5</v>
      </c>
      <c r="AA985" s="11"/>
      <c r="AB985" s="12" t="s">
        <v>2318</v>
      </c>
      <c r="AC985" s="12">
        <v>46338</v>
      </c>
      <c r="AD985" s="12" t="s">
        <v>124</v>
      </c>
      <c r="AE985" s="42"/>
      <c r="AF985" s="43" t="s">
        <v>45</v>
      </c>
    </row>
    <row r="986" spans="1:32" ht="25.5" x14ac:dyDescent="0.25">
      <c r="A986" s="44"/>
      <c r="B986" s="42"/>
      <c r="C986" s="42"/>
      <c r="D986" s="42"/>
      <c r="E986" s="42"/>
      <c r="F986" s="42"/>
      <c r="G986" s="42"/>
      <c r="H986" s="42"/>
      <c r="I986" s="48"/>
      <c r="J986" s="42"/>
      <c r="K986" s="42"/>
      <c r="L986" s="42"/>
      <c r="M986" s="42"/>
      <c r="N986" s="53"/>
      <c r="O986" s="11" t="s">
        <v>77</v>
      </c>
      <c r="P986" s="11" t="s">
        <v>77</v>
      </c>
      <c r="Q986" s="11" t="s">
        <v>77</v>
      </c>
      <c r="R986" s="11" t="s">
        <v>77</v>
      </c>
      <c r="S986" s="11"/>
      <c r="T986" s="12" t="s">
        <v>77</v>
      </c>
      <c r="U986" s="12" t="s">
        <v>77</v>
      </c>
      <c r="V986" s="4"/>
      <c r="W986" s="11" t="s">
        <v>2316</v>
      </c>
      <c r="X986" s="11" t="s">
        <v>2291</v>
      </c>
      <c r="Y986" s="11" t="s">
        <v>2319</v>
      </c>
      <c r="Z986" s="11">
        <v>0.5</v>
      </c>
      <c r="AA986" s="11"/>
      <c r="AB986" s="12" t="s">
        <v>2318</v>
      </c>
      <c r="AC986" s="12">
        <v>46338</v>
      </c>
      <c r="AD986" s="12" t="s">
        <v>124</v>
      </c>
      <c r="AE986" s="42"/>
      <c r="AF986" s="42"/>
    </row>
    <row r="987" spans="1:32" ht="45" x14ac:dyDescent="0.25">
      <c r="A987" s="44"/>
      <c r="B987" s="42"/>
      <c r="C987" s="42"/>
      <c r="D987" s="42"/>
      <c r="E987" s="42"/>
      <c r="F987" s="42"/>
      <c r="G987" s="42"/>
      <c r="H987" s="42"/>
      <c r="I987" s="48"/>
      <c r="J987" s="42"/>
      <c r="K987" s="42"/>
      <c r="L987" s="42"/>
      <c r="M987" s="42"/>
      <c r="N987" s="53"/>
      <c r="O987" s="11" t="s">
        <v>2320</v>
      </c>
      <c r="P987" s="11" t="s">
        <v>163</v>
      </c>
      <c r="Q987" s="11">
        <v>35380</v>
      </c>
      <c r="R987" s="11">
        <v>0.5</v>
      </c>
      <c r="S987" s="11"/>
      <c r="T987" s="12">
        <v>44643</v>
      </c>
      <c r="U987" s="12">
        <v>46104</v>
      </c>
      <c r="V987" s="13" t="s">
        <v>2321</v>
      </c>
      <c r="W987" s="11" t="s">
        <v>2322</v>
      </c>
      <c r="X987" s="11" t="s">
        <v>2291</v>
      </c>
      <c r="Y987" s="11" t="s">
        <v>2323</v>
      </c>
      <c r="Z987" s="11">
        <v>0.5</v>
      </c>
      <c r="AA987" s="11"/>
      <c r="AB987" s="12" t="s">
        <v>2318</v>
      </c>
      <c r="AC987" s="12">
        <v>46338</v>
      </c>
      <c r="AD987" s="12" t="s">
        <v>124</v>
      </c>
      <c r="AE987" s="42"/>
      <c r="AF987" s="42"/>
    </row>
    <row r="988" spans="1:32" ht="23.85" customHeight="1" x14ac:dyDescent="0.25">
      <c r="A988" s="44">
        <v>327</v>
      </c>
      <c r="B988" s="42" t="s">
        <v>1660</v>
      </c>
      <c r="C988" s="42" t="s">
        <v>2191</v>
      </c>
      <c r="D988" s="42">
        <v>355466</v>
      </c>
      <c r="E988" s="42" t="s">
        <v>2324</v>
      </c>
      <c r="F988" s="42" t="s">
        <v>2284</v>
      </c>
      <c r="G988" s="42" t="s">
        <v>32</v>
      </c>
      <c r="H988" s="42" t="s">
        <v>1663</v>
      </c>
      <c r="I988" s="48" t="s">
        <v>2325</v>
      </c>
      <c r="J988" s="42" t="s">
        <v>71</v>
      </c>
      <c r="K988" s="42"/>
      <c r="L988" s="42" t="s">
        <v>1689</v>
      </c>
      <c r="M988" s="52">
        <v>48795</v>
      </c>
      <c r="N988" s="53" t="s">
        <v>2326</v>
      </c>
      <c r="O988" s="11" t="s">
        <v>2287</v>
      </c>
      <c r="P988" s="11" t="s">
        <v>84</v>
      </c>
      <c r="Q988" s="11" t="s">
        <v>2327</v>
      </c>
      <c r="R988" s="11">
        <v>0.5</v>
      </c>
      <c r="S988" s="11"/>
      <c r="T988" s="12" t="s">
        <v>2328</v>
      </c>
      <c r="U988" s="12">
        <v>46368</v>
      </c>
      <c r="V988" s="4" t="s">
        <v>124</v>
      </c>
      <c r="W988" s="11" t="s">
        <v>2316</v>
      </c>
      <c r="X988" s="11" t="s">
        <v>2291</v>
      </c>
      <c r="Y988" s="11" t="s">
        <v>2317</v>
      </c>
      <c r="Z988" s="11">
        <v>0.5</v>
      </c>
      <c r="AA988" s="11"/>
      <c r="AB988" s="12" t="s">
        <v>2318</v>
      </c>
      <c r="AC988" s="12">
        <v>46338</v>
      </c>
      <c r="AD988" s="12" t="s">
        <v>124</v>
      </c>
      <c r="AE988" s="42"/>
      <c r="AF988" s="43" t="s">
        <v>45</v>
      </c>
    </row>
    <row r="989" spans="1:32" ht="25.5" x14ac:dyDescent="0.25">
      <c r="A989" s="44"/>
      <c r="B989" s="42"/>
      <c r="C989" s="42"/>
      <c r="D989" s="42"/>
      <c r="E989" s="42"/>
      <c r="F989" s="42"/>
      <c r="G989" s="42"/>
      <c r="H989" s="42"/>
      <c r="I989" s="48"/>
      <c r="J989" s="42"/>
      <c r="K989" s="42"/>
      <c r="L989" s="42"/>
      <c r="M989" s="42"/>
      <c r="N989" s="53"/>
      <c r="O989" s="11" t="s">
        <v>77</v>
      </c>
      <c r="P989" s="11" t="s">
        <v>77</v>
      </c>
      <c r="Q989" s="11" t="s">
        <v>77</v>
      </c>
      <c r="R989" s="11" t="s">
        <v>77</v>
      </c>
      <c r="S989" s="11"/>
      <c r="T989" s="12" t="s">
        <v>77</v>
      </c>
      <c r="U989" s="12" t="s">
        <v>77</v>
      </c>
      <c r="V989" s="4"/>
      <c r="W989" s="11" t="s">
        <v>2316</v>
      </c>
      <c r="X989" s="11" t="s">
        <v>2291</v>
      </c>
      <c r="Y989" s="11" t="s">
        <v>2319</v>
      </c>
      <c r="Z989" s="11">
        <v>0.5</v>
      </c>
      <c r="AA989" s="11"/>
      <c r="AB989" s="12" t="s">
        <v>2318</v>
      </c>
      <c r="AC989" s="12">
        <v>46338</v>
      </c>
      <c r="AD989" s="12" t="s">
        <v>124</v>
      </c>
      <c r="AE989" s="42"/>
      <c r="AF989" s="42"/>
    </row>
    <row r="990" spans="1:32" x14ac:dyDescent="0.25">
      <c r="A990" s="44"/>
      <c r="B990" s="42"/>
      <c r="C990" s="42"/>
      <c r="D990" s="42"/>
      <c r="E990" s="42"/>
      <c r="F990" s="42"/>
      <c r="G990" s="42"/>
      <c r="H990" s="42"/>
      <c r="I990" s="48"/>
      <c r="J990" s="42"/>
      <c r="K990" s="42"/>
      <c r="L990" s="42"/>
      <c r="M990" s="42"/>
      <c r="N990" s="53"/>
      <c r="O990" s="11" t="s">
        <v>2295</v>
      </c>
      <c r="P990" s="11" t="s">
        <v>84</v>
      </c>
      <c r="Q990" s="11" t="s">
        <v>2329</v>
      </c>
      <c r="R990" s="11">
        <v>0.5</v>
      </c>
      <c r="S990" s="11"/>
      <c r="T990" s="12" t="s">
        <v>2328</v>
      </c>
      <c r="U990" s="12">
        <v>46368</v>
      </c>
      <c r="V990" s="4" t="s">
        <v>124</v>
      </c>
      <c r="W990" s="11" t="s">
        <v>2322</v>
      </c>
      <c r="X990" s="11" t="s">
        <v>2291</v>
      </c>
      <c r="Y990" s="11" t="s">
        <v>2323</v>
      </c>
      <c r="Z990" s="11">
        <v>0.5</v>
      </c>
      <c r="AA990" s="11"/>
      <c r="AB990" s="12" t="s">
        <v>2318</v>
      </c>
      <c r="AC990" s="12">
        <v>46338</v>
      </c>
      <c r="AD990" s="12" t="s">
        <v>124</v>
      </c>
      <c r="AE990" s="42"/>
      <c r="AF990" s="42"/>
    </row>
    <row r="991" spans="1:32" ht="23.85" customHeight="1" x14ac:dyDescent="0.25">
      <c r="A991" s="44">
        <v>328</v>
      </c>
      <c r="B991" s="42" t="s">
        <v>1660</v>
      </c>
      <c r="C991" s="42" t="s">
        <v>2191</v>
      </c>
      <c r="D991" s="42">
        <v>355466</v>
      </c>
      <c r="E991" s="42" t="s">
        <v>2330</v>
      </c>
      <c r="F991" s="42" t="s">
        <v>2284</v>
      </c>
      <c r="G991" s="42" t="s">
        <v>68</v>
      </c>
      <c r="H991" s="42" t="s">
        <v>1663</v>
      </c>
      <c r="I991" s="48" t="s">
        <v>2331</v>
      </c>
      <c r="J991" s="42" t="s">
        <v>71</v>
      </c>
      <c r="K991" s="42"/>
      <c r="L991" s="42" t="s">
        <v>1665</v>
      </c>
      <c r="M991" s="52">
        <v>48796</v>
      </c>
      <c r="N991" s="53" t="s">
        <v>2332</v>
      </c>
      <c r="O991" s="11" t="s">
        <v>2287</v>
      </c>
      <c r="P991" s="11" t="s">
        <v>84</v>
      </c>
      <c r="Q991" s="11" t="s">
        <v>2333</v>
      </c>
      <c r="R991" s="11">
        <v>0.5</v>
      </c>
      <c r="S991" s="11"/>
      <c r="T991" s="12" t="s">
        <v>1512</v>
      </c>
      <c r="U991" s="12">
        <v>46104</v>
      </c>
      <c r="V991" s="4" t="s">
        <v>124</v>
      </c>
      <c r="W991" s="11" t="s">
        <v>2316</v>
      </c>
      <c r="X991" s="11" t="s">
        <v>2291</v>
      </c>
      <c r="Y991" s="11" t="s">
        <v>2317</v>
      </c>
      <c r="Z991" s="11">
        <v>0.5</v>
      </c>
      <c r="AA991" s="11"/>
      <c r="AB991" s="12" t="s">
        <v>2318</v>
      </c>
      <c r="AC991" s="12">
        <v>46338</v>
      </c>
      <c r="AD991" s="12" t="s">
        <v>124</v>
      </c>
      <c r="AE991" s="42"/>
      <c r="AF991" s="43" t="s">
        <v>45</v>
      </c>
    </row>
    <row r="992" spans="1:32" ht="25.5" x14ac:dyDescent="0.25">
      <c r="A992" s="44"/>
      <c r="B992" s="42"/>
      <c r="C992" s="42"/>
      <c r="D992" s="42"/>
      <c r="E992" s="42"/>
      <c r="F992" s="42"/>
      <c r="G992" s="42"/>
      <c r="H992" s="42"/>
      <c r="I992" s="48"/>
      <c r="J992" s="42"/>
      <c r="K992" s="42"/>
      <c r="L992" s="42"/>
      <c r="M992" s="42"/>
      <c r="N992" s="53"/>
      <c r="O992" s="11" t="s">
        <v>77</v>
      </c>
      <c r="P992" s="11" t="s">
        <v>77</v>
      </c>
      <c r="Q992" s="11" t="s">
        <v>77</v>
      </c>
      <c r="R992" s="11" t="s">
        <v>77</v>
      </c>
      <c r="S992" s="11"/>
      <c r="T992" s="12" t="s">
        <v>77</v>
      </c>
      <c r="U992" s="12" t="s">
        <v>77</v>
      </c>
      <c r="V992" s="4"/>
      <c r="W992" s="11" t="s">
        <v>2316</v>
      </c>
      <c r="X992" s="11" t="s">
        <v>2291</v>
      </c>
      <c r="Y992" s="11" t="s">
        <v>2319</v>
      </c>
      <c r="Z992" s="11">
        <v>0.5</v>
      </c>
      <c r="AA992" s="11"/>
      <c r="AB992" s="12" t="s">
        <v>2318</v>
      </c>
      <c r="AC992" s="12">
        <v>46338</v>
      </c>
      <c r="AD992" s="12" t="s">
        <v>124</v>
      </c>
      <c r="AE992" s="42"/>
      <c r="AF992" s="42"/>
    </row>
    <row r="993" spans="1:32" x14ac:dyDescent="0.25">
      <c r="A993" s="44"/>
      <c r="B993" s="42"/>
      <c r="C993" s="42"/>
      <c r="D993" s="42"/>
      <c r="E993" s="42"/>
      <c r="F993" s="42"/>
      <c r="G993" s="42"/>
      <c r="H993" s="42"/>
      <c r="I993" s="48"/>
      <c r="J993" s="42"/>
      <c r="K993" s="42"/>
      <c r="L993" s="42"/>
      <c r="M993" s="42"/>
      <c r="N993" s="53"/>
      <c r="O993" s="11" t="s">
        <v>2295</v>
      </c>
      <c r="P993" s="11" t="s">
        <v>84</v>
      </c>
      <c r="Q993" s="11" t="s">
        <v>2334</v>
      </c>
      <c r="R993" s="11">
        <v>0.5</v>
      </c>
      <c r="S993" s="11"/>
      <c r="T993" s="12" t="s">
        <v>1512</v>
      </c>
      <c r="U993" s="12">
        <v>46104</v>
      </c>
      <c r="V993" s="4" t="s">
        <v>124</v>
      </c>
      <c r="W993" s="11" t="s">
        <v>2322</v>
      </c>
      <c r="X993" s="11" t="s">
        <v>2291</v>
      </c>
      <c r="Y993" s="11" t="s">
        <v>2323</v>
      </c>
      <c r="Z993" s="11">
        <v>0.5</v>
      </c>
      <c r="AA993" s="11"/>
      <c r="AB993" s="12" t="s">
        <v>2318</v>
      </c>
      <c r="AC993" s="12">
        <v>46338</v>
      </c>
      <c r="AD993" s="12" t="s">
        <v>124</v>
      </c>
      <c r="AE993" s="42"/>
      <c r="AF993" s="42"/>
    </row>
    <row r="994" spans="1:32" ht="23.85" customHeight="1" x14ac:dyDescent="0.25">
      <c r="A994" s="44">
        <v>329</v>
      </c>
      <c r="B994" s="42" t="s">
        <v>1660</v>
      </c>
      <c r="C994" s="42" t="s">
        <v>2335</v>
      </c>
      <c r="D994" s="42">
        <v>70862</v>
      </c>
      <c r="E994" s="42" t="s">
        <v>2336</v>
      </c>
      <c r="F994" s="42" t="s">
        <v>405</v>
      </c>
      <c r="G994" s="42" t="s">
        <v>32</v>
      </c>
      <c r="H994" s="42" t="s">
        <v>1675</v>
      </c>
      <c r="I994" s="48" t="s">
        <v>2337</v>
      </c>
      <c r="J994" s="42" t="s">
        <v>71</v>
      </c>
      <c r="K994" s="42"/>
      <c r="L994" s="42" t="s">
        <v>1689</v>
      </c>
      <c r="M994" s="52">
        <v>48795</v>
      </c>
      <c r="N994" s="53" t="s">
        <v>2338</v>
      </c>
      <c r="O994" s="11" t="s">
        <v>1261</v>
      </c>
      <c r="P994" s="11" t="s">
        <v>84</v>
      </c>
      <c r="Q994" s="11" t="s">
        <v>2339</v>
      </c>
      <c r="R994" s="11">
        <v>0.5</v>
      </c>
      <c r="S994" s="11"/>
      <c r="T994" s="12" t="s">
        <v>1678</v>
      </c>
      <c r="U994" s="12">
        <v>46357</v>
      </c>
      <c r="V994" s="4" t="s">
        <v>124</v>
      </c>
      <c r="W994" s="11" t="s">
        <v>1716</v>
      </c>
      <c r="X994" s="11" t="s">
        <v>409</v>
      </c>
      <c r="Y994" s="11" t="s">
        <v>2340</v>
      </c>
      <c r="Z994" s="11">
        <v>0.5</v>
      </c>
      <c r="AA994" s="11"/>
      <c r="AB994" s="12">
        <v>45495</v>
      </c>
      <c r="AC994" s="12">
        <v>47321</v>
      </c>
      <c r="AD994" s="14" t="s">
        <v>2341</v>
      </c>
      <c r="AE994" s="42"/>
      <c r="AF994" s="43" t="s">
        <v>2123</v>
      </c>
    </row>
    <row r="995" spans="1:32" ht="90" x14ac:dyDescent="0.25">
      <c r="A995" s="44"/>
      <c r="B995" s="42"/>
      <c r="C995" s="42"/>
      <c r="D995" s="42"/>
      <c r="E995" s="42"/>
      <c r="F995" s="42"/>
      <c r="G995" s="42"/>
      <c r="H995" s="42"/>
      <c r="I995" s="48"/>
      <c r="J995" s="42"/>
      <c r="K995" s="42"/>
      <c r="L995" s="42"/>
      <c r="M995" s="42"/>
      <c r="N995" s="53"/>
      <c r="O995" s="11" t="s">
        <v>77</v>
      </c>
      <c r="P995" s="11" t="s">
        <v>77</v>
      </c>
      <c r="Q995" s="11" t="s">
        <v>77</v>
      </c>
      <c r="R995" s="11" t="s">
        <v>77</v>
      </c>
      <c r="S995" s="11"/>
      <c r="T995" s="12" t="s">
        <v>77</v>
      </c>
      <c r="U995" s="12" t="s">
        <v>77</v>
      </c>
      <c r="V995" s="4"/>
      <c r="W995" s="11" t="s">
        <v>1716</v>
      </c>
      <c r="X995" s="11" t="s">
        <v>409</v>
      </c>
      <c r="Y995" s="11" t="s">
        <v>2340</v>
      </c>
      <c r="Z995" s="11">
        <v>0.5</v>
      </c>
      <c r="AA995" s="11"/>
      <c r="AB995" s="12">
        <v>45495</v>
      </c>
      <c r="AC995" s="12">
        <v>47321</v>
      </c>
      <c r="AD995" s="14" t="s">
        <v>2341</v>
      </c>
      <c r="AE995" s="42"/>
      <c r="AF995" s="42"/>
    </row>
    <row r="996" spans="1:32" ht="90" x14ac:dyDescent="0.25">
      <c r="A996" s="44"/>
      <c r="B996" s="42"/>
      <c r="C996" s="42"/>
      <c r="D996" s="42"/>
      <c r="E996" s="42"/>
      <c r="F996" s="42"/>
      <c r="G996" s="42"/>
      <c r="H996" s="42"/>
      <c r="I996" s="48"/>
      <c r="J996" s="42"/>
      <c r="K996" s="42"/>
      <c r="L996" s="42"/>
      <c r="M996" s="42"/>
      <c r="N996" s="53"/>
      <c r="O996" s="11" t="s">
        <v>1672</v>
      </c>
      <c r="P996" s="11" t="s">
        <v>84</v>
      </c>
      <c r="Q996" s="11" t="s">
        <v>2342</v>
      </c>
      <c r="R996" s="11">
        <v>0.5</v>
      </c>
      <c r="S996" s="11"/>
      <c r="T996" s="12" t="s">
        <v>1678</v>
      </c>
      <c r="U996" s="12">
        <v>46357</v>
      </c>
      <c r="V996" s="4" t="s">
        <v>124</v>
      </c>
      <c r="W996" s="11" t="s">
        <v>1716</v>
      </c>
      <c r="X996" s="11" t="s">
        <v>409</v>
      </c>
      <c r="Y996" s="11" t="s">
        <v>2340</v>
      </c>
      <c r="Z996" s="11">
        <v>0.5</v>
      </c>
      <c r="AA996" s="11"/>
      <c r="AB996" s="12">
        <v>45495</v>
      </c>
      <c r="AC996" s="12">
        <v>47321</v>
      </c>
      <c r="AD996" s="14" t="s">
        <v>2341</v>
      </c>
      <c r="AE996" s="42"/>
      <c r="AF996" s="42"/>
    </row>
    <row r="997" spans="1:32" ht="23.85" customHeight="1" x14ac:dyDescent="0.25">
      <c r="A997" s="44">
        <v>330</v>
      </c>
      <c r="B997" s="42" t="s">
        <v>1660</v>
      </c>
      <c r="C997" s="42" t="s">
        <v>2335</v>
      </c>
      <c r="D997" s="42">
        <v>70862</v>
      </c>
      <c r="E997" s="42" t="s">
        <v>2343</v>
      </c>
      <c r="F997" s="42" t="s">
        <v>405</v>
      </c>
      <c r="G997" s="42" t="s">
        <v>32</v>
      </c>
      <c r="H997" s="42" t="s">
        <v>1675</v>
      </c>
      <c r="I997" s="48" t="s">
        <v>2344</v>
      </c>
      <c r="J997" s="42" t="s">
        <v>71</v>
      </c>
      <c r="K997" s="42"/>
      <c r="L997" s="42" t="s">
        <v>1689</v>
      </c>
      <c r="M997" s="52">
        <v>48795</v>
      </c>
      <c r="N997" s="53" t="s">
        <v>2345</v>
      </c>
      <c r="O997" s="11" t="s">
        <v>1261</v>
      </c>
      <c r="P997" s="11" t="s">
        <v>84</v>
      </c>
      <c r="Q997" s="11" t="s">
        <v>2346</v>
      </c>
      <c r="R997" s="11">
        <v>0.5</v>
      </c>
      <c r="S997" s="11"/>
      <c r="T997" s="12" t="s">
        <v>1678</v>
      </c>
      <c r="U997" s="12">
        <v>46357</v>
      </c>
      <c r="V997" s="4" t="s">
        <v>124</v>
      </c>
      <c r="W997" s="11" t="s">
        <v>1716</v>
      </c>
      <c r="X997" s="11" t="s">
        <v>409</v>
      </c>
      <c r="Y997" s="11" t="s">
        <v>2340</v>
      </c>
      <c r="Z997" s="11">
        <v>0.5</v>
      </c>
      <c r="AA997" s="11"/>
      <c r="AB997" s="12">
        <v>45495</v>
      </c>
      <c r="AC997" s="12">
        <v>47321</v>
      </c>
      <c r="AD997" s="14" t="s">
        <v>2341</v>
      </c>
      <c r="AE997" s="42"/>
      <c r="AF997" s="43" t="s">
        <v>2123</v>
      </c>
    </row>
    <row r="998" spans="1:32" ht="90" x14ac:dyDescent="0.25">
      <c r="A998" s="44"/>
      <c r="B998" s="42"/>
      <c r="C998" s="42"/>
      <c r="D998" s="42"/>
      <c r="E998" s="42"/>
      <c r="F998" s="42"/>
      <c r="G998" s="42"/>
      <c r="H998" s="42"/>
      <c r="I998" s="48"/>
      <c r="J998" s="42"/>
      <c r="K998" s="42"/>
      <c r="L998" s="42"/>
      <c r="M998" s="42"/>
      <c r="N998" s="53"/>
      <c r="O998" s="11" t="s">
        <v>77</v>
      </c>
      <c r="P998" s="11" t="s">
        <v>77</v>
      </c>
      <c r="Q998" s="11" t="s">
        <v>77</v>
      </c>
      <c r="R998" s="11" t="s">
        <v>77</v>
      </c>
      <c r="S998" s="11"/>
      <c r="T998" s="12" t="s">
        <v>77</v>
      </c>
      <c r="U998" s="12" t="s">
        <v>77</v>
      </c>
      <c r="V998" s="4"/>
      <c r="W998" s="11" t="s">
        <v>1716</v>
      </c>
      <c r="X998" s="11" t="s">
        <v>409</v>
      </c>
      <c r="Y998" s="11" t="s">
        <v>2340</v>
      </c>
      <c r="Z998" s="11">
        <v>0.5</v>
      </c>
      <c r="AA998" s="11"/>
      <c r="AB998" s="12">
        <v>45495</v>
      </c>
      <c r="AC998" s="12">
        <v>47321</v>
      </c>
      <c r="AD998" s="14" t="s">
        <v>2341</v>
      </c>
      <c r="AE998" s="42"/>
      <c r="AF998" s="42"/>
    </row>
    <row r="999" spans="1:32" ht="90" x14ac:dyDescent="0.25">
      <c r="A999" s="44"/>
      <c r="B999" s="42"/>
      <c r="C999" s="42"/>
      <c r="D999" s="42"/>
      <c r="E999" s="42"/>
      <c r="F999" s="42"/>
      <c r="G999" s="42"/>
      <c r="H999" s="42"/>
      <c r="I999" s="48"/>
      <c r="J999" s="42"/>
      <c r="K999" s="42"/>
      <c r="L999" s="42"/>
      <c r="M999" s="42"/>
      <c r="N999" s="53"/>
      <c r="O999" s="11" t="s">
        <v>1672</v>
      </c>
      <c r="P999" s="11" t="s">
        <v>84</v>
      </c>
      <c r="Q999" s="11" t="s">
        <v>2347</v>
      </c>
      <c r="R999" s="11">
        <v>0.5</v>
      </c>
      <c r="S999" s="11"/>
      <c r="T999" s="12" t="s">
        <v>1678</v>
      </c>
      <c r="U999" s="12">
        <v>46357</v>
      </c>
      <c r="V999" s="4" t="s">
        <v>124</v>
      </c>
      <c r="W999" s="11" t="s">
        <v>1716</v>
      </c>
      <c r="X999" s="11" t="s">
        <v>409</v>
      </c>
      <c r="Y999" s="11" t="s">
        <v>2340</v>
      </c>
      <c r="Z999" s="11">
        <v>0.5</v>
      </c>
      <c r="AA999" s="11"/>
      <c r="AB999" s="12">
        <v>45495</v>
      </c>
      <c r="AC999" s="12">
        <v>47321</v>
      </c>
      <c r="AD999" s="14" t="s">
        <v>2341</v>
      </c>
      <c r="AE999" s="42"/>
      <c r="AF999" s="42"/>
    </row>
    <row r="1000" spans="1:32" ht="23.85" customHeight="1" x14ac:dyDescent="0.25">
      <c r="A1000" s="44">
        <v>331</v>
      </c>
      <c r="B1000" s="42" t="s">
        <v>1660</v>
      </c>
      <c r="C1000" s="42" t="s">
        <v>2335</v>
      </c>
      <c r="D1000" s="42">
        <v>70862</v>
      </c>
      <c r="E1000" s="42" t="s">
        <v>2348</v>
      </c>
      <c r="F1000" s="42" t="s">
        <v>405</v>
      </c>
      <c r="G1000" s="42" t="s">
        <v>32</v>
      </c>
      <c r="H1000" s="42" t="s">
        <v>1675</v>
      </c>
      <c r="I1000" s="48" t="s">
        <v>2349</v>
      </c>
      <c r="J1000" s="42" t="s">
        <v>71</v>
      </c>
      <c r="K1000" s="42"/>
      <c r="L1000" s="42" t="s">
        <v>1689</v>
      </c>
      <c r="M1000" s="52">
        <v>48795</v>
      </c>
      <c r="N1000" s="53" t="s">
        <v>2350</v>
      </c>
      <c r="O1000" s="11" t="s">
        <v>1261</v>
      </c>
      <c r="P1000" s="11" t="s">
        <v>84</v>
      </c>
      <c r="Q1000" s="11" t="s">
        <v>2351</v>
      </c>
      <c r="R1000" s="11">
        <v>0.5</v>
      </c>
      <c r="S1000" s="11"/>
      <c r="T1000" s="12" t="s">
        <v>1678</v>
      </c>
      <c r="U1000" s="12">
        <v>46357</v>
      </c>
      <c r="V1000" s="4" t="s">
        <v>124</v>
      </c>
      <c r="W1000" s="11" t="s">
        <v>1716</v>
      </c>
      <c r="X1000" s="11" t="s">
        <v>409</v>
      </c>
      <c r="Y1000" s="11" t="s">
        <v>2340</v>
      </c>
      <c r="Z1000" s="11">
        <v>0.5</v>
      </c>
      <c r="AA1000" s="11"/>
      <c r="AB1000" s="12">
        <v>45495</v>
      </c>
      <c r="AC1000" s="12">
        <v>47321</v>
      </c>
      <c r="AD1000" s="14" t="s">
        <v>2341</v>
      </c>
      <c r="AE1000" s="42"/>
      <c r="AF1000" s="43" t="s">
        <v>2123</v>
      </c>
    </row>
    <row r="1001" spans="1:32" ht="90" x14ac:dyDescent="0.25">
      <c r="A1001" s="44"/>
      <c r="B1001" s="42"/>
      <c r="C1001" s="42"/>
      <c r="D1001" s="42"/>
      <c r="E1001" s="42"/>
      <c r="F1001" s="42"/>
      <c r="G1001" s="42"/>
      <c r="H1001" s="42"/>
      <c r="I1001" s="48"/>
      <c r="J1001" s="42"/>
      <c r="K1001" s="42"/>
      <c r="L1001" s="42"/>
      <c r="M1001" s="42"/>
      <c r="N1001" s="53"/>
      <c r="O1001" s="11" t="s">
        <v>77</v>
      </c>
      <c r="P1001" s="11" t="s">
        <v>77</v>
      </c>
      <c r="Q1001" s="11" t="s">
        <v>77</v>
      </c>
      <c r="R1001" s="11" t="s">
        <v>77</v>
      </c>
      <c r="S1001" s="11"/>
      <c r="T1001" s="12" t="s">
        <v>77</v>
      </c>
      <c r="U1001" s="12" t="s">
        <v>77</v>
      </c>
      <c r="V1001" s="4"/>
      <c r="W1001" s="11" t="s">
        <v>1716</v>
      </c>
      <c r="X1001" s="11" t="s">
        <v>409</v>
      </c>
      <c r="Y1001" s="11" t="s">
        <v>2340</v>
      </c>
      <c r="Z1001" s="11">
        <v>0.5</v>
      </c>
      <c r="AA1001" s="11"/>
      <c r="AB1001" s="12">
        <v>45495</v>
      </c>
      <c r="AC1001" s="12">
        <v>47321</v>
      </c>
      <c r="AD1001" s="14" t="s">
        <v>2341</v>
      </c>
      <c r="AE1001" s="42"/>
      <c r="AF1001" s="42"/>
    </row>
    <row r="1002" spans="1:32" ht="90" x14ac:dyDescent="0.25">
      <c r="A1002" s="44"/>
      <c r="B1002" s="42"/>
      <c r="C1002" s="42"/>
      <c r="D1002" s="42"/>
      <c r="E1002" s="42"/>
      <c r="F1002" s="42"/>
      <c r="G1002" s="42"/>
      <c r="H1002" s="42"/>
      <c r="I1002" s="48"/>
      <c r="J1002" s="42"/>
      <c r="K1002" s="42"/>
      <c r="L1002" s="42"/>
      <c r="M1002" s="42"/>
      <c r="N1002" s="53"/>
      <c r="O1002" s="11" t="s">
        <v>1672</v>
      </c>
      <c r="P1002" s="11" t="s">
        <v>84</v>
      </c>
      <c r="Q1002" s="11" t="s">
        <v>2352</v>
      </c>
      <c r="R1002" s="11">
        <v>0.5</v>
      </c>
      <c r="S1002" s="11"/>
      <c r="T1002" s="12" t="s">
        <v>1678</v>
      </c>
      <c r="U1002" s="12">
        <v>46357</v>
      </c>
      <c r="V1002" s="4" t="s">
        <v>124</v>
      </c>
      <c r="W1002" s="11" t="s">
        <v>1716</v>
      </c>
      <c r="X1002" s="11" t="s">
        <v>409</v>
      </c>
      <c r="Y1002" s="11" t="s">
        <v>2340</v>
      </c>
      <c r="Z1002" s="11">
        <v>0.5</v>
      </c>
      <c r="AA1002" s="11"/>
      <c r="AB1002" s="12">
        <v>45495</v>
      </c>
      <c r="AC1002" s="12">
        <v>47321</v>
      </c>
      <c r="AD1002" s="14" t="s">
        <v>2341</v>
      </c>
      <c r="AE1002" s="42"/>
      <c r="AF1002" s="42"/>
    </row>
    <row r="1003" spans="1:32" ht="23.85" customHeight="1" x14ac:dyDescent="0.25">
      <c r="A1003" s="44">
        <v>332</v>
      </c>
      <c r="B1003" s="42" t="s">
        <v>1660</v>
      </c>
      <c r="C1003" s="42" t="s">
        <v>2335</v>
      </c>
      <c r="D1003" s="42">
        <v>70862</v>
      </c>
      <c r="E1003" s="42" t="s">
        <v>2353</v>
      </c>
      <c r="F1003" s="42" t="s">
        <v>405</v>
      </c>
      <c r="G1003" s="42" t="s">
        <v>32</v>
      </c>
      <c r="H1003" s="42" t="s">
        <v>1675</v>
      </c>
      <c r="I1003" s="48" t="s">
        <v>2354</v>
      </c>
      <c r="J1003" s="42" t="s">
        <v>71</v>
      </c>
      <c r="K1003" s="42"/>
      <c r="L1003" s="42" t="s">
        <v>1665</v>
      </c>
      <c r="M1003" s="52">
        <v>48796</v>
      </c>
      <c r="N1003" s="53" t="s">
        <v>2355</v>
      </c>
      <c r="O1003" s="11" t="s">
        <v>1261</v>
      </c>
      <c r="P1003" s="11" t="s">
        <v>116</v>
      </c>
      <c r="Q1003" s="11" t="s">
        <v>2356</v>
      </c>
      <c r="R1003" s="11">
        <v>0.5</v>
      </c>
      <c r="S1003" s="11"/>
      <c r="T1003" s="12" t="s">
        <v>1678</v>
      </c>
      <c r="U1003" s="12">
        <v>46357</v>
      </c>
      <c r="V1003" s="4" t="s">
        <v>124</v>
      </c>
      <c r="W1003" s="11" t="s">
        <v>1716</v>
      </c>
      <c r="X1003" s="11" t="s">
        <v>409</v>
      </c>
      <c r="Y1003" s="11" t="s">
        <v>2340</v>
      </c>
      <c r="Z1003" s="11">
        <v>0.5</v>
      </c>
      <c r="AA1003" s="11"/>
      <c r="AB1003" s="12">
        <v>45495</v>
      </c>
      <c r="AC1003" s="12">
        <v>47321</v>
      </c>
      <c r="AD1003" s="14" t="s">
        <v>2341</v>
      </c>
      <c r="AE1003" s="42"/>
      <c r="AF1003" s="43" t="s">
        <v>2123</v>
      </c>
    </row>
    <row r="1004" spans="1:32" ht="90" x14ac:dyDescent="0.25">
      <c r="A1004" s="44"/>
      <c r="B1004" s="42"/>
      <c r="C1004" s="42"/>
      <c r="D1004" s="42"/>
      <c r="E1004" s="42"/>
      <c r="F1004" s="42"/>
      <c r="G1004" s="42"/>
      <c r="H1004" s="42"/>
      <c r="I1004" s="48"/>
      <c r="J1004" s="42"/>
      <c r="K1004" s="42"/>
      <c r="L1004" s="42"/>
      <c r="M1004" s="42"/>
      <c r="N1004" s="53"/>
      <c r="O1004" s="11" t="s">
        <v>77</v>
      </c>
      <c r="P1004" s="11" t="s">
        <v>77</v>
      </c>
      <c r="Q1004" s="11" t="s">
        <v>77</v>
      </c>
      <c r="R1004" s="11" t="s">
        <v>77</v>
      </c>
      <c r="S1004" s="11"/>
      <c r="T1004" s="12" t="s">
        <v>77</v>
      </c>
      <c r="U1004" s="12" t="s">
        <v>77</v>
      </c>
      <c r="V1004" s="4"/>
      <c r="W1004" s="11" t="s">
        <v>1716</v>
      </c>
      <c r="X1004" s="11" t="s">
        <v>409</v>
      </c>
      <c r="Y1004" s="11" t="s">
        <v>2340</v>
      </c>
      <c r="Z1004" s="11">
        <v>0.5</v>
      </c>
      <c r="AA1004" s="11"/>
      <c r="AB1004" s="12">
        <v>45495</v>
      </c>
      <c r="AC1004" s="12">
        <v>47321</v>
      </c>
      <c r="AD1004" s="14" t="s">
        <v>2341</v>
      </c>
      <c r="AE1004" s="42"/>
      <c r="AF1004" s="42"/>
    </row>
    <row r="1005" spans="1:32" ht="90" x14ac:dyDescent="0.25">
      <c r="A1005" s="44"/>
      <c r="B1005" s="42"/>
      <c r="C1005" s="42"/>
      <c r="D1005" s="42"/>
      <c r="E1005" s="42"/>
      <c r="F1005" s="42"/>
      <c r="G1005" s="42"/>
      <c r="H1005" s="42"/>
      <c r="I1005" s="48"/>
      <c r="J1005" s="42"/>
      <c r="K1005" s="42"/>
      <c r="L1005" s="42"/>
      <c r="M1005" s="42"/>
      <c r="N1005" s="53"/>
      <c r="O1005" s="11" t="s">
        <v>1672</v>
      </c>
      <c r="P1005" s="11" t="s">
        <v>116</v>
      </c>
      <c r="Q1005" s="11" t="s">
        <v>2357</v>
      </c>
      <c r="R1005" s="11">
        <v>0.5</v>
      </c>
      <c r="S1005" s="11"/>
      <c r="T1005" s="12" t="s">
        <v>1678</v>
      </c>
      <c r="U1005" s="12">
        <v>46357</v>
      </c>
      <c r="V1005" s="4" t="s">
        <v>124</v>
      </c>
      <c r="W1005" s="11" t="s">
        <v>1716</v>
      </c>
      <c r="X1005" s="11" t="s">
        <v>409</v>
      </c>
      <c r="Y1005" s="11" t="s">
        <v>2340</v>
      </c>
      <c r="Z1005" s="11">
        <v>0.5</v>
      </c>
      <c r="AA1005" s="11"/>
      <c r="AB1005" s="12">
        <v>45495</v>
      </c>
      <c r="AC1005" s="12">
        <v>47321</v>
      </c>
      <c r="AD1005" s="14" t="s">
        <v>2341</v>
      </c>
      <c r="AE1005" s="42"/>
      <c r="AF1005" s="42"/>
    </row>
    <row r="1006" spans="1:32" ht="23.85" customHeight="1" x14ac:dyDescent="0.25">
      <c r="A1006" s="44">
        <v>333</v>
      </c>
      <c r="B1006" s="42" t="s">
        <v>1660</v>
      </c>
      <c r="C1006" s="42" t="s">
        <v>2335</v>
      </c>
      <c r="D1006" s="42">
        <v>70862</v>
      </c>
      <c r="E1006" s="42" t="s">
        <v>2358</v>
      </c>
      <c r="F1006" s="42" t="s">
        <v>405</v>
      </c>
      <c r="G1006" s="42" t="s">
        <v>32</v>
      </c>
      <c r="H1006" s="42" t="s">
        <v>1675</v>
      </c>
      <c r="I1006" s="48" t="s">
        <v>2359</v>
      </c>
      <c r="J1006" s="42" t="s">
        <v>71</v>
      </c>
      <c r="K1006" s="42"/>
      <c r="L1006" s="42" t="s">
        <v>1665</v>
      </c>
      <c r="M1006" s="52">
        <v>48796</v>
      </c>
      <c r="N1006" s="53" t="s">
        <v>2360</v>
      </c>
      <c r="O1006" s="11" t="s">
        <v>1261</v>
      </c>
      <c r="P1006" s="11" t="s">
        <v>433</v>
      </c>
      <c r="Q1006" s="11" t="s">
        <v>2361</v>
      </c>
      <c r="R1006" s="11">
        <v>0.5</v>
      </c>
      <c r="S1006" s="11"/>
      <c r="T1006" s="12" t="s">
        <v>2293</v>
      </c>
      <c r="U1006" s="12">
        <v>46358</v>
      </c>
      <c r="V1006" s="4" t="s">
        <v>124</v>
      </c>
      <c r="W1006" s="11" t="s">
        <v>1716</v>
      </c>
      <c r="X1006" s="11" t="s">
        <v>409</v>
      </c>
      <c r="Y1006" s="11" t="s">
        <v>2340</v>
      </c>
      <c r="Z1006" s="11">
        <v>0.5</v>
      </c>
      <c r="AA1006" s="11"/>
      <c r="AB1006" s="12">
        <v>45495</v>
      </c>
      <c r="AC1006" s="12">
        <v>47321</v>
      </c>
      <c r="AD1006" s="14" t="s">
        <v>2341</v>
      </c>
      <c r="AE1006" s="42"/>
      <c r="AF1006" s="43" t="s">
        <v>2123</v>
      </c>
    </row>
    <row r="1007" spans="1:32" ht="90" x14ac:dyDescent="0.25">
      <c r="A1007" s="44"/>
      <c r="B1007" s="42"/>
      <c r="C1007" s="42"/>
      <c r="D1007" s="42"/>
      <c r="E1007" s="42"/>
      <c r="F1007" s="42"/>
      <c r="G1007" s="42"/>
      <c r="H1007" s="42"/>
      <c r="I1007" s="48"/>
      <c r="J1007" s="42"/>
      <c r="K1007" s="42"/>
      <c r="L1007" s="42"/>
      <c r="M1007" s="42"/>
      <c r="N1007" s="53"/>
      <c r="O1007" s="11" t="s">
        <v>77</v>
      </c>
      <c r="P1007" s="11" t="s">
        <v>77</v>
      </c>
      <c r="Q1007" s="11" t="s">
        <v>77</v>
      </c>
      <c r="R1007" s="11" t="s">
        <v>77</v>
      </c>
      <c r="S1007" s="11"/>
      <c r="T1007" s="12" t="s">
        <v>77</v>
      </c>
      <c r="U1007" s="12" t="s">
        <v>77</v>
      </c>
      <c r="V1007" s="4"/>
      <c r="W1007" s="11" t="s">
        <v>1716</v>
      </c>
      <c r="X1007" s="11" t="s">
        <v>409</v>
      </c>
      <c r="Y1007" s="11" t="s">
        <v>2340</v>
      </c>
      <c r="Z1007" s="11">
        <v>0.5</v>
      </c>
      <c r="AA1007" s="11"/>
      <c r="AB1007" s="12">
        <v>45495</v>
      </c>
      <c r="AC1007" s="12">
        <v>47321</v>
      </c>
      <c r="AD1007" s="14" t="s">
        <v>2341</v>
      </c>
      <c r="AE1007" s="42"/>
      <c r="AF1007" s="42"/>
    </row>
    <row r="1008" spans="1:32" ht="90" x14ac:dyDescent="0.25">
      <c r="A1008" s="44"/>
      <c r="B1008" s="42"/>
      <c r="C1008" s="42"/>
      <c r="D1008" s="42"/>
      <c r="E1008" s="42"/>
      <c r="F1008" s="42"/>
      <c r="G1008" s="42"/>
      <c r="H1008" s="42"/>
      <c r="I1008" s="48"/>
      <c r="J1008" s="42"/>
      <c r="K1008" s="42"/>
      <c r="L1008" s="42"/>
      <c r="M1008" s="42"/>
      <c r="N1008" s="53"/>
      <c r="O1008" s="11" t="s">
        <v>1672</v>
      </c>
      <c r="P1008" s="11" t="s">
        <v>433</v>
      </c>
      <c r="Q1008" s="11" t="s">
        <v>2362</v>
      </c>
      <c r="R1008" s="11">
        <v>0.5</v>
      </c>
      <c r="S1008" s="11"/>
      <c r="T1008" s="12" t="s">
        <v>2293</v>
      </c>
      <c r="U1008" s="12">
        <v>46358</v>
      </c>
      <c r="V1008" s="4" t="s">
        <v>124</v>
      </c>
      <c r="W1008" s="11" t="s">
        <v>1716</v>
      </c>
      <c r="X1008" s="11" t="s">
        <v>409</v>
      </c>
      <c r="Y1008" s="11" t="s">
        <v>2340</v>
      </c>
      <c r="Z1008" s="11">
        <v>0.5</v>
      </c>
      <c r="AA1008" s="11"/>
      <c r="AB1008" s="12">
        <v>45495</v>
      </c>
      <c r="AC1008" s="12">
        <v>47321</v>
      </c>
      <c r="AD1008" s="14" t="s">
        <v>2341</v>
      </c>
      <c r="AE1008" s="42"/>
      <c r="AF1008" s="42"/>
    </row>
    <row r="1009" spans="1:32" ht="23.85" customHeight="1" x14ac:dyDescent="0.25">
      <c r="A1009" s="44">
        <v>334</v>
      </c>
      <c r="B1009" s="42" t="s">
        <v>1660</v>
      </c>
      <c r="C1009" s="42" t="s">
        <v>2335</v>
      </c>
      <c r="D1009" s="42">
        <v>70862</v>
      </c>
      <c r="E1009" s="42" t="s">
        <v>2363</v>
      </c>
      <c r="F1009" s="42" t="s">
        <v>405</v>
      </c>
      <c r="G1009" s="42" t="s">
        <v>68</v>
      </c>
      <c r="H1009" s="42" t="s">
        <v>1675</v>
      </c>
      <c r="I1009" s="48" t="s">
        <v>2364</v>
      </c>
      <c r="J1009" s="42" t="s">
        <v>71</v>
      </c>
      <c r="K1009" s="42"/>
      <c r="L1009" s="42" t="s">
        <v>1689</v>
      </c>
      <c r="M1009" s="52">
        <v>48795</v>
      </c>
      <c r="N1009" s="53" t="s">
        <v>2365</v>
      </c>
      <c r="O1009" s="11" t="s">
        <v>990</v>
      </c>
      <c r="P1009" s="11" t="s">
        <v>1704</v>
      </c>
      <c r="Q1009" s="11" t="s">
        <v>2366</v>
      </c>
      <c r="R1009" s="11">
        <v>0.5</v>
      </c>
      <c r="S1009" s="11"/>
      <c r="T1009" s="12" t="s">
        <v>820</v>
      </c>
      <c r="U1009" s="12">
        <v>46380</v>
      </c>
      <c r="V1009" s="4" t="s">
        <v>124</v>
      </c>
      <c r="W1009" s="11" t="s">
        <v>77</v>
      </c>
      <c r="X1009" s="11" t="s">
        <v>77</v>
      </c>
      <c r="Y1009" s="11" t="s">
        <v>77</v>
      </c>
      <c r="Z1009" s="11">
        <v>0</v>
      </c>
      <c r="AA1009" s="11"/>
      <c r="AB1009" s="12" t="s">
        <v>77</v>
      </c>
      <c r="AC1009" s="12" t="s">
        <v>77</v>
      </c>
      <c r="AD1009" s="12"/>
      <c r="AE1009" s="42"/>
      <c r="AF1009" s="43" t="s">
        <v>995</v>
      </c>
    </row>
    <row r="1010" spans="1:32" ht="25.5" x14ac:dyDescent="0.25">
      <c r="A1010" s="44"/>
      <c r="B1010" s="42"/>
      <c r="C1010" s="42"/>
      <c r="D1010" s="42"/>
      <c r="E1010" s="42"/>
      <c r="F1010" s="42"/>
      <c r="G1010" s="42"/>
      <c r="H1010" s="42"/>
      <c r="I1010" s="48"/>
      <c r="J1010" s="42"/>
      <c r="K1010" s="42"/>
      <c r="L1010" s="42"/>
      <c r="M1010" s="42"/>
      <c r="N1010" s="53"/>
      <c r="O1010" s="11" t="s">
        <v>990</v>
      </c>
      <c r="P1010" s="11" t="s">
        <v>1704</v>
      </c>
      <c r="Q1010" s="11" t="s">
        <v>2367</v>
      </c>
      <c r="R1010" s="11">
        <v>0.5</v>
      </c>
      <c r="S1010" s="11"/>
      <c r="T1010" s="12" t="s">
        <v>820</v>
      </c>
      <c r="U1010" s="12">
        <v>46380</v>
      </c>
      <c r="V1010" s="4" t="s">
        <v>124</v>
      </c>
      <c r="W1010" s="11" t="s">
        <v>77</v>
      </c>
      <c r="X1010" s="11" t="s">
        <v>77</v>
      </c>
      <c r="Y1010" s="11" t="s">
        <v>77</v>
      </c>
      <c r="Z1010" s="11" t="s">
        <v>77</v>
      </c>
      <c r="AA1010" s="11"/>
      <c r="AB1010" s="12" t="s">
        <v>77</v>
      </c>
      <c r="AC1010" s="12" t="s">
        <v>77</v>
      </c>
      <c r="AD1010" s="12"/>
      <c r="AE1010" s="42"/>
      <c r="AF1010" s="42"/>
    </row>
    <row r="1011" spans="1:32" x14ac:dyDescent="0.25">
      <c r="A1011" s="44"/>
      <c r="B1011" s="42"/>
      <c r="C1011" s="42"/>
      <c r="D1011" s="42"/>
      <c r="E1011" s="42"/>
      <c r="F1011" s="42"/>
      <c r="G1011" s="42"/>
      <c r="H1011" s="42"/>
      <c r="I1011" s="48"/>
      <c r="J1011" s="42"/>
      <c r="K1011" s="42"/>
      <c r="L1011" s="42"/>
      <c r="M1011" s="42"/>
      <c r="N1011" s="53"/>
      <c r="O1011" s="11" t="s">
        <v>997</v>
      </c>
      <c r="P1011" s="11" t="s">
        <v>1704</v>
      </c>
      <c r="Q1011" s="11" t="s">
        <v>2368</v>
      </c>
      <c r="R1011" s="11">
        <v>0.5</v>
      </c>
      <c r="S1011" s="11"/>
      <c r="T1011" s="12" t="s">
        <v>820</v>
      </c>
      <c r="U1011" s="12">
        <v>46380</v>
      </c>
      <c r="V1011" s="4" t="s">
        <v>124</v>
      </c>
      <c r="W1011" s="11" t="s">
        <v>77</v>
      </c>
      <c r="X1011" s="11" t="s">
        <v>77</v>
      </c>
      <c r="Y1011" s="11" t="s">
        <v>77</v>
      </c>
      <c r="Z1011" s="11" t="s">
        <v>77</v>
      </c>
      <c r="AA1011" s="11"/>
      <c r="AB1011" s="12" t="s">
        <v>77</v>
      </c>
      <c r="AC1011" s="12" t="s">
        <v>77</v>
      </c>
      <c r="AD1011" s="12"/>
      <c r="AE1011" s="42"/>
      <c r="AF1011" s="42"/>
    </row>
    <row r="1012" spans="1:32" ht="23.85" customHeight="1" x14ac:dyDescent="0.25">
      <c r="A1012" s="44">
        <v>335</v>
      </c>
      <c r="B1012" s="42" t="s">
        <v>1660</v>
      </c>
      <c r="C1012" s="42" t="s">
        <v>2369</v>
      </c>
      <c r="D1012" s="42">
        <v>70860</v>
      </c>
      <c r="E1012" s="42" t="s">
        <v>2370</v>
      </c>
      <c r="F1012" s="42" t="s">
        <v>405</v>
      </c>
      <c r="G1012" s="42" t="s">
        <v>32</v>
      </c>
      <c r="H1012" s="42" t="s">
        <v>1675</v>
      </c>
      <c r="I1012" s="48" t="s">
        <v>2371</v>
      </c>
      <c r="J1012" s="42" t="s">
        <v>71</v>
      </c>
      <c r="K1012" s="42"/>
      <c r="L1012" s="42" t="s">
        <v>1689</v>
      </c>
      <c r="M1012" s="52">
        <v>48795</v>
      </c>
      <c r="N1012" s="53" t="s">
        <v>2372</v>
      </c>
      <c r="O1012" s="11" t="s">
        <v>1261</v>
      </c>
      <c r="P1012" s="11" t="s">
        <v>156</v>
      </c>
      <c r="Q1012" s="11" t="s">
        <v>2373</v>
      </c>
      <c r="R1012" s="11">
        <v>0.5</v>
      </c>
      <c r="S1012" s="11"/>
      <c r="T1012" s="12" t="s">
        <v>2293</v>
      </c>
      <c r="U1012" s="12">
        <v>46358</v>
      </c>
      <c r="V1012" s="4" t="s">
        <v>124</v>
      </c>
      <c r="W1012" s="11" t="s">
        <v>1716</v>
      </c>
      <c r="X1012" s="11" t="s">
        <v>409</v>
      </c>
      <c r="Y1012" s="11" t="s">
        <v>2374</v>
      </c>
      <c r="Z1012" s="11">
        <v>0.5</v>
      </c>
      <c r="AA1012" s="11"/>
      <c r="AB1012" s="12">
        <v>45495</v>
      </c>
      <c r="AC1012" s="12">
        <v>47321</v>
      </c>
      <c r="AD1012" s="14" t="s">
        <v>2375</v>
      </c>
      <c r="AE1012" s="42"/>
      <c r="AF1012" s="43" t="s">
        <v>2123</v>
      </c>
    </row>
    <row r="1013" spans="1:32" ht="90" x14ac:dyDescent="0.25">
      <c r="A1013" s="44"/>
      <c r="B1013" s="42"/>
      <c r="C1013" s="42"/>
      <c r="D1013" s="42"/>
      <c r="E1013" s="42"/>
      <c r="F1013" s="42"/>
      <c r="G1013" s="42"/>
      <c r="H1013" s="42"/>
      <c r="I1013" s="48"/>
      <c r="J1013" s="42"/>
      <c r="K1013" s="42"/>
      <c r="L1013" s="42"/>
      <c r="M1013" s="42"/>
      <c r="N1013" s="53"/>
      <c r="O1013" s="11" t="s">
        <v>77</v>
      </c>
      <c r="P1013" s="11" t="s">
        <v>77</v>
      </c>
      <c r="Q1013" s="11" t="s">
        <v>77</v>
      </c>
      <c r="R1013" s="11" t="s">
        <v>77</v>
      </c>
      <c r="S1013" s="11"/>
      <c r="T1013" s="12" t="s">
        <v>77</v>
      </c>
      <c r="U1013" s="12" t="s">
        <v>77</v>
      </c>
      <c r="V1013" s="4"/>
      <c r="W1013" s="11" t="s">
        <v>1716</v>
      </c>
      <c r="X1013" s="11" t="s">
        <v>409</v>
      </c>
      <c r="Y1013" s="11" t="s">
        <v>2374</v>
      </c>
      <c r="Z1013" s="11">
        <v>0.5</v>
      </c>
      <c r="AA1013" s="11"/>
      <c r="AB1013" s="12">
        <v>45495</v>
      </c>
      <c r="AC1013" s="12">
        <v>47321</v>
      </c>
      <c r="AD1013" s="14" t="s">
        <v>2375</v>
      </c>
      <c r="AE1013" s="42"/>
      <c r="AF1013" s="42"/>
    </row>
    <row r="1014" spans="1:32" ht="90" x14ac:dyDescent="0.25">
      <c r="A1014" s="44"/>
      <c r="B1014" s="42"/>
      <c r="C1014" s="42"/>
      <c r="D1014" s="42"/>
      <c r="E1014" s="42"/>
      <c r="F1014" s="42"/>
      <c r="G1014" s="42"/>
      <c r="H1014" s="42"/>
      <c r="I1014" s="48"/>
      <c r="J1014" s="42"/>
      <c r="K1014" s="42"/>
      <c r="L1014" s="42"/>
      <c r="M1014" s="42"/>
      <c r="N1014" s="53"/>
      <c r="O1014" s="11" t="s">
        <v>1672</v>
      </c>
      <c r="P1014" s="11" t="s">
        <v>156</v>
      </c>
      <c r="Q1014" s="11" t="s">
        <v>2376</v>
      </c>
      <c r="R1014" s="11">
        <v>0.5</v>
      </c>
      <c r="S1014" s="11"/>
      <c r="T1014" s="12" t="s">
        <v>2293</v>
      </c>
      <c r="U1014" s="12">
        <v>46358</v>
      </c>
      <c r="V1014" s="4" t="s">
        <v>124</v>
      </c>
      <c r="W1014" s="11" t="s">
        <v>1716</v>
      </c>
      <c r="X1014" s="11" t="s">
        <v>409</v>
      </c>
      <c r="Y1014" s="11" t="s">
        <v>2374</v>
      </c>
      <c r="Z1014" s="11">
        <v>0.5</v>
      </c>
      <c r="AA1014" s="11"/>
      <c r="AB1014" s="12">
        <v>45495</v>
      </c>
      <c r="AC1014" s="12">
        <v>47321</v>
      </c>
      <c r="AD1014" s="14" t="s">
        <v>2375</v>
      </c>
      <c r="AE1014" s="42"/>
      <c r="AF1014" s="42"/>
    </row>
    <row r="1015" spans="1:32" ht="23.85" customHeight="1" x14ac:dyDescent="0.25">
      <c r="A1015" s="44">
        <v>336</v>
      </c>
      <c r="B1015" s="42" t="s">
        <v>1660</v>
      </c>
      <c r="C1015" s="42" t="s">
        <v>2369</v>
      </c>
      <c r="D1015" s="42">
        <v>70860</v>
      </c>
      <c r="E1015" s="42" t="s">
        <v>2377</v>
      </c>
      <c r="F1015" s="42" t="s">
        <v>405</v>
      </c>
      <c r="G1015" s="42" t="s">
        <v>32</v>
      </c>
      <c r="H1015" s="42" t="s">
        <v>1675</v>
      </c>
      <c r="I1015" s="48" t="s">
        <v>2378</v>
      </c>
      <c r="J1015" s="42" t="s">
        <v>71</v>
      </c>
      <c r="K1015" s="42"/>
      <c r="L1015" s="42" t="s">
        <v>1701</v>
      </c>
      <c r="M1015" s="52">
        <v>48797</v>
      </c>
      <c r="N1015" s="53" t="s">
        <v>2379</v>
      </c>
      <c r="O1015" s="11" t="s">
        <v>624</v>
      </c>
      <c r="P1015" s="11" t="s">
        <v>433</v>
      </c>
      <c r="Q1015" s="11" t="s">
        <v>2380</v>
      </c>
      <c r="R1015" s="11">
        <v>0.5</v>
      </c>
      <c r="S1015" s="11"/>
      <c r="T1015" s="12" t="s">
        <v>1584</v>
      </c>
      <c r="U1015" s="12">
        <v>46357</v>
      </c>
      <c r="V1015" s="13" t="s">
        <v>2381</v>
      </c>
      <c r="W1015" s="11" t="s">
        <v>1716</v>
      </c>
      <c r="X1015" s="11" t="s">
        <v>409</v>
      </c>
      <c r="Y1015" s="11" t="s">
        <v>2374</v>
      </c>
      <c r="Z1015" s="11">
        <v>0.5</v>
      </c>
      <c r="AA1015" s="11"/>
      <c r="AB1015" s="12">
        <v>45495</v>
      </c>
      <c r="AC1015" s="12">
        <v>47321</v>
      </c>
      <c r="AD1015" s="14" t="s">
        <v>2375</v>
      </c>
      <c r="AE1015" s="42"/>
      <c r="AF1015" s="43" t="s">
        <v>2123</v>
      </c>
    </row>
    <row r="1016" spans="1:32" ht="90" x14ac:dyDescent="0.25">
      <c r="A1016" s="44"/>
      <c r="B1016" s="42"/>
      <c r="C1016" s="42"/>
      <c r="D1016" s="42"/>
      <c r="E1016" s="42"/>
      <c r="F1016" s="42"/>
      <c r="G1016" s="42"/>
      <c r="H1016" s="42"/>
      <c r="I1016" s="48"/>
      <c r="J1016" s="42"/>
      <c r="K1016" s="42"/>
      <c r="L1016" s="42"/>
      <c r="M1016" s="42"/>
      <c r="N1016" s="53"/>
      <c r="O1016" s="11" t="s">
        <v>77</v>
      </c>
      <c r="P1016" s="11" t="s">
        <v>77</v>
      </c>
      <c r="Q1016" s="11" t="s">
        <v>77</v>
      </c>
      <c r="R1016" s="11" t="s">
        <v>77</v>
      </c>
      <c r="S1016" s="11"/>
      <c r="T1016" s="12" t="s">
        <v>77</v>
      </c>
      <c r="U1016" s="12" t="s">
        <v>77</v>
      </c>
      <c r="V1016" s="4"/>
      <c r="W1016" s="11" t="s">
        <v>1716</v>
      </c>
      <c r="X1016" s="11" t="s">
        <v>409</v>
      </c>
      <c r="Y1016" s="11" t="s">
        <v>2374</v>
      </c>
      <c r="Z1016" s="11">
        <v>0.5</v>
      </c>
      <c r="AA1016" s="11"/>
      <c r="AB1016" s="12">
        <v>45495</v>
      </c>
      <c r="AC1016" s="12">
        <v>47321</v>
      </c>
      <c r="AD1016" s="14" t="s">
        <v>2375</v>
      </c>
      <c r="AE1016" s="42"/>
      <c r="AF1016" s="42"/>
    </row>
    <row r="1017" spans="1:32" ht="90" x14ac:dyDescent="0.25">
      <c r="A1017" s="44"/>
      <c r="B1017" s="42"/>
      <c r="C1017" s="42"/>
      <c r="D1017" s="42"/>
      <c r="E1017" s="42"/>
      <c r="F1017" s="42"/>
      <c r="G1017" s="42"/>
      <c r="H1017" s="42"/>
      <c r="I1017" s="48"/>
      <c r="J1017" s="42"/>
      <c r="K1017" s="42"/>
      <c r="L1017" s="42"/>
      <c r="M1017" s="42"/>
      <c r="N1017" s="53"/>
      <c r="O1017" s="11" t="s">
        <v>635</v>
      </c>
      <c r="P1017" s="11" t="s">
        <v>433</v>
      </c>
      <c r="Q1017" s="11">
        <v>1729</v>
      </c>
      <c r="R1017" s="11">
        <v>0.5</v>
      </c>
      <c r="S1017" s="11"/>
      <c r="T1017" s="12" t="s">
        <v>1584</v>
      </c>
      <c r="U1017" s="12">
        <v>46357</v>
      </c>
      <c r="V1017" s="13" t="s">
        <v>2382</v>
      </c>
      <c r="W1017" s="11" t="s">
        <v>1716</v>
      </c>
      <c r="X1017" s="11" t="s">
        <v>409</v>
      </c>
      <c r="Y1017" s="11" t="s">
        <v>2374</v>
      </c>
      <c r="Z1017" s="11">
        <v>0.5</v>
      </c>
      <c r="AA1017" s="11"/>
      <c r="AB1017" s="12">
        <v>45495</v>
      </c>
      <c r="AC1017" s="12">
        <v>47321</v>
      </c>
      <c r="AD1017" s="14" t="s">
        <v>2375</v>
      </c>
      <c r="AE1017" s="42"/>
      <c r="AF1017" s="42"/>
    </row>
    <row r="1018" spans="1:32" ht="23.85" customHeight="1" x14ac:dyDescent="0.25">
      <c r="A1018" s="44">
        <v>337</v>
      </c>
      <c r="B1018" s="42" t="s">
        <v>1660</v>
      </c>
      <c r="C1018" s="42" t="s">
        <v>2369</v>
      </c>
      <c r="D1018" s="42">
        <v>70860</v>
      </c>
      <c r="E1018" s="42" t="s">
        <v>2383</v>
      </c>
      <c r="F1018" s="42" t="s">
        <v>405</v>
      </c>
      <c r="G1018" s="42" t="s">
        <v>32</v>
      </c>
      <c r="H1018" s="42" t="s">
        <v>1675</v>
      </c>
      <c r="I1018" s="48" t="s">
        <v>2384</v>
      </c>
      <c r="J1018" s="42" t="s">
        <v>71</v>
      </c>
      <c r="K1018" s="42"/>
      <c r="L1018" s="42" t="s">
        <v>1665</v>
      </c>
      <c r="M1018" s="52">
        <v>48796</v>
      </c>
      <c r="N1018" s="53" t="s">
        <v>2385</v>
      </c>
      <c r="O1018" s="11" t="s">
        <v>624</v>
      </c>
      <c r="P1018" s="11" t="s">
        <v>156</v>
      </c>
      <c r="Q1018" s="11" t="s">
        <v>2386</v>
      </c>
      <c r="R1018" s="11">
        <v>0.5</v>
      </c>
      <c r="S1018" s="11"/>
      <c r="T1018" s="12">
        <v>44166</v>
      </c>
      <c r="U1018" s="12">
        <v>47088</v>
      </c>
      <c r="V1018" s="4" t="s">
        <v>124</v>
      </c>
      <c r="W1018" s="11" t="s">
        <v>1716</v>
      </c>
      <c r="X1018" s="11" t="s">
        <v>409</v>
      </c>
      <c r="Y1018" s="11" t="s">
        <v>2374</v>
      </c>
      <c r="Z1018" s="11">
        <v>0.5</v>
      </c>
      <c r="AA1018" s="11"/>
      <c r="AB1018" s="12">
        <v>45495</v>
      </c>
      <c r="AC1018" s="12">
        <v>47321</v>
      </c>
      <c r="AD1018" s="14" t="s">
        <v>2375</v>
      </c>
      <c r="AE1018" s="42"/>
      <c r="AF1018" s="43" t="s">
        <v>2123</v>
      </c>
    </row>
    <row r="1019" spans="1:32" ht="90" x14ac:dyDescent="0.25">
      <c r="A1019" s="44"/>
      <c r="B1019" s="42"/>
      <c r="C1019" s="42"/>
      <c r="D1019" s="42"/>
      <c r="E1019" s="42"/>
      <c r="F1019" s="42"/>
      <c r="G1019" s="42"/>
      <c r="H1019" s="42"/>
      <c r="I1019" s="48"/>
      <c r="J1019" s="42"/>
      <c r="K1019" s="42"/>
      <c r="L1019" s="42"/>
      <c r="M1019" s="42"/>
      <c r="N1019" s="53"/>
      <c r="O1019" s="11" t="s">
        <v>77</v>
      </c>
      <c r="P1019" s="11" t="s">
        <v>77</v>
      </c>
      <c r="Q1019" s="11" t="s">
        <v>77</v>
      </c>
      <c r="R1019" s="11" t="s">
        <v>77</v>
      </c>
      <c r="S1019" s="11"/>
      <c r="T1019" s="12" t="s">
        <v>77</v>
      </c>
      <c r="U1019" s="12" t="s">
        <v>77</v>
      </c>
      <c r="V1019" s="4"/>
      <c r="W1019" s="11" t="s">
        <v>1716</v>
      </c>
      <c r="X1019" s="11" t="s">
        <v>409</v>
      </c>
      <c r="Y1019" s="11" t="s">
        <v>2374</v>
      </c>
      <c r="Z1019" s="11">
        <v>0.5</v>
      </c>
      <c r="AA1019" s="11"/>
      <c r="AB1019" s="12">
        <v>45495</v>
      </c>
      <c r="AC1019" s="12">
        <v>47321</v>
      </c>
      <c r="AD1019" s="14" t="s">
        <v>2375</v>
      </c>
      <c r="AE1019" s="42"/>
      <c r="AF1019" s="42"/>
    </row>
    <row r="1020" spans="1:32" ht="90" x14ac:dyDescent="0.25">
      <c r="A1020" s="44"/>
      <c r="B1020" s="42"/>
      <c r="C1020" s="42"/>
      <c r="D1020" s="42"/>
      <c r="E1020" s="42"/>
      <c r="F1020" s="42"/>
      <c r="G1020" s="42"/>
      <c r="H1020" s="42"/>
      <c r="I1020" s="48"/>
      <c r="J1020" s="42"/>
      <c r="K1020" s="42"/>
      <c r="L1020" s="42"/>
      <c r="M1020" s="42"/>
      <c r="N1020" s="53"/>
      <c r="O1020" s="11" t="s">
        <v>635</v>
      </c>
      <c r="P1020" s="11" t="s">
        <v>156</v>
      </c>
      <c r="Q1020" s="11" t="s">
        <v>2387</v>
      </c>
      <c r="R1020" s="11">
        <v>0.5</v>
      </c>
      <c r="S1020" s="11"/>
      <c r="T1020" s="12">
        <v>44166</v>
      </c>
      <c r="U1020" s="12">
        <v>47088</v>
      </c>
      <c r="V1020" s="4" t="s">
        <v>124</v>
      </c>
      <c r="W1020" s="11" t="s">
        <v>1716</v>
      </c>
      <c r="X1020" s="11" t="s">
        <v>409</v>
      </c>
      <c r="Y1020" s="11" t="s">
        <v>2374</v>
      </c>
      <c r="Z1020" s="11">
        <v>0.5</v>
      </c>
      <c r="AA1020" s="11"/>
      <c r="AB1020" s="12">
        <v>45495</v>
      </c>
      <c r="AC1020" s="12">
        <v>47321</v>
      </c>
      <c r="AD1020" s="14" t="s">
        <v>2375</v>
      </c>
      <c r="AE1020" s="42"/>
      <c r="AF1020" s="42"/>
    </row>
    <row r="1021" spans="1:32" ht="23.85" customHeight="1" x14ac:dyDescent="0.25">
      <c r="A1021" s="44">
        <v>338</v>
      </c>
      <c r="B1021" s="42" t="s">
        <v>1660</v>
      </c>
      <c r="C1021" s="42" t="s">
        <v>2369</v>
      </c>
      <c r="D1021" s="42">
        <v>70860</v>
      </c>
      <c r="E1021" s="42" t="s">
        <v>2388</v>
      </c>
      <c r="F1021" s="42" t="s">
        <v>405</v>
      </c>
      <c r="G1021" s="42" t="s">
        <v>32</v>
      </c>
      <c r="H1021" s="42" t="s">
        <v>1675</v>
      </c>
      <c r="I1021" s="48" t="s">
        <v>2389</v>
      </c>
      <c r="J1021" s="42" t="s">
        <v>71</v>
      </c>
      <c r="K1021" s="42"/>
      <c r="L1021" s="42" t="s">
        <v>1689</v>
      </c>
      <c r="M1021" s="52">
        <v>48795</v>
      </c>
      <c r="N1021" s="53" t="s">
        <v>2390</v>
      </c>
      <c r="O1021" s="11" t="s">
        <v>624</v>
      </c>
      <c r="P1021" s="11" t="s">
        <v>93</v>
      </c>
      <c r="Q1021" s="11" t="s">
        <v>2391</v>
      </c>
      <c r="R1021" s="11">
        <v>0.5</v>
      </c>
      <c r="S1021" s="11"/>
      <c r="T1021" s="12" t="s">
        <v>820</v>
      </c>
      <c r="U1021" s="12">
        <v>46380</v>
      </c>
      <c r="V1021" s="4" t="s">
        <v>124</v>
      </c>
      <c r="W1021" s="11" t="s">
        <v>1716</v>
      </c>
      <c r="X1021" s="11" t="s">
        <v>409</v>
      </c>
      <c r="Y1021" s="11" t="s">
        <v>2374</v>
      </c>
      <c r="Z1021" s="11">
        <v>0.5</v>
      </c>
      <c r="AA1021" s="11"/>
      <c r="AB1021" s="12">
        <v>45495</v>
      </c>
      <c r="AC1021" s="12">
        <v>47321</v>
      </c>
      <c r="AD1021" s="14" t="s">
        <v>2375</v>
      </c>
      <c r="AE1021" s="42"/>
      <c r="AF1021" s="43" t="s">
        <v>2123</v>
      </c>
    </row>
    <row r="1022" spans="1:32" ht="90" x14ac:dyDescent="0.25">
      <c r="A1022" s="44"/>
      <c r="B1022" s="42"/>
      <c r="C1022" s="42"/>
      <c r="D1022" s="42"/>
      <c r="E1022" s="42"/>
      <c r="F1022" s="42"/>
      <c r="G1022" s="42"/>
      <c r="H1022" s="42"/>
      <c r="I1022" s="48"/>
      <c r="J1022" s="42"/>
      <c r="K1022" s="42"/>
      <c r="L1022" s="42"/>
      <c r="M1022" s="42"/>
      <c r="N1022" s="53"/>
      <c r="O1022" s="11" t="s">
        <v>77</v>
      </c>
      <c r="P1022" s="11" t="s">
        <v>77</v>
      </c>
      <c r="Q1022" s="11" t="s">
        <v>77</v>
      </c>
      <c r="R1022" s="11" t="s">
        <v>77</v>
      </c>
      <c r="S1022" s="11"/>
      <c r="T1022" s="12" t="s">
        <v>77</v>
      </c>
      <c r="U1022" s="12" t="s">
        <v>77</v>
      </c>
      <c r="V1022" s="4"/>
      <c r="W1022" s="11" t="s">
        <v>1716</v>
      </c>
      <c r="X1022" s="11" t="s">
        <v>409</v>
      </c>
      <c r="Y1022" s="11" t="s">
        <v>2374</v>
      </c>
      <c r="Z1022" s="11">
        <v>0.5</v>
      </c>
      <c r="AA1022" s="11"/>
      <c r="AB1022" s="12">
        <v>45495</v>
      </c>
      <c r="AC1022" s="12">
        <v>47321</v>
      </c>
      <c r="AD1022" s="14" t="s">
        <v>2375</v>
      </c>
      <c r="AE1022" s="42"/>
      <c r="AF1022" s="42"/>
    </row>
    <row r="1023" spans="1:32" ht="90" x14ac:dyDescent="0.25">
      <c r="A1023" s="44"/>
      <c r="B1023" s="42"/>
      <c r="C1023" s="42"/>
      <c r="D1023" s="42"/>
      <c r="E1023" s="42"/>
      <c r="F1023" s="42"/>
      <c r="G1023" s="42"/>
      <c r="H1023" s="42"/>
      <c r="I1023" s="48"/>
      <c r="J1023" s="42"/>
      <c r="K1023" s="42"/>
      <c r="L1023" s="42"/>
      <c r="M1023" s="42"/>
      <c r="N1023" s="53"/>
      <c r="O1023" s="11" t="s">
        <v>635</v>
      </c>
      <c r="P1023" s="11" t="s">
        <v>93</v>
      </c>
      <c r="Q1023" s="11" t="s">
        <v>2392</v>
      </c>
      <c r="R1023" s="11">
        <v>0.5</v>
      </c>
      <c r="S1023" s="11"/>
      <c r="T1023" s="12" t="s">
        <v>820</v>
      </c>
      <c r="U1023" s="12">
        <v>46380</v>
      </c>
      <c r="V1023" s="4" t="s">
        <v>124</v>
      </c>
      <c r="W1023" s="11" t="s">
        <v>1716</v>
      </c>
      <c r="X1023" s="11" t="s">
        <v>409</v>
      </c>
      <c r="Y1023" s="11" t="s">
        <v>2374</v>
      </c>
      <c r="Z1023" s="11">
        <v>0.5</v>
      </c>
      <c r="AA1023" s="11"/>
      <c r="AB1023" s="12">
        <v>45495</v>
      </c>
      <c r="AC1023" s="12">
        <v>47321</v>
      </c>
      <c r="AD1023" s="14" t="s">
        <v>2375</v>
      </c>
      <c r="AE1023" s="42"/>
      <c r="AF1023" s="42"/>
    </row>
    <row r="1024" spans="1:32" ht="23.85" customHeight="1" x14ac:dyDescent="0.25">
      <c r="A1024" s="44">
        <v>339</v>
      </c>
      <c r="B1024" s="42" t="s">
        <v>1660</v>
      </c>
      <c r="C1024" s="42" t="s">
        <v>2369</v>
      </c>
      <c r="D1024" s="42">
        <v>70860</v>
      </c>
      <c r="E1024" s="42" t="s">
        <v>2393</v>
      </c>
      <c r="F1024" s="42" t="s">
        <v>405</v>
      </c>
      <c r="G1024" s="42" t="s">
        <v>32</v>
      </c>
      <c r="H1024" s="42" t="s">
        <v>1675</v>
      </c>
      <c r="I1024" s="48" t="s">
        <v>2394</v>
      </c>
      <c r="J1024" s="42" t="s">
        <v>71</v>
      </c>
      <c r="K1024" s="42"/>
      <c r="L1024" s="42" t="s">
        <v>1665</v>
      </c>
      <c r="M1024" s="52">
        <v>48796</v>
      </c>
      <c r="N1024" s="53" t="s">
        <v>2395</v>
      </c>
      <c r="O1024" s="11" t="s">
        <v>624</v>
      </c>
      <c r="P1024" s="11" t="s">
        <v>116</v>
      </c>
      <c r="Q1024" s="20" t="s">
        <v>2396</v>
      </c>
      <c r="R1024" s="11">
        <v>0.5</v>
      </c>
      <c r="S1024" s="11"/>
      <c r="T1024" s="12" t="s">
        <v>2068</v>
      </c>
      <c r="U1024" s="12">
        <v>47097</v>
      </c>
      <c r="V1024" s="4" t="s">
        <v>124</v>
      </c>
      <c r="W1024" s="11" t="s">
        <v>1716</v>
      </c>
      <c r="X1024" s="11" t="s">
        <v>409</v>
      </c>
      <c r="Y1024" s="11" t="s">
        <v>2397</v>
      </c>
      <c r="Z1024" s="11">
        <v>0.5</v>
      </c>
      <c r="AA1024" s="11"/>
      <c r="AB1024" s="12">
        <v>45495</v>
      </c>
      <c r="AC1024" s="12">
        <v>47321</v>
      </c>
      <c r="AD1024" s="14" t="s">
        <v>2398</v>
      </c>
      <c r="AE1024" s="42"/>
      <c r="AF1024" s="43" t="s">
        <v>2123</v>
      </c>
    </row>
    <row r="1025" spans="1:32" ht="90" x14ac:dyDescent="0.25">
      <c r="A1025" s="44"/>
      <c r="B1025" s="42"/>
      <c r="C1025" s="42"/>
      <c r="D1025" s="42"/>
      <c r="E1025" s="42"/>
      <c r="F1025" s="42"/>
      <c r="G1025" s="42"/>
      <c r="H1025" s="42"/>
      <c r="I1025" s="48"/>
      <c r="J1025" s="42"/>
      <c r="K1025" s="42"/>
      <c r="L1025" s="42"/>
      <c r="M1025" s="42"/>
      <c r="N1025" s="53"/>
      <c r="O1025" s="11" t="s">
        <v>77</v>
      </c>
      <c r="P1025" s="11" t="s">
        <v>77</v>
      </c>
      <c r="Q1025" s="11" t="s">
        <v>77</v>
      </c>
      <c r="R1025" s="11" t="s">
        <v>77</v>
      </c>
      <c r="S1025" s="11"/>
      <c r="T1025" s="12" t="s">
        <v>77</v>
      </c>
      <c r="U1025" s="12" t="s">
        <v>77</v>
      </c>
      <c r="V1025" s="4"/>
      <c r="W1025" s="11" t="s">
        <v>1716</v>
      </c>
      <c r="X1025" s="11" t="s">
        <v>409</v>
      </c>
      <c r="Y1025" s="11" t="s">
        <v>2397</v>
      </c>
      <c r="Z1025" s="11">
        <v>0.5</v>
      </c>
      <c r="AA1025" s="11"/>
      <c r="AB1025" s="12">
        <v>45495</v>
      </c>
      <c r="AC1025" s="12">
        <v>47321</v>
      </c>
      <c r="AD1025" s="14" t="s">
        <v>2398</v>
      </c>
      <c r="AE1025" s="42"/>
      <c r="AF1025" s="42"/>
    </row>
    <row r="1026" spans="1:32" ht="90" x14ac:dyDescent="0.25">
      <c r="A1026" s="44"/>
      <c r="B1026" s="42"/>
      <c r="C1026" s="42"/>
      <c r="D1026" s="42"/>
      <c r="E1026" s="42"/>
      <c r="F1026" s="42"/>
      <c r="G1026" s="42"/>
      <c r="H1026" s="42"/>
      <c r="I1026" s="48"/>
      <c r="J1026" s="42"/>
      <c r="K1026" s="42"/>
      <c r="L1026" s="42"/>
      <c r="M1026" s="42"/>
      <c r="N1026" s="53"/>
      <c r="O1026" s="11" t="s">
        <v>635</v>
      </c>
      <c r="P1026" s="11" t="s">
        <v>116</v>
      </c>
      <c r="Q1026" s="20" t="s">
        <v>2399</v>
      </c>
      <c r="R1026" s="11">
        <v>0.5</v>
      </c>
      <c r="S1026" s="11"/>
      <c r="T1026" s="12" t="s">
        <v>2400</v>
      </c>
      <c r="U1026" s="12">
        <v>47089</v>
      </c>
      <c r="V1026" s="4" t="s">
        <v>124</v>
      </c>
      <c r="W1026" s="11" t="s">
        <v>1716</v>
      </c>
      <c r="X1026" s="11" t="s">
        <v>409</v>
      </c>
      <c r="Y1026" s="11" t="s">
        <v>2397</v>
      </c>
      <c r="Z1026" s="11">
        <v>0.5</v>
      </c>
      <c r="AA1026" s="11"/>
      <c r="AB1026" s="12">
        <v>45495</v>
      </c>
      <c r="AC1026" s="12">
        <v>47321</v>
      </c>
      <c r="AD1026" s="14" t="s">
        <v>2398</v>
      </c>
      <c r="AE1026" s="42"/>
      <c r="AF1026" s="42"/>
    </row>
    <row r="1027" spans="1:32" ht="23.85" customHeight="1" x14ac:dyDescent="0.25">
      <c r="A1027" s="44">
        <v>340</v>
      </c>
      <c r="B1027" s="42" t="s">
        <v>1660</v>
      </c>
      <c r="C1027" s="42" t="s">
        <v>2369</v>
      </c>
      <c r="D1027" s="42">
        <v>70860</v>
      </c>
      <c r="E1027" s="42" t="s">
        <v>2401</v>
      </c>
      <c r="F1027" s="42" t="s">
        <v>405</v>
      </c>
      <c r="G1027" s="42" t="s">
        <v>32</v>
      </c>
      <c r="H1027" s="42" t="s">
        <v>1675</v>
      </c>
      <c r="I1027" s="48" t="s">
        <v>2402</v>
      </c>
      <c r="J1027" s="42" t="s">
        <v>71</v>
      </c>
      <c r="K1027" s="42"/>
      <c r="L1027" s="42" t="s">
        <v>1665</v>
      </c>
      <c r="M1027" s="52">
        <v>48796</v>
      </c>
      <c r="N1027" s="53" t="s">
        <v>2403</v>
      </c>
      <c r="O1027" s="11" t="s">
        <v>624</v>
      </c>
      <c r="P1027" s="11" t="s">
        <v>93</v>
      </c>
      <c r="Q1027" s="11" t="s">
        <v>2404</v>
      </c>
      <c r="R1027" s="11">
        <v>0.5</v>
      </c>
      <c r="S1027" s="11"/>
      <c r="T1027" s="12" t="s">
        <v>820</v>
      </c>
      <c r="U1027" s="12">
        <v>46380</v>
      </c>
      <c r="V1027" s="4" t="s">
        <v>124</v>
      </c>
      <c r="W1027" s="11" t="s">
        <v>1716</v>
      </c>
      <c r="X1027" s="11" t="s">
        <v>409</v>
      </c>
      <c r="Y1027" s="11" t="s">
        <v>2397</v>
      </c>
      <c r="Z1027" s="11">
        <v>0.5</v>
      </c>
      <c r="AA1027" s="11"/>
      <c r="AB1027" s="12">
        <v>45495</v>
      </c>
      <c r="AC1027" s="12">
        <v>47321</v>
      </c>
      <c r="AD1027" s="14" t="s">
        <v>2398</v>
      </c>
      <c r="AE1027" s="42"/>
      <c r="AF1027" s="43" t="s">
        <v>2123</v>
      </c>
    </row>
    <row r="1028" spans="1:32" ht="90" x14ac:dyDescent="0.25">
      <c r="A1028" s="44"/>
      <c r="B1028" s="42"/>
      <c r="C1028" s="42"/>
      <c r="D1028" s="42"/>
      <c r="E1028" s="42"/>
      <c r="F1028" s="42"/>
      <c r="G1028" s="42"/>
      <c r="H1028" s="42"/>
      <c r="I1028" s="48"/>
      <c r="J1028" s="42"/>
      <c r="K1028" s="42"/>
      <c r="L1028" s="42"/>
      <c r="M1028" s="42"/>
      <c r="N1028" s="53"/>
      <c r="O1028" s="11" t="s">
        <v>77</v>
      </c>
      <c r="P1028" s="11" t="s">
        <v>77</v>
      </c>
      <c r="Q1028" s="11" t="s">
        <v>77</v>
      </c>
      <c r="R1028" s="11" t="s">
        <v>77</v>
      </c>
      <c r="S1028" s="11"/>
      <c r="T1028" s="12" t="s">
        <v>77</v>
      </c>
      <c r="U1028" s="12" t="s">
        <v>77</v>
      </c>
      <c r="V1028" s="4"/>
      <c r="W1028" s="11" t="s">
        <v>1716</v>
      </c>
      <c r="X1028" s="11" t="s">
        <v>409</v>
      </c>
      <c r="Y1028" s="11" t="s">
        <v>2397</v>
      </c>
      <c r="Z1028" s="11">
        <v>0.5</v>
      </c>
      <c r="AA1028" s="11"/>
      <c r="AB1028" s="12">
        <v>45495</v>
      </c>
      <c r="AC1028" s="12">
        <v>47321</v>
      </c>
      <c r="AD1028" s="14" t="s">
        <v>2398</v>
      </c>
      <c r="AE1028" s="42"/>
      <c r="AF1028" s="42"/>
    </row>
    <row r="1029" spans="1:32" ht="90" x14ac:dyDescent="0.25">
      <c r="A1029" s="44"/>
      <c r="B1029" s="42"/>
      <c r="C1029" s="42"/>
      <c r="D1029" s="42"/>
      <c r="E1029" s="42"/>
      <c r="F1029" s="42"/>
      <c r="G1029" s="42"/>
      <c r="H1029" s="42"/>
      <c r="I1029" s="48"/>
      <c r="J1029" s="42"/>
      <c r="K1029" s="42"/>
      <c r="L1029" s="42"/>
      <c r="M1029" s="42"/>
      <c r="N1029" s="53"/>
      <c r="O1029" s="11" t="s">
        <v>635</v>
      </c>
      <c r="P1029" s="11" t="s">
        <v>93</v>
      </c>
      <c r="Q1029" s="11" t="s">
        <v>2405</v>
      </c>
      <c r="R1029" s="11">
        <v>0.5</v>
      </c>
      <c r="S1029" s="11"/>
      <c r="T1029" s="12" t="s">
        <v>820</v>
      </c>
      <c r="U1029" s="12">
        <v>46380</v>
      </c>
      <c r="V1029" s="4" t="s">
        <v>124</v>
      </c>
      <c r="W1029" s="11" t="s">
        <v>1716</v>
      </c>
      <c r="X1029" s="11" t="s">
        <v>409</v>
      </c>
      <c r="Y1029" s="11" t="s">
        <v>2397</v>
      </c>
      <c r="Z1029" s="11">
        <v>0.5</v>
      </c>
      <c r="AA1029" s="11"/>
      <c r="AB1029" s="12">
        <v>45495</v>
      </c>
      <c r="AC1029" s="12">
        <v>47321</v>
      </c>
      <c r="AD1029" s="14" t="s">
        <v>2398</v>
      </c>
      <c r="AE1029" s="42"/>
      <c r="AF1029" s="42"/>
    </row>
    <row r="1030" spans="1:32" ht="23.85" customHeight="1" x14ac:dyDescent="0.25">
      <c r="A1030" s="44">
        <v>341</v>
      </c>
      <c r="B1030" s="42" t="s">
        <v>1660</v>
      </c>
      <c r="C1030" s="42" t="s">
        <v>2369</v>
      </c>
      <c r="D1030" s="42">
        <v>70860</v>
      </c>
      <c r="E1030" s="42" t="s">
        <v>2406</v>
      </c>
      <c r="F1030" s="42" t="s">
        <v>405</v>
      </c>
      <c r="G1030" s="42" t="s">
        <v>68</v>
      </c>
      <c r="H1030" s="42" t="s">
        <v>1675</v>
      </c>
      <c r="I1030" s="48" t="s">
        <v>2407</v>
      </c>
      <c r="J1030" s="42" t="s">
        <v>71</v>
      </c>
      <c r="K1030" s="42"/>
      <c r="L1030" s="42" t="s">
        <v>1689</v>
      </c>
      <c r="M1030" s="52">
        <v>48795</v>
      </c>
      <c r="N1030" s="53" t="s">
        <v>2408</v>
      </c>
      <c r="O1030" s="11" t="s">
        <v>990</v>
      </c>
      <c r="P1030" s="11" t="s">
        <v>1704</v>
      </c>
      <c r="Q1030" s="11" t="s">
        <v>2409</v>
      </c>
      <c r="R1030" s="11">
        <v>0.5</v>
      </c>
      <c r="S1030" s="11"/>
      <c r="T1030" s="12" t="s">
        <v>820</v>
      </c>
      <c r="U1030" s="12">
        <v>46380</v>
      </c>
      <c r="V1030" s="4" t="s">
        <v>124</v>
      </c>
      <c r="W1030" s="11" t="s">
        <v>77</v>
      </c>
      <c r="X1030" s="11" t="s">
        <v>77</v>
      </c>
      <c r="Y1030" s="11" t="s">
        <v>77</v>
      </c>
      <c r="Z1030" s="11">
        <v>0</v>
      </c>
      <c r="AA1030" s="11"/>
      <c r="AB1030" s="12" t="s">
        <v>77</v>
      </c>
      <c r="AC1030" s="12" t="s">
        <v>77</v>
      </c>
      <c r="AD1030" s="12"/>
      <c r="AE1030" s="42"/>
      <c r="AF1030" s="43" t="s">
        <v>995</v>
      </c>
    </row>
    <row r="1031" spans="1:32" ht="25.5" x14ac:dyDescent="0.25">
      <c r="A1031" s="44"/>
      <c r="B1031" s="42"/>
      <c r="C1031" s="42"/>
      <c r="D1031" s="42"/>
      <c r="E1031" s="42"/>
      <c r="F1031" s="42"/>
      <c r="G1031" s="42"/>
      <c r="H1031" s="42"/>
      <c r="I1031" s="48"/>
      <c r="J1031" s="42"/>
      <c r="K1031" s="42"/>
      <c r="L1031" s="42"/>
      <c r="M1031" s="42"/>
      <c r="N1031" s="53"/>
      <c r="O1031" s="11" t="s">
        <v>990</v>
      </c>
      <c r="P1031" s="11" t="s">
        <v>1704</v>
      </c>
      <c r="Q1031" s="11" t="s">
        <v>2410</v>
      </c>
      <c r="R1031" s="11">
        <v>0.5</v>
      </c>
      <c r="S1031" s="11"/>
      <c r="T1031" s="12" t="s">
        <v>820</v>
      </c>
      <c r="U1031" s="12">
        <v>46380</v>
      </c>
      <c r="V1031" s="4" t="s">
        <v>124</v>
      </c>
      <c r="W1031" s="11" t="s">
        <v>77</v>
      </c>
      <c r="X1031" s="11" t="s">
        <v>77</v>
      </c>
      <c r="Y1031" s="11" t="s">
        <v>77</v>
      </c>
      <c r="Z1031" s="11" t="s">
        <v>77</v>
      </c>
      <c r="AA1031" s="11"/>
      <c r="AB1031" s="12" t="s">
        <v>77</v>
      </c>
      <c r="AC1031" s="12" t="s">
        <v>77</v>
      </c>
      <c r="AD1031" s="12"/>
      <c r="AE1031" s="42"/>
      <c r="AF1031" s="42"/>
    </row>
    <row r="1032" spans="1:32" x14ac:dyDescent="0.25">
      <c r="A1032" s="44"/>
      <c r="B1032" s="42"/>
      <c r="C1032" s="42"/>
      <c r="D1032" s="42"/>
      <c r="E1032" s="42"/>
      <c r="F1032" s="42"/>
      <c r="G1032" s="42"/>
      <c r="H1032" s="42"/>
      <c r="I1032" s="48"/>
      <c r="J1032" s="42"/>
      <c r="K1032" s="42"/>
      <c r="L1032" s="42"/>
      <c r="M1032" s="42"/>
      <c r="N1032" s="53"/>
      <c r="O1032" s="11" t="s">
        <v>997</v>
      </c>
      <c r="P1032" s="11" t="s">
        <v>1704</v>
      </c>
      <c r="Q1032" s="11" t="s">
        <v>2411</v>
      </c>
      <c r="R1032" s="11">
        <v>0.5</v>
      </c>
      <c r="S1032" s="11"/>
      <c r="T1032" s="12" t="s">
        <v>820</v>
      </c>
      <c r="U1032" s="12">
        <v>46380</v>
      </c>
      <c r="V1032" s="4" t="s">
        <v>124</v>
      </c>
      <c r="W1032" s="11" t="s">
        <v>77</v>
      </c>
      <c r="X1032" s="11" t="s">
        <v>77</v>
      </c>
      <c r="Y1032" s="11" t="s">
        <v>77</v>
      </c>
      <c r="Z1032" s="11" t="s">
        <v>77</v>
      </c>
      <c r="AA1032" s="11"/>
      <c r="AB1032" s="12" t="s">
        <v>77</v>
      </c>
      <c r="AC1032" s="12" t="s">
        <v>77</v>
      </c>
      <c r="AD1032" s="12"/>
      <c r="AE1032" s="42"/>
      <c r="AF1032" s="42"/>
    </row>
    <row r="1033" spans="1:32" ht="23.85" customHeight="1" x14ac:dyDescent="0.25">
      <c r="A1033" s="44">
        <v>342</v>
      </c>
      <c r="B1033" s="42" t="s">
        <v>1660</v>
      </c>
      <c r="C1033" s="42" t="s">
        <v>2412</v>
      </c>
      <c r="D1033" s="42">
        <v>70863</v>
      </c>
      <c r="E1033" s="42" t="s">
        <v>2413</v>
      </c>
      <c r="F1033" s="42" t="s">
        <v>405</v>
      </c>
      <c r="G1033" s="42" t="s">
        <v>68</v>
      </c>
      <c r="H1033" s="42" t="s">
        <v>1675</v>
      </c>
      <c r="I1033" s="48" t="s">
        <v>2414</v>
      </c>
      <c r="J1033" s="42" t="s">
        <v>71</v>
      </c>
      <c r="K1033" s="42"/>
      <c r="L1033" s="42" t="s">
        <v>1701</v>
      </c>
      <c r="M1033" s="52">
        <v>48797</v>
      </c>
      <c r="N1033" s="53" t="s">
        <v>2415</v>
      </c>
      <c r="O1033" s="11" t="s">
        <v>1261</v>
      </c>
      <c r="P1033" s="11" t="s">
        <v>1704</v>
      </c>
      <c r="Q1033" s="11" t="s">
        <v>484</v>
      </c>
      <c r="R1033" s="11">
        <v>0.5</v>
      </c>
      <c r="S1033" s="11"/>
      <c r="T1033" s="12" t="s">
        <v>2293</v>
      </c>
      <c r="U1033" s="12">
        <v>46358</v>
      </c>
      <c r="V1033" s="4" t="s">
        <v>124</v>
      </c>
      <c r="W1033" s="11" t="s">
        <v>1716</v>
      </c>
      <c r="X1033" s="11" t="s">
        <v>409</v>
      </c>
      <c r="Y1033" s="11" t="s">
        <v>2416</v>
      </c>
      <c r="Z1033" s="11">
        <v>0.5</v>
      </c>
      <c r="AA1033" s="11"/>
      <c r="AB1033" s="12">
        <v>45495</v>
      </c>
      <c r="AC1033" s="12">
        <v>47321</v>
      </c>
      <c r="AD1033" s="14" t="s">
        <v>2417</v>
      </c>
      <c r="AE1033" s="42"/>
      <c r="AF1033" s="43" t="s">
        <v>2123</v>
      </c>
    </row>
    <row r="1034" spans="1:32" ht="90" x14ac:dyDescent="0.25">
      <c r="A1034" s="44"/>
      <c r="B1034" s="42"/>
      <c r="C1034" s="42"/>
      <c r="D1034" s="42"/>
      <c r="E1034" s="42"/>
      <c r="F1034" s="42"/>
      <c r="G1034" s="42"/>
      <c r="H1034" s="42"/>
      <c r="I1034" s="48"/>
      <c r="J1034" s="42"/>
      <c r="K1034" s="42"/>
      <c r="L1034" s="42"/>
      <c r="M1034" s="42"/>
      <c r="N1034" s="53"/>
      <c r="O1034" s="11" t="s">
        <v>77</v>
      </c>
      <c r="P1034" s="11" t="s">
        <v>77</v>
      </c>
      <c r="Q1034" s="11" t="s">
        <v>77</v>
      </c>
      <c r="R1034" s="11" t="s">
        <v>77</v>
      </c>
      <c r="S1034" s="11"/>
      <c r="T1034" s="12" t="s">
        <v>77</v>
      </c>
      <c r="U1034" s="12" t="s">
        <v>77</v>
      </c>
      <c r="V1034" s="4"/>
      <c r="W1034" s="11" t="s">
        <v>1716</v>
      </c>
      <c r="X1034" s="11" t="s">
        <v>409</v>
      </c>
      <c r="Y1034" s="11" t="s">
        <v>2416</v>
      </c>
      <c r="Z1034" s="11">
        <v>0.5</v>
      </c>
      <c r="AA1034" s="11"/>
      <c r="AB1034" s="12">
        <v>45495</v>
      </c>
      <c r="AC1034" s="12">
        <v>47321</v>
      </c>
      <c r="AD1034" s="14" t="s">
        <v>2417</v>
      </c>
      <c r="AE1034" s="42"/>
      <c r="AF1034" s="42"/>
    </row>
    <row r="1035" spans="1:32" ht="90" x14ac:dyDescent="0.25">
      <c r="A1035" s="44"/>
      <c r="B1035" s="42"/>
      <c r="C1035" s="42"/>
      <c r="D1035" s="42"/>
      <c r="E1035" s="42"/>
      <c r="F1035" s="42"/>
      <c r="G1035" s="42"/>
      <c r="H1035" s="42"/>
      <c r="I1035" s="48"/>
      <c r="J1035" s="42"/>
      <c r="K1035" s="42"/>
      <c r="L1035" s="42"/>
      <c r="M1035" s="42"/>
      <c r="N1035" s="53"/>
      <c r="O1035" s="11" t="s">
        <v>1672</v>
      </c>
      <c r="P1035" s="11" t="s">
        <v>1704</v>
      </c>
      <c r="Q1035" s="11" t="s">
        <v>2418</v>
      </c>
      <c r="R1035" s="11">
        <v>0.5</v>
      </c>
      <c r="S1035" s="11"/>
      <c r="T1035" s="12" t="s">
        <v>2293</v>
      </c>
      <c r="U1035" s="12">
        <v>46358</v>
      </c>
      <c r="V1035" s="4" t="s">
        <v>124</v>
      </c>
      <c r="W1035" s="11" t="s">
        <v>1716</v>
      </c>
      <c r="X1035" s="11" t="s">
        <v>409</v>
      </c>
      <c r="Y1035" s="11" t="s">
        <v>2416</v>
      </c>
      <c r="Z1035" s="11">
        <v>0.5</v>
      </c>
      <c r="AA1035" s="11"/>
      <c r="AB1035" s="12">
        <v>45495</v>
      </c>
      <c r="AC1035" s="12">
        <v>47321</v>
      </c>
      <c r="AD1035" s="14" t="s">
        <v>2417</v>
      </c>
      <c r="AE1035" s="42"/>
      <c r="AF1035" s="42"/>
    </row>
    <row r="1036" spans="1:32" ht="23.85" customHeight="1" x14ac:dyDescent="0.25">
      <c r="A1036" s="44">
        <v>343</v>
      </c>
      <c r="B1036" s="42" t="s">
        <v>1660</v>
      </c>
      <c r="C1036" s="42" t="s">
        <v>2412</v>
      </c>
      <c r="D1036" s="42">
        <v>70863</v>
      </c>
      <c r="E1036" s="42" t="s">
        <v>2419</v>
      </c>
      <c r="F1036" s="42" t="s">
        <v>405</v>
      </c>
      <c r="G1036" s="42" t="s">
        <v>32</v>
      </c>
      <c r="H1036" s="42" t="s">
        <v>1675</v>
      </c>
      <c r="I1036" s="48" t="s">
        <v>2420</v>
      </c>
      <c r="J1036" s="42" t="s">
        <v>71</v>
      </c>
      <c r="K1036" s="42"/>
      <c r="L1036" s="42" t="s">
        <v>1689</v>
      </c>
      <c r="M1036" s="52">
        <v>48795</v>
      </c>
      <c r="N1036" s="53" t="s">
        <v>2421</v>
      </c>
      <c r="O1036" s="11" t="s">
        <v>1261</v>
      </c>
      <c r="P1036" s="11" t="s">
        <v>433</v>
      </c>
      <c r="Q1036" s="11" t="s">
        <v>2422</v>
      </c>
      <c r="R1036" s="11">
        <v>0.5</v>
      </c>
      <c r="S1036" s="11"/>
      <c r="T1036" s="12" t="s">
        <v>2293</v>
      </c>
      <c r="U1036" s="12">
        <v>46358</v>
      </c>
      <c r="V1036" s="4" t="s">
        <v>124</v>
      </c>
      <c r="W1036" s="11" t="s">
        <v>1716</v>
      </c>
      <c r="X1036" s="11" t="s">
        <v>409</v>
      </c>
      <c r="Y1036" s="11" t="s">
        <v>2416</v>
      </c>
      <c r="Z1036" s="11">
        <v>0.5</v>
      </c>
      <c r="AA1036" s="11"/>
      <c r="AB1036" s="12">
        <v>45495</v>
      </c>
      <c r="AC1036" s="12">
        <v>47321</v>
      </c>
      <c r="AD1036" s="14" t="s">
        <v>2417</v>
      </c>
      <c r="AE1036" s="42"/>
      <c r="AF1036" s="43" t="s">
        <v>2123</v>
      </c>
    </row>
    <row r="1037" spans="1:32" ht="90" x14ac:dyDescent="0.25">
      <c r="A1037" s="44"/>
      <c r="B1037" s="42"/>
      <c r="C1037" s="42"/>
      <c r="D1037" s="42"/>
      <c r="E1037" s="42"/>
      <c r="F1037" s="42"/>
      <c r="G1037" s="42"/>
      <c r="H1037" s="42"/>
      <c r="I1037" s="48"/>
      <c r="J1037" s="42"/>
      <c r="K1037" s="42"/>
      <c r="L1037" s="42"/>
      <c r="M1037" s="42"/>
      <c r="N1037" s="53"/>
      <c r="O1037" s="11" t="s">
        <v>77</v>
      </c>
      <c r="P1037" s="11" t="s">
        <v>77</v>
      </c>
      <c r="Q1037" s="11" t="s">
        <v>77</v>
      </c>
      <c r="R1037" s="11" t="s">
        <v>77</v>
      </c>
      <c r="S1037" s="11"/>
      <c r="T1037" s="12" t="s">
        <v>77</v>
      </c>
      <c r="U1037" s="12" t="s">
        <v>77</v>
      </c>
      <c r="V1037" s="4"/>
      <c r="W1037" s="11" t="s">
        <v>1716</v>
      </c>
      <c r="X1037" s="11" t="s">
        <v>409</v>
      </c>
      <c r="Y1037" s="11" t="s">
        <v>2416</v>
      </c>
      <c r="Z1037" s="11">
        <v>0.5</v>
      </c>
      <c r="AA1037" s="11"/>
      <c r="AB1037" s="12">
        <v>45495</v>
      </c>
      <c r="AC1037" s="12">
        <v>47321</v>
      </c>
      <c r="AD1037" s="14" t="s">
        <v>2417</v>
      </c>
      <c r="AE1037" s="42"/>
      <c r="AF1037" s="42"/>
    </row>
    <row r="1038" spans="1:32" ht="90" x14ac:dyDescent="0.25">
      <c r="A1038" s="44"/>
      <c r="B1038" s="42"/>
      <c r="C1038" s="42"/>
      <c r="D1038" s="42"/>
      <c r="E1038" s="42"/>
      <c r="F1038" s="42"/>
      <c r="G1038" s="42"/>
      <c r="H1038" s="42"/>
      <c r="I1038" s="48"/>
      <c r="J1038" s="42"/>
      <c r="K1038" s="42"/>
      <c r="L1038" s="42"/>
      <c r="M1038" s="42"/>
      <c r="N1038" s="53"/>
      <c r="O1038" s="11" t="s">
        <v>1672</v>
      </c>
      <c r="P1038" s="11" t="s">
        <v>433</v>
      </c>
      <c r="Q1038" s="11" t="s">
        <v>2423</v>
      </c>
      <c r="R1038" s="11">
        <v>0.5</v>
      </c>
      <c r="S1038" s="11"/>
      <c r="T1038" s="12" t="s">
        <v>2293</v>
      </c>
      <c r="U1038" s="12">
        <v>46358</v>
      </c>
      <c r="V1038" s="4" t="s">
        <v>124</v>
      </c>
      <c r="W1038" s="11" t="s">
        <v>1716</v>
      </c>
      <c r="X1038" s="11" t="s">
        <v>409</v>
      </c>
      <c r="Y1038" s="11" t="s">
        <v>2416</v>
      </c>
      <c r="Z1038" s="11">
        <v>0.5</v>
      </c>
      <c r="AA1038" s="11"/>
      <c r="AB1038" s="12">
        <v>45495</v>
      </c>
      <c r="AC1038" s="12">
        <v>47321</v>
      </c>
      <c r="AD1038" s="14" t="s">
        <v>2417</v>
      </c>
      <c r="AE1038" s="42"/>
      <c r="AF1038" s="42"/>
    </row>
    <row r="1039" spans="1:32" ht="23.85" customHeight="1" x14ac:dyDescent="0.25">
      <c r="A1039" s="44">
        <v>344</v>
      </c>
      <c r="B1039" s="42" t="s">
        <v>1660</v>
      </c>
      <c r="C1039" s="42" t="s">
        <v>2412</v>
      </c>
      <c r="D1039" s="42">
        <v>70863</v>
      </c>
      <c r="E1039" s="42" t="s">
        <v>2424</v>
      </c>
      <c r="F1039" s="42" t="s">
        <v>405</v>
      </c>
      <c r="G1039" s="42" t="s">
        <v>68</v>
      </c>
      <c r="H1039" s="42" t="s">
        <v>1675</v>
      </c>
      <c r="I1039" s="48" t="s">
        <v>2425</v>
      </c>
      <c r="J1039" s="42" t="s">
        <v>71</v>
      </c>
      <c r="K1039" s="42"/>
      <c r="L1039" s="42" t="s">
        <v>1701</v>
      </c>
      <c r="M1039" s="52">
        <v>48797</v>
      </c>
      <c r="N1039" s="53" t="s">
        <v>2426</v>
      </c>
      <c r="O1039" s="11" t="s">
        <v>1261</v>
      </c>
      <c r="P1039" s="11" t="s">
        <v>1704</v>
      </c>
      <c r="Q1039" s="11" t="s">
        <v>2427</v>
      </c>
      <c r="R1039" s="11">
        <v>0.5</v>
      </c>
      <c r="S1039" s="11"/>
      <c r="T1039" s="12" t="s">
        <v>2293</v>
      </c>
      <c r="U1039" s="12">
        <v>46358</v>
      </c>
      <c r="V1039" s="4" t="s">
        <v>124</v>
      </c>
      <c r="W1039" s="11" t="s">
        <v>1716</v>
      </c>
      <c r="X1039" s="11" t="s">
        <v>409</v>
      </c>
      <c r="Y1039" s="11" t="s">
        <v>2416</v>
      </c>
      <c r="Z1039" s="11">
        <v>0.5</v>
      </c>
      <c r="AA1039" s="11"/>
      <c r="AB1039" s="12">
        <v>45495</v>
      </c>
      <c r="AC1039" s="12">
        <v>47321</v>
      </c>
      <c r="AD1039" s="14" t="s">
        <v>2417</v>
      </c>
      <c r="AE1039" s="42"/>
      <c r="AF1039" s="43" t="s">
        <v>2123</v>
      </c>
    </row>
    <row r="1040" spans="1:32" ht="90" x14ac:dyDescent="0.25">
      <c r="A1040" s="44"/>
      <c r="B1040" s="42"/>
      <c r="C1040" s="42"/>
      <c r="D1040" s="42"/>
      <c r="E1040" s="42"/>
      <c r="F1040" s="42"/>
      <c r="G1040" s="42"/>
      <c r="H1040" s="42"/>
      <c r="I1040" s="48"/>
      <c r="J1040" s="42"/>
      <c r="K1040" s="42"/>
      <c r="L1040" s="42"/>
      <c r="M1040" s="42"/>
      <c r="N1040" s="53"/>
      <c r="O1040" s="11" t="s">
        <v>77</v>
      </c>
      <c r="P1040" s="11" t="s">
        <v>77</v>
      </c>
      <c r="Q1040" s="11" t="s">
        <v>77</v>
      </c>
      <c r="R1040" s="11" t="s">
        <v>77</v>
      </c>
      <c r="S1040" s="11"/>
      <c r="T1040" s="12" t="s">
        <v>77</v>
      </c>
      <c r="U1040" s="12" t="s">
        <v>77</v>
      </c>
      <c r="V1040" s="4"/>
      <c r="W1040" s="11" t="s">
        <v>1716</v>
      </c>
      <c r="X1040" s="11" t="s">
        <v>409</v>
      </c>
      <c r="Y1040" s="11" t="s">
        <v>2416</v>
      </c>
      <c r="Z1040" s="11">
        <v>0.5</v>
      </c>
      <c r="AA1040" s="11"/>
      <c r="AB1040" s="12">
        <v>45495</v>
      </c>
      <c r="AC1040" s="12">
        <v>47321</v>
      </c>
      <c r="AD1040" s="14" t="s">
        <v>2417</v>
      </c>
      <c r="AE1040" s="42"/>
      <c r="AF1040" s="42"/>
    </row>
    <row r="1041" spans="1:32" ht="90" x14ac:dyDescent="0.25">
      <c r="A1041" s="44"/>
      <c r="B1041" s="42"/>
      <c r="C1041" s="42"/>
      <c r="D1041" s="42"/>
      <c r="E1041" s="42"/>
      <c r="F1041" s="42"/>
      <c r="G1041" s="42"/>
      <c r="H1041" s="42"/>
      <c r="I1041" s="48"/>
      <c r="J1041" s="42"/>
      <c r="K1041" s="42"/>
      <c r="L1041" s="42"/>
      <c r="M1041" s="42"/>
      <c r="N1041" s="53"/>
      <c r="O1041" s="11" t="s">
        <v>1672</v>
      </c>
      <c r="P1041" s="11" t="s">
        <v>1704</v>
      </c>
      <c r="Q1041" s="11" t="s">
        <v>2428</v>
      </c>
      <c r="R1041" s="11">
        <v>0.5</v>
      </c>
      <c r="S1041" s="11"/>
      <c r="T1041" s="12" t="s">
        <v>2293</v>
      </c>
      <c r="U1041" s="12">
        <v>46358</v>
      </c>
      <c r="V1041" s="4" t="s">
        <v>124</v>
      </c>
      <c r="W1041" s="11" t="s">
        <v>1716</v>
      </c>
      <c r="X1041" s="11" t="s">
        <v>409</v>
      </c>
      <c r="Y1041" s="11" t="s">
        <v>2416</v>
      </c>
      <c r="Z1041" s="11">
        <v>0.5</v>
      </c>
      <c r="AA1041" s="11"/>
      <c r="AB1041" s="12">
        <v>45495</v>
      </c>
      <c r="AC1041" s="12">
        <v>47321</v>
      </c>
      <c r="AD1041" s="14" t="s">
        <v>2417</v>
      </c>
      <c r="AE1041" s="42"/>
      <c r="AF1041" s="42"/>
    </row>
    <row r="1042" spans="1:32" ht="23.85" customHeight="1" x14ac:dyDescent="0.25">
      <c r="A1042" s="44">
        <v>345</v>
      </c>
      <c r="B1042" s="42" t="s">
        <v>1660</v>
      </c>
      <c r="C1042" s="42" t="s">
        <v>2412</v>
      </c>
      <c r="D1042" s="42">
        <v>70863</v>
      </c>
      <c r="E1042" s="42" t="s">
        <v>2429</v>
      </c>
      <c r="F1042" s="42" t="s">
        <v>405</v>
      </c>
      <c r="G1042" s="42" t="s">
        <v>32</v>
      </c>
      <c r="H1042" s="42" t="s">
        <v>1675</v>
      </c>
      <c r="I1042" s="48" t="s">
        <v>2430</v>
      </c>
      <c r="J1042" s="42" t="s">
        <v>71</v>
      </c>
      <c r="K1042" s="42"/>
      <c r="L1042" s="42" t="s">
        <v>1689</v>
      </c>
      <c r="M1042" s="52">
        <v>48795</v>
      </c>
      <c r="N1042" s="53" t="s">
        <v>2431</v>
      </c>
      <c r="O1042" s="11" t="s">
        <v>1261</v>
      </c>
      <c r="P1042" s="11" t="s">
        <v>163</v>
      </c>
      <c r="Q1042" s="11" t="s">
        <v>2432</v>
      </c>
      <c r="R1042" s="11">
        <v>0.5</v>
      </c>
      <c r="S1042" s="11"/>
      <c r="T1042" s="12" t="s">
        <v>2293</v>
      </c>
      <c r="U1042" s="12">
        <v>46358</v>
      </c>
      <c r="V1042" s="4" t="s">
        <v>124</v>
      </c>
      <c r="W1042" s="11" t="s">
        <v>1716</v>
      </c>
      <c r="X1042" s="11" t="s">
        <v>409</v>
      </c>
      <c r="Y1042" s="11" t="s">
        <v>2416</v>
      </c>
      <c r="Z1042" s="11">
        <v>0.5</v>
      </c>
      <c r="AA1042" s="11"/>
      <c r="AB1042" s="12">
        <v>45495</v>
      </c>
      <c r="AC1042" s="12">
        <v>47321</v>
      </c>
      <c r="AD1042" s="14" t="s">
        <v>2417</v>
      </c>
      <c r="AE1042" s="42"/>
      <c r="AF1042" s="43" t="s">
        <v>2123</v>
      </c>
    </row>
    <row r="1043" spans="1:32" ht="90" x14ac:dyDescent="0.25">
      <c r="A1043" s="44"/>
      <c r="B1043" s="42"/>
      <c r="C1043" s="42"/>
      <c r="D1043" s="42"/>
      <c r="E1043" s="42"/>
      <c r="F1043" s="42"/>
      <c r="G1043" s="42"/>
      <c r="H1043" s="42"/>
      <c r="I1043" s="48"/>
      <c r="J1043" s="42"/>
      <c r="K1043" s="42"/>
      <c r="L1043" s="42"/>
      <c r="M1043" s="42"/>
      <c r="N1043" s="53"/>
      <c r="O1043" s="11" t="s">
        <v>77</v>
      </c>
      <c r="P1043" s="11" t="s">
        <v>77</v>
      </c>
      <c r="Q1043" s="11" t="s">
        <v>77</v>
      </c>
      <c r="R1043" s="11" t="s">
        <v>77</v>
      </c>
      <c r="S1043" s="11"/>
      <c r="T1043" s="12" t="s">
        <v>77</v>
      </c>
      <c r="U1043" s="12" t="s">
        <v>77</v>
      </c>
      <c r="V1043" s="4"/>
      <c r="W1043" s="11" t="s">
        <v>1716</v>
      </c>
      <c r="X1043" s="11" t="s">
        <v>409</v>
      </c>
      <c r="Y1043" s="11" t="s">
        <v>2416</v>
      </c>
      <c r="Z1043" s="11">
        <v>0.5</v>
      </c>
      <c r="AA1043" s="11"/>
      <c r="AB1043" s="12">
        <v>45495</v>
      </c>
      <c r="AC1043" s="12">
        <v>47321</v>
      </c>
      <c r="AD1043" s="14" t="s">
        <v>2417</v>
      </c>
      <c r="AE1043" s="42"/>
      <c r="AF1043" s="42"/>
    </row>
    <row r="1044" spans="1:32" ht="90" x14ac:dyDescent="0.25">
      <c r="A1044" s="44"/>
      <c r="B1044" s="42"/>
      <c r="C1044" s="42"/>
      <c r="D1044" s="42"/>
      <c r="E1044" s="42"/>
      <c r="F1044" s="42"/>
      <c r="G1044" s="42"/>
      <c r="H1044" s="42"/>
      <c r="I1044" s="48"/>
      <c r="J1044" s="42"/>
      <c r="K1044" s="42"/>
      <c r="L1044" s="42"/>
      <c r="M1044" s="42"/>
      <c r="N1044" s="53"/>
      <c r="O1044" s="11" t="s">
        <v>1672</v>
      </c>
      <c r="P1044" s="11" t="s">
        <v>163</v>
      </c>
      <c r="Q1044" s="11" t="s">
        <v>2433</v>
      </c>
      <c r="R1044" s="11">
        <v>0.5</v>
      </c>
      <c r="S1044" s="11"/>
      <c r="T1044" s="12" t="s">
        <v>2293</v>
      </c>
      <c r="U1044" s="12">
        <v>46358</v>
      </c>
      <c r="V1044" s="4" t="s">
        <v>124</v>
      </c>
      <c r="W1044" s="11" t="s">
        <v>1716</v>
      </c>
      <c r="X1044" s="11" t="s">
        <v>409</v>
      </c>
      <c r="Y1044" s="11" t="s">
        <v>2416</v>
      </c>
      <c r="Z1044" s="11">
        <v>0.5</v>
      </c>
      <c r="AA1044" s="11"/>
      <c r="AB1044" s="12">
        <v>45495</v>
      </c>
      <c r="AC1044" s="12">
        <v>47321</v>
      </c>
      <c r="AD1044" s="14" t="s">
        <v>2417</v>
      </c>
      <c r="AE1044" s="42"/>
      <c r="AF1044" s="42"/>
    </row>
    <row r="1045" spans="1:32" ht="23.85" customHeight="1" x14ac:dyDescent="0.25">
      <c r="A1045" s="44">
        <v>346</v>
      </c>
      <c r="B1045" s="42" t="s">
        <v>1660</v>
      </c>
      <c r="C1045" s="42" t="s">
        <v>2412</v>
      </c>
      <c r="D1045" s="42">
        <v>70863</v>
      </c>
      <c r="E1045" s="42" t="s">
        <v>2434</v>
      </c>
      <c r="F1045" s="42" t="s">
        <v>405</v>
      </c>
      <c r="G1045" s="42" t="s">
        <v>32</v>
      </c>
      <c r="H1045" s="42" t="s">
        <v>1675</v>
      </c>
      <c r="I1045" s="48" t="s">
        <v>2435</v>
      </c>
      <c r="J1045" s="42" t="s">
        <v>71</v>
      </c>
      <c r="K1045" s="42"/>
      <c r="L1045" s="42" t="s">
        <v>1689</v>
      </c>
      <c r="M1045" s="52">
        <v>48795</v>
      </c>
      <c r="N1045" s="53" t="s">
        <v>2436</v>
      </c>
      <c r="O1045" s="11" t="s">
        <v>1261</v>
      </c>
      <c r="P1045" s="11" t="s">
        <v>84</v>
      </c>
      <c r="Q1045" s="11" t="s">
        <v>2437</v>
      </c>
      <c r="R1045" s="11">
        <v>0.5</v>
      </c>
      <c r="S1045" s="11"/>
      <c r="T1045" s="12" t="s">
        <v>2438</v>
      </c>
      <c r="U1045" s="12">
        <v>46249</v>
      </c>
      <c r="V1045" s="4" t="s">
        <v>124</v>
      </c>
      <c r="W1045" s="11" t="s">
        <v>1716</v>
      </c>
      <c r="X1045" s="11" t="s">
        <v>409</v>
      </c>
      <c r="Y1045" s="11" t="s">
        <v>2416</v>
      </c>
      <c r="Z1045" s="11">
        <v>0.5</v>
      </c>
      <c r="AA1045" s="11"/>
      <c r="AB1045" s="12">
        <v>45495</v>
      </c>
      <c r="AC1045" s="12">
        <v>47321</v>
      </c>
      <c r="AD1045" s="14" t="s">
        <v>2417</v>
      </c>
      <c r="AE1045" s="42"/>
      <c r="AF1045" s="43" t="s">
        <v>2123</v>
      </c>
    </row>
    <row r="1046" spans="1:32" ht="90" x14ac:dyDescent="0.25">
      <c r="A1046" s="44"/>
      <c r="B1046" s="42"/>
      <c r="C1046" s="42"/>
      <c r="D1046" s="42"/>
      <c r="E1046" s="42"/>
      <c r="F1046" s="42"/>
      <c r="G1046" s="42"/>
      <c r="H1046" s="42"/>
      <c r="I1046" s="48"/>
      <c r="J1046" s="42"/>
      <c r="K1046" s="42"/>
      <c r="L1046" s="42"/>
      <c r="M1046" s="42"/>
      <c r="N1046" s="53"/>
      <c r="O1046" s="11" t="s">
        <v>77</v>
      </c>
      <c r="P1046" s="11" t="s">
        <v>77</v>
      </c>
      <c r="Q1046" s="11" t="s">
        <v>77</v>
      </c>
      <c r="R1046" s="11" t="s">
        <v>77</v>
      </c>
      <c r="S1046" s="11"/>
      <c r="T1046" s="12" t="s">
        <v>77</v>
      </c>
      <c r="U1046" s="12" t="s">
        <v>77</v>
      </c>
      <c r="V1046" s="4"/>
      <c r="W1046" s="11" t="s">
        <v>1716</v>
      </c>
      <c r="X1046" s="11" t="s">
        <v>409</v>
      </c>
      <c r="Y1046" s="11" t="s">
        <v>2416</v>
      </c>
      <c r="Z1046" s="11">
        <v>0.5</v>
      </c>
      <c r="AA1046" s="11"/>
      <c r="AB1046" s="12">
        <v>45495</v>
      </c>
      <c r="AC1046" s="12">
        <v>47321</v>
      </c>
      <c r="AD1046" s="14" t="s">
        <v>2417</v>
      </c>
      <c r="AE1046" s="42"/>
      <c r="AF1046" s="42"/>
    </row>
    <row r="1047" spans="1:32" ht="90" x14ac:dyDescent="0.25">
      <c r="A1047" s="44"/>
      <c r="B1047" s="42"/>
      <c r="C1047" s="42"/>
      <c r="D1047" s="42"/>
      <c r="E1047" s="42"/>
      <c r="F1047" s="42"/>
      <c r="G1047" s="42"/>
      <c r="H1047" s="42"/>
      <c r="I1047" s="48"/>
      <c r="J1047" s="42"/>
      <c r="K1047" s="42"/>
      <c r="L1047" s="42"/>
      <c r="M1047" s="42"/>
      <c r="N1047" s="53"/>
      <c r="O1047" s="11" t="s">
        <v>1672</v>
      </c>
      <c r="P1047" s="11" t="s">
        <v>84</v>
      </c>
      <c r="Q1047" s="11" t="s">
        <v>2439</v>
      </c>
      <c r="R1047" s="11">
        <v>0.5</v>
      </c>
      <c r="S1047" s="11"/>
      <c r="T1047" s="12" t="s">
        <v>2438</v>
      </c>
      <c r="U1047" s="12">
        <v>46249</v>
      </c>
      <c r="V1047" s="4" t="s">
        <v>124</v>
      </c>
      <c r="W1047" s="11" t="s">
        <v>1716</v>
      </c>
      <c r="X1047" s="11" t="s">
        <v>409</v>
      </c>
      <c r="Y1047" s="11" t="s">
        <v>2416</v>
      </c>
      <c r="Z1047" s="11">
        <v>0.5</v>
      </c>
      <c r="AA1047" s="11"/>
      <c r="AB1047" s="12">
        <v>45495</v>
      </c>
      <c r="AC1047" s="12">
        <v>47321</v>
      </c>
      <c r="AD1047" s="14" t="s">
        <v>2417</v>
      </c>
      <c r="AE1047" s="42"/>
      <c r="AF1047" s="42"/>
    </row>
    <row r="1048" spans="1:32" ht="23.85" customHeight="1" x14ac:dyDescent="0.25">
      <c r="A1048" s="44">
        <v>347</v>
      </c>
      <c r="B1048" s="42" t="s">
        <v>1660</v>
      </c>
      <c r="C1048" s="42" t="s">
        <v>2412</v>
      </c>
      <c r="D1048" s="42">
        <v>70863</v>
      </c>
      <c r="E1048" s="42" t="s">
        <v>2440</v>
      </c>
      <c r="F1048" s="42" t="s">
        <v>405</v>
      </c>
      <c r="G1048" s="42" t="s">
        <v>68</v>
      </c>
      <c r="H1048" s="42" t="s">
        <v>1675</v>
      </c>
      <c r="I1048" s="48" t="s">
        <v>2441</v>
      </c>
      <c r="J1048" s="42" t="s">
        <v>71</v>
      </c>
      <c r="K1048" s="42"/>
      <c r="L1048" s="42" t="s">
        <v>2167</v>
      </c>
      <c r="M1048" s="52">
        <v>48758</v>
      </c>
      <c r="N1048" s="53" t="s">
        <v>2442</v>
      </c>
      <c r="O1048" s="11" t="s">
        <v>990</v>
      </c>
      <c r="P1048" s="11" t="s">
        <v>1704</v>
      </c>
      <c r="Q1048" s="11" t="s">
        <v>2443</v>
      </c>
      <c r="R1048" s="11">
        <v>0.5</v>
      </c>
      <c r="S1048" s="11"/>
      <c r="T1048" s="12" t="s">
        <v>820</v>
      </c>
      <c r="U1048" s="12">
        <v>46380</v>
      </c>
      <c r="V1048" s="4" t="s">
        <v>124</v>
      </c>
      <c r="W1048" s="11" t="s">
        <v>77</v>
      </c>
      <c r="X1048" s="11" t="s">
        <v>77</v>
      </c>
      <c r="Y1048" s="11" t="s">
        <v>77</v>
      </c>
      <c r="Z1048" s="11">
        <v>0</v>
      </c>
      <c r="AA1048" s="11"/>
      <c r="AB1048" s="12" t="s">
        <v>77</v>
      </c>
      <c r="AC1048" s="12" t="s">
        <v>77</v>
      </c>
      <c r="AD1048" s="12"/>
      <c r="AE1048" s="42"/>
      <c r="AF1048" s="43" t="s">
        <v>995</v>
      </c>
    </row>
    <row r="1049" spans="1:32" ht="25.5" x14ac:dyDescent="0.25">
      <c r="A1049" s="44"/>
      <c r="B1049" s="42"/>
      <c r="C1049" s="42"/>
      <c r="D1049" s="42"/>
      <c r="E1049" s="42"/>
      <c r="F1049" s="42"/>
      <c r="G1049" s="42"/>
      <c r="H1049" s="42"/>
      <c r="I1049" s="48"/>
      <c r="J1049" s="42"/>
      <c r="K1049" s="42"/>
      <c r="L1049" s="42"/>
      <c r="M1049" s="42"/>
      <c r="N1049" s="53"/>
      <c r="O1049" s="11" t="s">
        <v>990</v>
      </c>
      <c r="P1049" s="11" t="s">
        <v>1704</v>
      </c>
      <c r="Q1049" s="11" t="s">
        <v>2444</v>
      </c>
      <c r="R1049" s="11">
        <v>0.5</v>
      </c>
      <c r="S1049" s="11"/>
      <c r="T1049" s="12" t="s">
        <v>820</v>
      </c>
      <c r="U1049" s="12">
        <v>46380</v>
      </c>
      <c r="V1049" s="4" t="s">
        <v>124</v>
      </c>
      <c r="W1049" s="11" t="s">
        <v>77</v>
      </c>
      <c r="X1049" s="11" t="s">
        <v>77</v>
      </c>
      <c r="Y1049" s="11" t="s">
        <v>77</v>
      </c>
      <c r="Z1049" s="11" t="s">
        <v>77</v>
      </c>
      <c r="AA1049" s="11"/>
      <c r="AB1049" s="12" t="s">
        <v>77</v>
      </c>
      <c r="AC1049" s="12" t="s">
        <v>77</v>
      </c>
      <c r="AD1049" s="12"/>
      <c r="AE1049" s="42"/>
      <c r="AF1049" s="42"/>
    </row>
    <row r="1050" spans="1:32" x14ac:dyDescent="0.25">
      <c r="A1050" s="44"/>
      <c r="B1050" s="42"/>
      <c r="C1050" s="42"/>
      <c r="D1050" s="42"/>
      <c r="E1050" s="42"/>
      <c r="F1050" s="42"/>
      <c r="G1050" s="42"/>
      <c r="H1050" s="42"/>
      <c r="I1050" s="48"/>
      <c r="J1050" s="42"/>
      <c r="K1050" s="42"/>
      <c r="L1050" s="42"/>
      <c r="M1050" s="42"/>
      <c r="N1050" s="53"/>
      <c r="O1050" s="11" t="s">
        <v>997</v>
      </c>
      <c r="P1050" s="11" t="s">
        <v>1704</v>
      </c>
      <c r="Q1050" s="11" t="s">
        <v>2445</v>
      </c>
      <c r="R1050" s="11">
        <v>0.5</v>
      </c>
      <c r="S1050" s="11"/>
      <c r="T1050" s="12" t="s">
        <v>820</v>
      </c>
      <c r="U1050" s="12">
        <v>46380</v>
      </c>
      <c r="V1050" s="4" t="s">
        <v>124</v>
      </c>
      <c r="W1050" s="11" t="s">
        <v>77</v>
      </c>
      <c r="X1050" s="11" t="s">
        <v>77</v>
      </c>
      <c r="Y1050" s="11" t="s">
        <v>77</v>
      </c>
      <c r="Z1050" s="11" t="s">
        <v>77</v>
      </c>
      <c r="AA1050" s="11"/>
      <c r="AB1050" s="12" t="s">
        <v>77</v>
      </c>
      <c r="AC1050" s="12" t="s">
        <v>77</v>
      </c>
      <c r="AD1050" s="12"/>
      <c r="AE1050" s="42"/>
      <c r="AF1050" s="42"/>
    </row>
    <row r="1051" spans="1:32" ht="23.85" customHeight="1" x14ac:dyDescent="0.25">
      <c r="A1051" s="44">
        <v>348</v>
      </c>
      <c r="B1051" s="42" t="s">
        <v>1660</v>
      </c>
      <c r="C1051" s="42" t="s">
        <v>2412</v>
      </c>
      <c r="D1051" s="42">
        <v>70863</v>
      </c>
      <c r="E1051" s="42" t="s">
        <v>2446</v>
      </c>
      <c r="F1051" s="42" t="s">
        <v>405</v>
      </c>
      <c r="G1051" s="42" t="s">
        <v>32</v>
      </c>
      <c r="H1051" s="42" t="s">
        <v>1675</v>
      </c>
      <c r="I1051" s="48" t="s">
        <v>2447</v>
      </c>
      <c r="J1051" s="42" t="s">
        <v>71</v>
      </c>
      <c r="K1051" s="42"/>
      <c r="L1051" s="42" t="s">
        <v>1701</v>
      </c>
      <c r="M1051" s="52">
        <v>48797</v>
      </c>
      <c r="N1051" s="53" t="s">
        <v>2448</v>
      </c>
      <c r="O1051" s="11" t="s">
        <v>1261</v>
      </c>
      <c r="P1051" s="11" t="s">
        <v>433</v>
      </c>
      <c r="Q1051" s="11" t="s">
        <v>2449</v>
      </c>
      <c r="R1051" s="11">
        <v>0.5</v>
      </c>
      <c r="S1051" s="11"/>
      <c r="T1051" s="12" t="s">
        <v>2450</v>
      </c>
      <c r="U1051" s="12">
        <v>46361</v>
      </c>
      <c r="V1051" s="4" t="s">
        <v>124</v>
      </c>
      <c r="W1051" s="11" t="s">
        <v>1716</v>
      </c>
      <c r="X1051" s="11" t="s">
        <v>409</v>
      </c>
      <c r="Y1051" s="11" t="s">
        <v>2451</v>
      </c>
      <c r="Z1051" s="11">
        <v>0.5</v>
      </c>
      <c r="AA1051" s="11"/>
      <c r="AB1051" s="12">
        <v>45495</v>
      </c>
      <c r="AC1051" s="12">
        <v>47321</v>
      </c>
      <c r="AD1051" s="14" t="s">
        <v>2452</v>
      </c>
      <c r="AE1051" s="42"/>
      <c r="AF1051" s="43" t="s">
        <v>2123</v>
      </c>
    </row>
    <row r="1052" spans="1:32" ht="90" x14ac:dyDescent="0.25">
      <c r="A1052" s="44"/>
      <c r="B1052" s="42"/>
      <c r="C1052" s="42"/>
      <c r="D1052" s="42"/>
      <c r="E1052" s="42"/>
      <c r="F1052" s="42"/>
      <c r="G1052" s="42"/>
      <c r="H1052" s="42"/>
      <c r="I1052" s="48"/>
      <c r="J1052" s="42"/>
      <c r="K1052" s="42"/>
      <c r="L1052" s="42"/>
      <c r="M1052" s="42"/>
      <c r="N1052" s="53"/>
      <c r="O1052" s="11" t="s">
        <v>77</v>
      </c>
      <c r="P1052" s="11" t="s">
        <v>77</v>
      </c>
      <c r="Q1052" s="11" t="s">
        <v>77</v>
      </c>
      <c r="R1052" s="11" t="s">
        <v>77</v>
      </c>
      <c r="S1052" s="11"/>
      <c r="T1052" s="12" t="s">
        <v>77</v>
      </c>
      <c r="U1052" s="12" t="s">
        <v>77</v>
      </c>
      <c r="V1052" s="4"/>
      <c r="W1052" s="11" t="s">
        <v>1716</v>
      </c>
      <c r="X1052" s="11" t="s">
        <v>409</v>
      </c>
      <c r="Y1052" s="11" t="s">
        <v>2451</v>
      </c>
      <c r="Z1052" s="11">
        <v>0.5</v>
      </c>
      <c r="AA1052" s="11"/>
      <c r="AB1052" s="12">
        <v>45495</v>
      </c>
      <c r="AC1052" s="12">
        <v>47321</v>
      </c>
      <c r="AD1052" s="14" t="s">
        <v>2452</v>
      </c>
      <c r="AE1052" s="42"/>
      <c r="AF1052" s="42"/>
    </row>
    <row r="1053" spans="1:32" ht="90" x14ac:dyDescent="0.25">
      <c r="A1053" s="44"/>
      <c r="B1053" s="42"/>
      <c r="C1053" s="42"/>
      <c r="D1053" s="42"/>
      <c r="E1053" s="42"/>
      <c r="F1053" s="42"/>
      <c r="G1053" s="42"/>
      <c r="H1053" s="42"/>
      <c r="I1053" s="48"/>
      <c r="J1053" s="42"/>
      <c r="K1053" s="42"/>
      <c r="L1053" s="42"/>
      <c r="M1053" s="42"/>
      <c r="N1053" s="53"/>
      <c r="O1053" s="11" t="s">
        <v>1672</v>
      </c>
      <c r="P1053" s="11" t="s">
        <v>433</v>
      </c>
      <c r="Q1053" s="11" t="s">
        <v>2453</v>
      </c>
      <c r="R1053" s="11">
        <v>0.5</v>
      </c>
      <c r="S1053" s="11"/>
      <c r="T1053" s="12" t="s">
        <v>2450</v>
      </c>
      <c r="U1053" s="12">
        <v>46361</v>
      </c>
      <c r="V1053" s="4" t="s">
        <v>124</v>
      </c>
      <c r="W1053" s="11" t="s">
        <v>1716</v>
      </c>
      <c r="X1053" s="11" t="s">
        <v>409</v>
      </c>
      <c r="Y1053" s="11" t="s">
        <v>2451</v>
      </c>
      <c r="Z1053" s="11">
        <v>0.5</v>
      </c>
      <c r="AA1053" s="11"/>
      <c r="AB1053" s="12">
        <v>45495</v>
      </c>
      <c r="AC1053" s="12">
        <v>47321</v>
      </c>
      <c r="AD1053" s="14" t="s">
        <v>2452</v>
      </c>
      <c r="AE1053" s="42"/>
      <c r="AF1053" s="42"/>
    </row>
    <row r="1054" spans="1:32" ht="23.85" customHeight="1" x14ac:dyDescent="0.25">
      <c r="A1054" s="44">
        <v>349</v>
      </c>
      <c r="B1054" s="42" t="s">
        <v>1660</v>
      </c>
      <c r="C1054" s="42" t="s">
        <v>2412</v>
      </c>
      <c r="D1054" s="42">
        <v>70863</v>
      </c>
      <c r="E1054" s="42" t="s">
        <v>2454</v>
      </c>
      <c r="F1054" s="42" t="s">
        <v>405</v>
      </c>
      <c r="G1054" s="42" t="s">
        <v>68</v>
      </c>
      <c r="H1054" s="42" t="s">
        <v>1675</v>
      </c>
      <c r="I1054" s="48" t="s">
        <v>2455</v>
      </c>
      <c r="J1054" s="42" t="s">
        <v>71</v>
      </c>
      <c r="K1054" s="42"/>
      <c r="L1054" s="42" t="s">
        <v>1689</v>
      </c>
      <c r="M1054" s="52">
        <v>48795</v>
      </c>
      <c r="N1054" s="53" t="s">
        <v>2456</v>
      </c>
      <c r="O1054" s="11" t="s">
        <v>1261</v>
      </c>
      <c r="P1054" s="11" t="s">
        <v>1704</v>
      </c>
      <c r="Q1054" s="11" t="s">
        <v>2457</v>
      </c>
      <c r="R1054" s="11">
        <v>0.5</v>
      </c>
      <c r="S1054" s="11"/>
      <c r="T1054" s="12" t="s">
        <v>2450</v>
      </c>
      <c r="U1054" s="12">
        <v>46361</v>
      </c>
      <c r="V1054" s="4" t="s">
        <v>124</v>
      </c>
      <c r="W1054" s="11" t="s">
        <v>1716</v>
      </c>
      <c r="X1054" s="11" t="s">
        <v>409</v>
      </c>
      <c r="Y1054" s="11" t="s">
        <v>2451</v>
      </c>
      <c r="Z1054" s="11">
        <v>0.5</v>
      </c>
      <c r="AA1054" s="11"/>
      <c r="AB1054" s="12">
        <v>45495</v>
      </c>
      <c r="AC1054" s="12">
        <v>47321</v>
      </c>
      <c r="AD1054" s="14" t="s">
        <v>2452</v>
      </c>
      <c r="AE1054" s="42"/>
      <c r="AF1054" s="43" t="s">
        <v>2123</v>
      </c>
    </row>
    <row r="1055" spans="1:32" ht="90" x14ac:dyDescent="0.25">
      <c r="A1055" s="44"/>
      <c r="B1055" s="42"/>
      <c r="C1055" s="42"/>
      <c r="D1055" s="42"/>
      <c r="E1055" s="42"/>
      <c r="F1055" s="42"/>
      <c r="G1055" s="42"/>
      <c r="H1055" s="42"/>
      <c r="I1055" s="48"/>
      <c r="J1055" s="42"/>
      <c r="K1055" s="42"/>
      <c r="L1055" s="42"/>
      <c r="M1055" s="42"/>
      <c r="N1055" s="53"/>
      <c r="O1055" s="11" t="s">
        <v>77</v>
      </c>
      <c r="P1055" s="11" t="s">
        <v>77</v>
      </c>
      <c r="Q1055" s="11" t="s">
        <v>77</v>
      </c>
      <c r="R1055" s="11" t="s">
        <v>77</v>
      </c>
      <c r="S1055" s="11"/>
      <c r="T1055" s="12" t="s">
        <v>77</v>
      </c>
      <c r="U1055" s="12" t="s">
        <v>77</v>
      </c>
      <c r="V1055" s="4"/>
      <c r="W1055" s="11" t="s">
        <v>1716</v>
      </c>
      <c r="X1055" s="11" t="s">
        <v>409</v>
      </c>
      <c r="Y1055" s="11" t="s">
        <v>2451</v>
      </c>
      <c r="Z1055" s="11">
        <v>0.5</v>
      </c>
      <c r="AA1055" s="11"/>
      <c r="AB1055" s="12">
        <v>45495</v>
      </c>
      <c r="AC1055" s="12">
        <v>47321</v>
      </c>
      <c r="AD1055" s="14" t="s">
        <v>2452</v>
      </c>
      <c r="AE1055" s="42"/>
      <c r="AF1055" s="42"/>
    </row>
    <row r="1056" spans="1:32" ht="90" x14ac:dyDescent="0.25">
      <c r="A1056" s="44"/>
      <c r="B1056" s="42"/>
      <c r="C1056" s="42"/>
      <c r="D1056" s="42"/>
      <c r="E1056" s="42"/>
      <c r="F1056" s="42"/>
      <c r="G1056" s="42"/>
      <c r="H1056" s="42"/>
      <c r="I1056" s="48"/>
      <c r="J1056" s="42"/>
      <c r="K1056" s="42"/>
      <c r="L1056" s="42"/>
      <c r="M1056" s="42"/>
      <c r="N1056" s="53"/>
      <c r="O1056" s="11" t="s">
        <v>1672</v>
      </c>
      <c r="P1056" s="11" t="s">
        <v>1704</v>
      </c>
      <c r="Q1056" s="11" t="s">
        <v>2458</v>
      </c>
      <c r="R1056" s="11">
        <v>0.5</v>
      </c>
      <c r="S1056" s="11"/>
      <c r="T1056" s="12" t="s">
        <v>2450</v>
      </c>
      <c r="U1056" s="12">
        <v>46361</v>
      </c>
      <c r="V1056" s="4" t="s">
        <v>124</v>
      </c>
      <c r="W1056" s="11" t="s">
        <v>1716</v>
      </c>
      <c r="X1056" s="11" t="s">
        <v>409</v>
      </c>
      <c r="Y1056" s="11" t="s">
        <v>2451</v>
      </c>
      <c r="Z1056" s="11">
        <v>0.5</v>
      </c>
      <c r="AA1056" s="11"/>
      <c r="AB1056" s="12">
        <v>45495</v>
      </c>
      <c r="AC1056" s="12">
        <v>47321</v>
      </c>
      <c r="AD1056" s="14" t="s">
        <v>2452</v>
      </c>
      <c r="AE1056" s="42"/>
      <c r="AF1056" s="42"/>
    </row>
    <row r="1057" spans="1:32" ht="23.85" customHeight="1" x14ac:dyDescent="0.25">
      <c r="A1057" s="44">
        <v>350</v>
      </c>
      <c r="B1057" s="42" t="s">
        <v>1660</v>
      </c>
      <c r="C1057" s="42" t="s">
        <v>2412</v>
      </c>
      <c r="D1057" s="42">
        <v>70863</v>
      </c>
      <c r="E1057" s="42" t="s">
        <v>2459</v>
      </c>
      <c r="F1057" s="42" t="s">
        <v>405</v>
      </c>
      <c r="G1057" s="42" t="s">
        <v>68</v>
      </c>
      <c r="H1057" s="42" t="s">
        <v>1675</v>
      </c>
      <c r="I1057" s="48" t="s">
        <v>2460</v>
      </c>
      <c r="J1057" s="42" t="s">
        <v>71</v>
      </c>
      <c r="K1057" s="42"/>
      <c r="L1057" s="42" t="s">
        <v>1689</v>
      </c>
      <c r="M1057" s="52">
        <v>48795</v>
      </c>
      <c r="N1057" s="53" t="s">
        <v>2461</v>
      </c>
      <c r="O1057" s="11" t="s">
        <v>1261</v>
      </c>
      <c r="P1057" s="11" t="s">
        <v>1704</v>
      </c>
      <c r="Q1057" s="11" t="s">
        <v>2462</v>
      </c>
      <c r="R1057" s="11">
        <v>0.5</v>
      </c>
      <c r="S1057" s="11"/>
      <c r="T1057" s="12" t="s">
        <v>2450</v>
      </c>
      <c r="U1057" s="12">
        <v>46361</v>
      </c>
      <c r="V1057" s="4" t="s">
        <v>124</v>
      </c>
      <c r="W1057" s="11" t="s">
        <v>1716</v>
      </c>
      <c r="X1057" s="11" t="s">
        <v>409</v>
      </c>
      <c r="Y1057" s="11" t="s">
        <v>2451</v>
      </c>
      <c r="Z1057" s="11">
        <v>0.5</v>
      </c>
      <c r="AA1057" s="11"/>
      <c r="AB1057" s="12">
        <v>45495</v>
      </c>
      <c r="AC1057" s="12">
        <v>47321</v>
      </c>
      <c r="AD1057" s="14" t="s">
        <v>2452</v>
      </c>
      <c r="AE1057" s="42"/>
      <c r="AF1057" s="43" t="s">
        <v>2123</v>
      </c>
    </row>
    <row r="1058" spans="1:32" ht="90" x14ac:dyDescent="0.25">
      <c r="A1058" s="44"/>
      <c r="B1058" s="42"/>
      <c r="C1058" s="42"/>
      <c r="D1058" s="42"/>
      <c r="E1058" s="42"/>
      <c r="F1058" s="42"/>
      <c r="G1058" s="42"/>
      <c r="H1058" s="42"/>
      <c r="I1058" s="48"/>
      <c r="J1058" s="42"/>
      <c r="K1058" s="42"/>
      <c r="L1058" s="42"/>
      <c r="M1058" s="42"/>
      <c r="N1058" s="53"/>
      <c r="O1058" s="11" t="s">
        <v>77</v>
      </c>
      <c r="P1058" s="11" t="s">
        <v>77</v>
      </c>
      <c r="Q1058" s="11" t="s">
        <v>77</v>
      </c>
      <c r="R1058" s="11" t="s">
        <v>77</v>
      </c>
      <c r="S1058" s="11"/>
      <c r="T1058" s="12" t="s">
        <v>77</v>
      </c>
      <c r="U1058" s="12" t="s">
        <v>77</v>
      </c>
      <c r="V1058" s="4"/>
      <c r="W1058" s="11" t="s">
        <v>1716</v>
      </c>
      <c r="X1058" s="11" t="s">
        <v>409</v>
      </c>
      <c r="Y1058" s="11" t="s">
        <v>2451</v>
      </c>
      <c r="Z1058" s="11">
        <v>0.5</v>
      </c>
      <c r="AA1058" s="11"/>
      <c r="AB1058" s="12">
        <v>45495</v>
      </c>
      <c r="AC1058" s="12">
        <v>47321</v>
      </c>
      <c r="AD1058" s="14" t="s">
        <v>2452</v>
      </c>
      <c r="AE1058" s="42"/>
      <c r="AF1058" s="42"/>
    </row>
    <row r="1059" spans="1:32" ht="90" x14ac:dyDescent="0.25">
      <c r="A1059" s="44"/>
      <c r="B1059" s="42"/>
      <c r="C1059" s="42"/>
      <c r="D1059" s="42"/>
      <c r="E1059" s="42"/>
      <c r="F1059" s="42"/>
      <c r="G1059" s="42"/>
      <c r="H1059" s="42"/>
      <c r="I1059" s="48"/>
      <c r="J1059" s="42"/>
      <c r="K1059" s="42"/>
      <c r="L1059" s="42"/>
      <c r="M1059" s="42"/>
      <c r="N1059" s="53"/>
      <c r="O1059" s="11" t="s">
        <v>1672</v>
      </c>
      <c r="P1059" s="11" t="s">
        <v>1704</v>
      </c>
      <c r="Q1059" s="11" t="s">
        <v>2463</v>
      </c>
      <c r="R1059" s="11">
        <v>0.5</v>
      </c>
      <c r="S1059" s="11"/>
      <c r="T1059" s="12" t="s">
        <v>2450</v>
      </c>
      <c r="U1059" s="12">
        <v>46361</v>
      </c>
      <c r="V1059" s="4" t="s">
        <v>124</v>
      </c>
      <c r="W1059" s="11" t="s">
        <v>1716</v>
      </c>
      <c r="X1059" s="11" t="s">
        <v>409</v>
      </c>
      <c r="Y1059" s="11" t="s">
        <v>2451</v>
      </c>
      <c r="Z1059" s="11">
        <v>0.5</v>
      </c>
      <c r="AA1059" s="11"/>
      <c r="AB1059" s="12">
        <v>45495</v>
      </c>
      <c r="AC1059" s="12">
        <v>47321</v>
      </c>
      <c r="AD1059" s="14" t="s">
        <v>2452</v>
      </c>
      <c r="AE1059" s="42"/>
      <c r="AF1059" s="42"/>
    </row>
    <row r="1060" spans="1:32" ht="23.85" customHeight="1" x14ac:dyDescent="0.25">
      <c r="A1060" s="44">
        <v>351</v>
      </c>
      <c r="B1060" s="42" t="s">
        <v>1660</v>
      </c>
      <c r="C1060" s="42" t="s">
        <v>2412</v>
      </c>
      <c r="D1060" s="42">
        <v>70863</v>
      </c>
      <c r="E1060" s="42" t="s">
        <v>2154</v>
      </c>
      <c r="F1060" s="42" t="s">
        <v>405</v>
      </c>
      <c r="G1060" s="42" t="s">
        <v>32</v>
      </c>
      <c r="H1060" s="42" t="s">
        <v>1675</v>
      </c>
      <c r="I1060" s="48" t="s">
        <v>2464</v>
      </c>
      <c r="J1060" s="42" t="s">
        <v>71</v>
      </c>
      <c r="K1060" s="42"/>
      <c r="L1060" s="42" t="s">
        <v>1689</v>
      </c>
      <c r="M1060" s="52">
        <v>48795</v>
      </c>
      <c r="N1060" s="53" t="s">
        <v>2465</v>
      </c>
      <c r="O1060" s="11" t="s">
        <v>1261</v>
      </c>
      <c r="P1060" s="11" t="s">
        <v>163</v>
      </c>
      <c r="Q1060" s="11" t="s">
        <v>2466</v>
      </c>
      <c r="R1060" s="11">
        <v>0.5</v>
      </c>
      <c r="S1060" s="11"/>
      <c r="T1060" s="12" t="s">
        <v>820</v>
      </c>
      <c r="U1060" s="12">
        <v>46380</v>
      </c>
      <c r="V1060" s="4" t="s">
        <v>124</v>
      </c>
      <c r="W1060" s="11" t="s">
        <v>1716</v>
      </c>
      <c r="X1060" s="11" t="s">
        <v>409</v>
      </c>
      <c r="Y1060" s="11" t="s">
        <v>2451</v>
      </c>
      <c r="Z1060" s="11">
        <v>0.5</v>
      </c>
      <c r="AA1060" s="11"/>
      <c r="AB1060" s="12">
        <v>45495</v>
      </c>
      <c r="AC1060" s="12">
        <v>47321</v>
      </c>
      <c r="AD1060" s="14" t="s">
        <v>2452</v>
      </c>
      <c r="AE1060" s="42"/>
      <c r="AF1060" s="43" t="s">
        <v>2123</v>
      </c>
    </row>
    <row r="1061" spans="1:32" ht="90" x14ac:dyDescent="0.25">
      <c r="A1061" s="44"/>
      <c r="B1061" s="42"/>
      <c r="C1061" s="42"/>
      <c r="D1061" s="42"/>
      <c r="E1061" s="42"/>
      <c r="F1061" s="42"/>
      <c r="G1061" s="42"/>
      <c r="H1061" s="42"/>
      <c r="I1061" s="48"/>
      <c r="J1061" s="42"/>
      <c r="K1061" s="42"/>
      <c r="L1061" s="42"/>
      <c r="M1061" s="42"/>
      <c r="N1061" s="53"/>
      <c r="O1061" s="11" t="s">
        <v>77</v>
      </c>
      <c r="P1061" s="11" t="s">
        <v>77</v>
      </c>
      <c r="Q1061" s="11" t="s">
        <v>77</v>
      </c>
      <c r="R1061" s="11" t="s">
        <v>77</v>
      </c>
      <c r="S1061" s="11"/>
      <c r="T1061" s="12" t="s">
        <v>77</v>
      </c>
      <c r="U1061" s="12" t="s">
        <v>77</v>
      </c>
      <c r="V1061" s="4"/>
      <c r="W1061" s="11" t="s">
        <v>1716</v>
      </c>
      <c r="X1061" s="11" t="s">
        <v>409</v>
      </c>
      <c r="Y1061" s="11" t="s">
        <v>2451</v>
      </c>
      <c r="Z1061" s="11">
        <v>0.5</v>
      </c>
      <c r="AA1061" s="11"/>
      <c r="AB1061" s="12">
        <v>45495</v>
      </c>
      <c r="AC1061" s="12">
        <v>47321</v>
      </c>
      <c r="AD1061" s="14" t="s">
        <v>2452</v>
      </c>
      <c r="AE1061" s="42"/>
      <c r="AF1061" s="42"/>
    </row>
    <row r="1062" spans="1:32" ht="90" x14ac:dyDescent="0.25">
      <c r="A1062" s="44"/>
      <c r="B1062" s="42"/>
      <c r="C1062" s="42"/>
      <c r="D1062" s="42"/>
      <c r="E1062" s="42"/>
      <c r="F1062" s="42"/>
      <c r="G1062" s="42"/>
      <c r="H1062" s="42"/>
      <c r="I1062" s="48"/>
      <c r="J1062" s="42"/>
      <c r="K1062" s="42"/>
      <c r="L1062" s="42"/>
      <c r="M1062" s="42"/>
      <c r="N1062" s="53"/>
      <c r="O1062" s="11" t="s">
        <v>1672</v>
      </c>
      <c r="P1062" s="11" t="s">
        <v>163</v>
      </c>
      <c r="Q1062" s="11" t="s">
        <v>2467</v>
      </c>
      <c r="R1062" s="11">
        <v>0.5</v>
      </c>
      <c r="S1062" s="11"/>
      <c r="T1062" s="12" t="s">
        <v>820</v>
      </c>
      <c r="U1062" s="12">
        <v>46380</v>
      </c>
      <c r="V1062" s="4" t="s">
        <v>124</v>
      </c>
      <c r="W1062" s="11" t="s">
        <v>1716</v>
      </c>
      <c r="X1062" s="11" t="s">
        <v>409</v>
      </c>
      <c r="Y1062" s="11" t="s">
        <v>2451</v>
      </c>
      <c r="Z1062" s="11">
        <v>0.5</v>
      </c>
      <c r="AA1062" s="11"/>
      <c r="AB1062" s="12">
        <v>45495</v>
      </c>
      <c r="AC1062" s="12">
        <v>47321</v>
      </c>
      <c r="AD1062" s="14" t="s">
        <v>2452</v>
      </c>
      <c r="AE1062" s="42"/>
      <c r="AF1062" s="42"/>
    </row>
    <row r="1063" spans="1:32" ht="23.85" customHeight="1" x14ac:dyDescent="0.25">
      <c r="A1063" s="44">
        <v>352</v>
      </c>
      <c r="B1063" s="42" t="s">
        <v>1660</v>
      </c>
      <c r="C1063" s="42" t="s">
        <v>2468</v>
      </c>
      <c r="D1063" s="42">
        <v>284684</v>
      </c>
      <c r="E1063" s="42" t="s">
        <v>2469</v>
      </c>
      <c r="F1063" s="42" t="s">
        <v>405</v>
      </c>
      <c r="G1063" s="42" t="s">
        <v>32</v>
      </c>
      <c r="H1063" s="42" t="s">
        <v>1675</v>
      </c>
      <c r="I1063" s="48" t="s">
        <v>2470</v>
      </c>
      <c r="J1063" s="42" t="s">
        <v>71</v>
      </c>
      <c r="K1063" s="42"/>
      <c r="L1063" s="42" t="s">
        <v>1689</v>
      </c>
      <c r="M1063" s="52">
        <v>48795</v>
      </c>
      <c r="N1063" s="53" t="s">
        <v>2471</v>
      </c>
      <c r="O1063" s="11" t="s">
        <v>1261</v>
      </c>
      <c r="P1063" s="11" t="s">
        <v>116</v>
      </c>
      <c r="Q1063" s="11" t="s">
        <v>2472</v>
      </c>
      <c r="R1063" s="11">
        <v>0.5</v>
      </c>
      <c r="S1063" s="11"/>
      <c r="T1063" s="12">
        <v>44757</v>
      </c>
      <c r="U1063" s="12">
        <v>46218</v>
      </c>
      <c r="V1063" s="13" t="s">
        <v>2473</v>
      </c>
      <c r="W1063" s="11" t="s">
        <v>1716</v>
      </c>
      <c r="X1063" s="11" t="s">
        <v>409</v>
      </c>
      <c r="Y1063" s="11" t="s">
        <v>2474</v>
      </c>
      <c r="Z1063" s="11">
        <v>0.5</v>
      </c>
      <c r="AA1063" s="11"/>
      <c r="AB1063" s="12">
        <v>45495</v>
      </c>
      <c r="AC1063" s="12">
        <v>47321</v>
      </c>
      <c r="AD1063" s="14" t="s">
        <v>2475</v>
      </c>
      <c r="AE1063" s="42"/>
      <c r="AF1063" s="43" t="s">
        <v>2123</v>
      </c>
    </row>
    <row r="1064" spans="1:32" ht="90" x14ac:dyDescent="0.25">
      <c r="A1064" s="44"/>
      <c r="B1064" s="42"/>
      <c r="C1064" s="42"/>
      <c r="D1064" s="42"/>
      <c r="E1064" s="42"/>
      <c r="F1064" s="42"/>
      <c r="G1064" s="42"/>
      <c r="H1064" s="42"/>
      <c r="I1064" s="48"/>
      <c r="J1064" s="42"/>
      <c r="K1064" s="42"/>
      <c r="L1064" s="42"/>
      <c r="M1064" s="42"/>
      <c r="N1064" s="53"/>
      <c r="O1064" s="11" t="s">
        <v>77</v>
      </c>
      <c r="P1064" s="11" t="s">
        <v>77</v>
      </c>
      <c r="Q1064" s="11" t="s">
        <v>77</v>
      </c>
      <c r="R1064" s="11" t="s">
        <v>77</v>
      </c>
      <c r="S1064" s="11"/>
      <c r="T1064" s="12" t="s">
        <v>77</v>
      </c>
      <c r="U1064" s="12" t="s">
        <v>77</v>
      </c>
      <c r="V1064" s="4"/>
      <c r="W1064" s="11" t="s">
        <v>1716</v>
      </c>
      <c r="X1064" s="11" t="s">
        <v>409</v>
      </c>
      <c r="Y1064" s="11" t="s">
        <v>2474</v>
      </c>
      <c r="Z1064" s="11">
        <v>0.5</v>
      </c>
      <c r="AA1064" s="11"/>
      <c r="AB1064" s="12">
        <v>45495</v>
      </c>
      <c r="AC1064" s="12">
        <v>47321</v>
      </c>
      <c r="AD1064" s="14" t="s">
        <v>2475</v>
      </c>
      <c r="AE1064" s="42"/>
      <c r="AF1064" s="42"/>
    </row>
    <row r="1065" spans="1:32" ht="90" x14ac:dyDescent="0.25">
      <c r="A1065" s="44"/>
      <c r="B1065" s="42"/>
      <c r="C1065" s="42"/>
      <c r="D1065" s="42"/>
      <c r="E1065" s="42"/>
      <c r="F1065" s="42"/>
      <c r="G1065" s="42"/>
      <c r="H1065" s="42"/>
      <c r="I1065" s="48"/>
      <c r="J1065" s="42"/>
      <c r="K1065" s="42"/>
      <c r="L1065" s="42"/>
      <c r="M1065" s="42"/>
      <c r="N1065" s="53"/>
      <c r="O1065" s="11" t="s">
        <v>1672</v>
      </c>
      <c r="P1065" s="11" t="s">
        <v>116</v>
      </c>
      <c r="Q1065" s="11">
        <v>3342</v>
      </c>
      <c r="R1065" s="11">
        <v>0.5</v>
      </c>
      <c r="S1065" s="11"/>
      <c r="T1065" s="12">
        <v>44757</v>
      </c>
      <c r="U1065" s="12">
        <v>46218</v>
      </c>
      <c r="V1065" s="13" t="s">
        <v>2476</v>
      </c>
      <c r="W1065" s="11" t="s">
        <v>1716</v>
      </c>
      <c r="X1065" s="11" t="s">
        <v>409</v>
      </c>
      <c r="Y1065" s="11" t="s">
        <v>2474</v>
      </c>
      <c r="Z1065" s="11">
        <v>0.5</v>
      </c>
      <c r="AA1065" s="11"/>
      <c r="AB1065" s="12">
        <v>45495</v>
      </c>
      <c r="AC1065" s="12">
        <v>47321</v>
      </c>
      <c r="AD1065" s="14" t="s">
        <v>2475</v>
      </c>
      <c r="AE1065" s="42"/>
      <c r="AF1065" s="42"/>
    </row>
    <row r="1066" spans="1:32" ht="23.85" customHeight="1" x14ac:dyDescent="0.25">
      <c r="A1066" s="44">
        <v>353</v>
      </c>
      <c r="B1066" s="42" t="s">
        <v>1660</v>
      </c>
      <c r="C1066" s="42" t="s">
        <v>2468</v>
      </c>
      <c r="D1066" s="42">
        <v>284684</v>
      </c>
      <c r="E1066" s="42" t="s">
        <v>2477</v>
      </c>
      <c r="F1066" s="42" t="s">
        <v>405</v>
      </c>
      <c r="G1066" s="42" t="s">
        <v>32</v>
      </c>
      <c r="H1066" s="42" t="s">
        <v>1675</v>
      </c>
      <c r="I1066" s="48" t="s">
        <v>2478</v>
      </c>
      <c r="J1066" s="42" t="s">
        <v>71</v>
      </c>
      <c r="K1066" s="42"/>
      <c r="L1066" s="42" t="s">
        <v>1689</v>
      </c>
      <c r="M1066" s="52">
        <v>48795</v>
      </c>
      <c r="N1066" s="53" t="s">
        <v>2479</v>
      </c>
      <c r="O1066" s="11" t="s">
        <v>1261</v>
      </c>
      <c r="P1066" s="11" t="s">
        <v>433</v>
      </c>
      <c r="Q1066" s="11" t="s">
        <v>2480</v>
      </c>
      <c r="R1066" s="11">
        <v>0.5</v>
      </c>
      <c r="S1066" s="11"/>
      <c r="T1066" s="12">
        <v>44715</v>
      </c>
      <c r="U1066" s="12">
        <v>46176</v>
      </c>
      <c r="V1066" s="13" t="s">
        <v>2481</v>
      </c>
      <c r="W1066" s="11" t="s">
        <v>1716</v>
      </c>
      <c r="X1066" s="11" t="s">
        <v>409</v>
      </c>
      <c r="Y1066" s="11" t="s">
        <v>2474</v>
      </c>
      <c r="Z1066" s="11">
        <v>0.5</v>
      </c>
      <c r="AA1066" s="11"/>
      <c r="AB1066" s="12">
        <v>45495</v>
      </c>
      <c r="AC1066" s="12">
        <v>47321</v>
      </c>
      <c r="AD1066" s="14" t="s">
        <v>2475</v>
      </c>
      <c r="AE1066" s="42"/>
      <c r="AF1066" s="43" t="s">
        <v>2123</v>
      </c>
    </row>
    <row r="1067" spans="1:32" ht="90" x14ac:dyDescent="0.25">
      <c r="A1067" s="44"/>
      <c r="B1067" s="42"/>
      <c r="C1067" s="42"/>
      <c r="D1067" s="42"/>
      <c r="E1067" s="42"/>
      <c r="F1067" s="42"/>
      <c r="G1067" s="42"/>
      <c r="H1067" s="42"/>
      <c r="I1067" s="48"/>
      <c r="J1067" s="42"/>
      <c r="K1067" s="42"/>
      <c r="L1067" s="42"/>
      <c r="M1067" s="42"/>
      <c r="N1067" s="53"/>
      <c r="O1067" s="11" t="s">
        <v>77</v>
      </c>
      <c r="P1067" s="11" t="s">
        <v>77</v>
      </c>
      <c r="Q1067" s="11" t="s">
        <v>77</v>
      </c>
      <c r="R1067" s="11" t="s">
        <v>77</v>
      </c>
      <c r="S1067" s="11"/>
      <c r="T1067" s="12" t="s">
        <v>77</v>
      </c>
      <c r="U1067" s="12" t="s">
        <v>77</v>
      </c>
      <c r="V1067" s="4"/>
      <c r="W1067" s="11" t="s">
        <v>1716</v>
      </c>
      <c r="X1067" s="11" t="s">
        <v>409</v>
      </c>
      <c r="Y1067" s="11" t="s">
        <v>2474</v>
      </c>
      <c r="Z1067" s="11">
        <v>0.5</v>
      </c>
      <c r="AA1067" s="11"/>
      <c r="AB1067" s="12">
        <v>45495</v>
      </c>
      <c r="AC1067" s="12">
        <v>47321</v>
      </c>
      <c r="AD1067" s="14" t="s">
        <v>2475</v>
      </c>
      <c r="AE1067" s="42"/>
      <c r="AF1067" s="42"/>
    </row>
    <row r="1068" spans="1:32" ht="90" x14ac:dyDescent="0.25">
      <c r="A1068" s="44"/>
      <c r="B1068" s="42"/>
      <c r="C1068" s="42"/>
      <c r="D1068" s="42"/>
      <c r="E1068" s="42"/>
      <c r="F1068" s="42"/>
      <c r="G1068" s="42"/>
      <c r="H1068" s="42"/>
      <c r="I1068" s="48"/>
      <c r="J1068" s="42"/>
      <c r="K1068" s="42"/>
      <c r="L1068" s="42"/>
      <c r="M1068" s="42"/>
      <c r="N1068" s="53"/>
      <c r="O1068" s="11" t="s">
        <v>1672</v>
      </c>
      <c r="P1068" s="11" t="s">
        <v>433</v>
      </c>
      <c r="Q1068" s="11">
        <v>111</v>
      </c>
      <c r="R1068" s="11">
        <v>0.5</v>
      </c>
      <c r="S1068" s="11"/>
      <c r="T1068" s="12">
        <v>44715</v>
      </c>
      <c r="U1068" s="12">
        <v>46176</v>
      </c>
      <c r="V1068" s="13" t="s">
        <v>2482</v>
      </c>
      <c r="W1068" s="11" t="s">
        <v>1716</v>
      </c>
      <c r="X1068" s="11" t="s">
        <v>409</v>
      </c>
      <c r="Y1068" s="11" t="s">
        <v>2474</v>
      </c>
      <c r="Z1068" s="11">
        <v>0.5</v>
      </c>
      <c r="AA1068" s="11"/>
      <c r="AB1068" s="12">
        <v>45495</v>
      </c>
      <c r="AC1068" s="12">
        <v>47321</v>
      </c>
      <c r="AD1068" s="14" t="s">
        <v>2475</v>
      </c>
      <c r="AE1068" s="42"/>
      <c r="AF1068" s="42"/>
    </row>
    <row r="1069" spans="1:32" ht="23.85" customHeight="1" x14ac:dyDescent="0.25">
      <c r="A1069" s="44">
        <v>354</v>
      </c>
      <c r="B1069" s="42" t="s">
        <v>1660</v>
      </c>
      <c r="C1069" s="42" t="s">
        <v>2468</v>
      </c>
      <c r="D1069" s="42">
        <v>284684</v>
      </c>
      <c r="E1069" s="42" t="s">
        <v>2483</v>
      </c>
      <c r="F1069" s="42" t="s">
        <v>405</v>
      </c>
      <c r="G1069" s="42" t="s">
        <v>32</v>
      </c>
      <c r="H1069" s="42" t="s">
        <v>1675</v>
      </c>
      <c r="I1069" s="48" t="s">
        <v>2484</v>
      </c>
      <c r="J1069" s="42" t="s">
        <v>71</v>
      </c>
      <c r="K1069" s="42"/>
      <c r="L1069" s="42" t="s">
        <v>1665</v>
      </c>
      <c r="M1069" s="52">
        <v>48796</v>
      </c>
      <c r="N1069" s="53" t="s">
        <v>2485</v>
      </c>
      <c r="O1069" s="11" t="s">
        <v>1261</v>
      </c>
      <c r="P1069" s="11" t="s">
        <v>93</v>
      </c>
      <c r="Q1069" s="11" t="s">
        <v>2486</v>
      </c>
      <c r="R1069" s="11">
        <v>0.5</v>
      </c>
      <c r="S1069" s="11"/>
      <c r="T1069" s="12">
        <v>44715</v>
      </c>
      <c r="U1069" s="12">
        <v>46176</v>
      </c>
      <c r="V1069" s="13" t="s">
        <v>2487</v>
      </c>
      <c r="W1069" s="11" t="s">
        <v>1716</v>
      </c>
      <c r="X1069" s="11" t="s">
        <v>409</v>
      </c>
      <c r="Y1069" s="11" t="s">
        <v>2474</v>
      </c>
      <c r="Z1069" s="11">
        <v>0.5</v>
      </c>
      <c r="AA1069" s="11"/>
      <c r="AB1069" s="12">
        <v>45495</v>
      </c>
      <c r="AC1069" s="12">
        <v>47321</v>
      </c>
      <c r="AD1069" s="14" t="s">
        <v>2475</v>
      </c>
      <c r="AE1069" s="42"/>
      <c r="AF1069" s="43" t="s">
        <v>2123</v>
      </c>
    </row>
    <row r="1070" spans="1:32" ht="90" x14ac:dyDescent="0.25">
      <c r="A1070" s="44"/>
      <c r="B1070" s="42"/>
      <c r="C1070" s="42"/>
      <c r="D1070" s="42"/>
      <c r="E1070" s="42"/>
      <c r="F1070" s="42"/>
      <c r="G1070" s="42"/>
      <c r="H1070" s="42"/>
      <c r="I1070" s="48"/>
      <c r="J1070" s="42"/>
      <c r="K1070" s="42"/>
      <c r="L1070" s="42"/>
      <c r="M1070" s="42"/>
      <c r="N1070" s="53"/>
      <c r="O1070" s="11" t="s">
        <v>77</v>
      </c>
      <c r="P1070" s="11" t="s">
        <v>77</v>
      </c>
      <c r="Q1070" s="11" t="s">
        <v>77</v>
      </c>
      <c r="R1070" s="11" t="s">
        <v>77</v>
      </c>
      <c r="S1070" s="11"/>
      <c r="T1070" s="12" t="s">
        <v>77</v>
      </c>
      <c r="U1070" s="12" t="s">
        <v>77</v>
      </c>
      <c r="V1070" s="4"/>
      <c r="W1070" s="11" t="s">
        <v>1716</v>
      </c>
      <c r="X1070" s="11" t="s">
        <v>409</v>
      </c>
      <c r="Y1070" s="11" t="s">
        <v>2474</v>
      </c>
      <c r="Z1070" s="11">
        <v>0.5</v>
      </c>
      <c r="AA1070" s="11"/>
      <c r="AB1070" s="12">
        <v>45495</v>
      </c>
      <c r="AC1070" s="12">
        <v>47321</v>
      </c>
      <c r="AD1070" s="14" t="s">
        <v>2475</v>
      </c>
      <c r="AE1070" s="42"/>
      <c r="AF1070" s="42"/>
    </row>
    <row r="1071" spans="1:32" ht="90" x14ac:dyDescent="0.25">
      <c r="A1071" s="44"/>
      <c r="B1071" s="42"/>
      <c r="C1071" s="42"/>
      <c r="D1071" s="42"/>
      <c r="E1071" s="42"/>
      <c r="F1071" s="42"/>
      <c r="G1071" s="42"/>
      <c r="H1071" s="42"/>
      <c r="I1071" s="48"/>
      <c r="J1071" s="42"/>
      <c r="K1071" s="42"/>
      <c r="L1071" s="42"/>
      <c r="M1071" s="42"/>
      <c r="N1071" s="53"/>
      <c r="O1071" s="11" t="s">
        <v>1672</v>
      </c>
      <c r="P1071" s="11" t="s">
        <v>93</v>
      </c>
      <c r="Q1071" s="11">
        <v>20940</v>
      </c>
      <c r="R1071" s="11">
        <v>0.5</v>
      </c>
      <c r="S1071" s="11"/>
      <c r="T1071" s="12">
        <v>44715</v>
      </c>
      <c r="U1071" s="12">
        <v>46176</v>
      </c>
      <c r="V1071" s="13" t="s">
        <v>2488</v>
      </c>
      <c r="W1071" s="11" t="s">
        <v>1716</v>
      </c>
      <c r="X1071" s="11" t="s">
        <v>409</v>
      </c>
      <c r="Y1071" s="11" t="s">
        <v>2474</v>
      </c>
      <c r="Z1071" s="11">
        <v>0.5</v>
      </c>
      <c r="AA1071" s="11"/>
      <c r="AB1071" s="12">
        <v>45495</v>
      </c>
      <c r="AC1071" s="12">
        <v>47321</v>
      </c>
      <c r="AD1071" s="14" t="s">
        <v>2475</v>
      </c>
      <c r="AE1071" s="42"/>
      <c r="AF1071" s="42"/>
    </row>
    <row r="1072" spans="1:32" ht="23.85" customHeight="1" x14ac:dyDescent="0.25">
      <c r="A1072" s="44">
        <v>355</v>
      </c>
      <c r="B1072" s="42" t="s">
        <v>1660</v>
      </c>
      <c r="C1072" s="42" t="s">
        <v>2468</v>
      </c>
      <c r="D1072" s="42">
        <v>284684</v>
      </c>
      <c r="E1072" s="42" t="s">
        <v>2489</v>
      </c>
      <c r="F1072" s="42" t="s">
        <v>405</v>
      </c>
      <c r="G1072" s="42" t="s">
        <v>68</v>
      </c>
      <c r="H1072" s="42" t="s">
        <v>1675</v>
      </c>
      <c r="I1072" s="48" t="s">
        <v>2490</v>
      </c>
      <c r="J1072" s="42" t="s">
        <v>71</v>
      </c>
      <c r="K1072" s="42"/>
      <c r="L1072" s="42" t="s">
        <v>2491</v>
      </c>
      <c r="M1072" s="52">
        <v>48776</v>
      </c>
      <c r="N1072" s="53" t="s">
        <v>2492</v>
      </c>
      <c r="O1072" s="11" t="s">
        <v>1261</v>
      </c>
      <c r="P1072" s="11" t="s">
        <v>116</v>
      </c>
      <c r="Q1072" s="11" t="s">
        <v>2493</v>
      </c>
      <c r="R1072" s="11">
        <v>0.5</v>
      </c>
      <c r="S1072" s="11"/>
      <c r="T1072" s="12">
        <v>44757</v>
      </c>
      <c r="U1072" s="12">
        <v>46218</v>
      </c>
      <c r="V1072" s="13" t="s">
        <v>2494</v>
      </c>
      <c r="W1072" s="11" t="s">
        <v>1716</v>
      </c>
      <c r="X1072" s="11" t="s">
        <v>409</v>
      </c>
      <c r="Y1072" s="11" t="s">
        <v>2474</v>
      </c>
      <c r="Z1072" s="11">
        <v>0.5</v>
      </c>
      <c r="AA1072" s="11"/>
      <c r="AB1072" s="12">
        <v>45495</v>
      </c>
      <c r="AC1072" s="12">
        <v>47321</v>
      </c>
      <c r="AD1072" s="14" t="s">
        <v>2475</v>
      </c>
      <c r="AE1072" s="42"/>
      <c r="AF1072" s="43" t="s">
        <v>2123</v>
      </c>
    </row>
    <row r="1073" spans="1:32" ht="90" x14ac:dyDescent="0.25">
      <c r="A1073" s="44"/>
      <c r="B1073" s="42"/>
      <c r="C1073" s="42"/>
      <c r="D1073" s="42"/>
      <c r="E1073" s="42"/>
      <c r="F1073" s="42"/>
      <c r="G1073" s="42"/>
      <c r="H1073" s="42"/>
      <c r="I1073" s="48"/>
      <c r="J1073" s="42"/>
      <c r="K1073" s="42"/>
      <c r="L1073" s="42"/>
      <c r="M1073" s="42"/>
      <c r="N1073" s="53"/>
      <c r="O1073" s="11" t="s">
        <v>77</v>
      </c>
      <c r="P1073" s="11" t="s">
        <v>77</v>
      </c>
      <c r="Q1073" s="11" t="s">
        <v>77</v>
      </c>
      <c r="R1073" s="11" t="s">
        <v>77</v>
      </c>
      <c r="S1073" s="11"/>
      <c r="T1073" s="12" t="s">
        <v>77</v>
      </c>
      <c r="U1073" s="12" t="s">
        <v>77</v>
      </c>
      <c r="V1073" s="4"/>
      <c r="W1073" s="11" t="s">
        <v>1716</v>
      </c>
      <c r="X1073" s="11" t="s">
        <v>409</v>
      </c>
      <c r="Y1073" s="11" t="s">
        <v>2474</v>
      </c>
      <c r="Z1073" s="11">
        <v>0.5</v>
      </c>
      <c r="AA1073" s="11"/>
      <c r="AB1073" s="12">
        <v>45495</v>
      </c>
      <c r="AC1073" s="12">
        <v>47321</v>
      </c>
      <c r="AD1073" s="14" t="s">
        <v>2475</v>
      </c>
      <c r="AE1073" s="42"/>
      <c r="AF1073" s="42"/>
    </row>
    <row r="1074" spans="1:32" ht="90" x14ac:dyDescent="0.25">
      <c r="A1074" s="44"/>
      <c r="B1074" s="42"/>
      <c r="C1074" s="42"/>
      <c r="D1074" s="42"/>
      <c r="E1074" s="42"/>
      <c r="F1074" s="42"/>
      <c r="G1074" s="42"/>
      <c r="H1074" s="42"/>
      <c r="I1074" s="48"/>
      <c r="J1074" s="42"/>
      <c r="K1074" s="42"/>
      <c r="L1074" s="42"/>
      <c r="M1074" s="42"/>
      <c r="N1074" s="53"/>
      <c r="O1074" s="11" t="s">
        <v>1672</v>
      </c>
      <c r="P1074" s="11" t="s">
        <v>116</v>
      </c>
      <c r="Q1074" s="11">
        <v>8620</v>
      </c>
      <c r="R1074" s="11">
        <v>0.5</v>
      </c>
      <c r="S1074" s="11"/>
      <c r="T1074" s="12">
        <v>44757</v>
      </c>
      <c r="U1074" s="12">
        <v>46218</v>
      </c>
      <c r="V1074" s="13" t="s">
        <v>2495</v>
      </c>
      <c r="W1074" s="11" t="s">
        <v>1716</v>
      </c>
      <c r="X1074" s="11" t="s">
        <v>409</v>
      </c>
      <c r="Y1074" s="11" t="s">
        <v>2474</v>
      </c>
      <c r="Z1074" s="11">
        <v>0.5</v>
      </c>
      <c r="AA1074" s="11"/>
      <c r="AB1074" s="12">
        <v>45495</v>
      </c>
      <c r="AC1074" s="12">
        <v>47321</v>
      </c>
      <c r="AD1074" s="14" t="s">
        <v>2475</v>
      </c>
      <c r="AE1074" s="42"/>
      <c r="AF1074" s="42"/>
    </row>
    <row r="1075" spans="1:32" ht="23.85" customHeight="1" x14ac:dyDescent="0.25">
      <c r="A1075" s="44">
        <v>356</v>
      </c>
      <c r="B1075" s="42" t="s">
        <v>1660</v>
      </c>
      <c r="C1075" s="42" t="s">
        <v>2468</v>
      </c>
      <c r="D1075" s="42">
        <v>284684</v>
      </c>
      <c r="E1075" s="42" t="s">
        <v>2496</v>
      </c>
      <c r="F1075" s="42" t="s">
        <v>405</v>
      </c>
      <c r="G1075" s="42" t="s">
        <v>32</v>
      </c>
      <c r="H1075" s="42" t="s">
        <v>1675</v>
      </c>
      <c r="I1075" s="48" t="s">
        <v>2497</v>
      </c>
      <c r="J1075" s="42" t="s">
        <v>71</v>
      </c>
      <c r="K1075" s="42"/>
      <c r="L1075" s="42" t="s">
        <v>1665</v>
      </c>
      <c r="M1075" s="52">
        <v>48796</v>
      </c>
      <c r="N1075" s="53" t="s">
        <v>2498</v>
      </c>
      <c r="O1075" s="11" t="s">
        <v>1261</v>
      </c>
      <c r="P1075" s="11" t="s">
        <v>84</v>
      </c>
      <c r="Q1075" s="11" t="s">
        <v>2499</v>
      </c>
      <c r="R1075" s="11">
        <v>0.5</v>
      </c>
      <c r="S1075" s="11"/>
      <c r="T1075" s="12">
        <v>44757</v>
      </c>
      <c r="U1075" s="12">
        <v>46218</v>
      </c>
      <c r="V1075" s="13" t="s">
        <v>2500</v>
      </c>
      <c r="W1075" s="11" t="s">
        <v>2501</v>
      </c>
      <c r="X1075" s="11" t="s">
        <v>409</v>
      </c>
      <c r="Y1075" s="11" t="s">
        <v>2502</v>
      </c>
      <c r="Z1075" s="11">
        <v>0.5</v>
      </c>
      <c r="AA1075" s="11"/>
      <c r="AB1075" s="12">
        <v>45495</v>
      </c>
      <c r="AC1075" s="12">
        <v>46956</v>
      </c>
      <c r="AD1075" s="14" t="s">
        <v>2503</v>
      </c>
      <c r="AE1075" s="42"/>
      <c r="AF1075" s="43" t="s">
        <v>2123</v>
      </c>
    </row>
    <row r="1076" spans="1:32" ht="90" x14ac:dyDescent="0.25">
      <c r="A1076" s="44"/>
      <c r="B1076" s="42"/>
      <c r="C1076" s="42"/>
      <c r="D1076" s="42"/>
      <c r="E1076" s="42"/>
      <c r="F1076" s="42"/>
      <c r="G1076" s="42"/>
      <c r="H1076" s="42"/>
      <c r="I1076" s="48"/>
      <c r="J1076" s="42"/>
      <c r="K1076" s="42"/>
      <c r="L1076" s="42"/>
      <c r="M1076" s="42"/>
      <c r="N1076" s="53"/>
      <c r="O1076" s="11" t="s">
        <v>77</v>
      </c>
      <c r="P1076" s="11" t="s">
        <v>77</v>
      </c>
      <c r="Q1076" s="11" t="s">
        <v>77</v>
      </c>
      <c r="R1076" s="11" t="s">
        <v>77</v>
      </c>
      <c r="S1076" s="11"/>
      <c r="T1076" s="12" t="s">
        <v>77</v>
      </c>
      <c r="U1076" s="12" t="s">
        <v>77</v>
      </c>
      <c r="V1076" s="4"/>
      <c r="W1076" s="11" t="s">
        <v>2501</v>
      </c>
      <c r="X1076" s="11" t="s">
        <v>409</v>
      </c>
      <c r="Y1076" s="11" t="s">
        <v>2502</v>
      </c>
      <c r="Z1076" s="11">
        <v>0.5</v>
      </c>
      <c r="AA1076" s="11"/>
      <c r="AB1076" s="12">
        <v>45495</v>
      </c>
      <c r="AC1076" s="12">
        <v>46956</v>
      </c>
      <c r="AD1076" s="14" t="s">
        <v>2503</v>
      </c>
      <c r="AE1076" s="42"/>
      <c r="AF1076" s="42"/>
    </row>
    <row r="1077" spans="1:32" ht="90" x14ac:dyDescent="0.25">
      <c r="A1077" s="44"/>
      <c r="B1077" s="42"/>
      <c r="C1077" s="42"/>
      <c r="D1077" s="42"/>
      <c r="E1077" s="42"/>
      <c r="F1077" s="42"/>
      <c r="G1077" s="42"/>
      <c r="H1077" s="42"/>
      <c r="I1077" s="48"/>
      <c r="J1077" s="42"/>
      <c r="K1077" s="42"/>
      <c r="L1077" s="42"/>
      <c r="M1077" s="42"/>
      <c r="N1077" s="53"/>
      <c r="O1077" s="11" t="s">
        <v>1672</v>
      </c>
      <c r="P1077" s="11" t="s">
        <v>84</v>
      </c>
      <c r="Q1077" s="11">
        <v>1074</v>
      </c>
      <c r="R1077" s="11">
        <v>0.5</v>
      </c>
      <c r="S1077" s="11"/>
      <c r="T1077" s="12">
        <v>44757</v>
      </c>
      <c r="U1077" s="12">
        <v>46218</v>
      </c>
      <c r="V1077" s="13" t="s">
        <v>2504</v>
      </c>
      <c r="W1077" s="11" t="s">
        <v>2501</v>
      </c>
      <c r="X1077" s="11" t="s">
        <v>409</v>
      </c>
      <c r="Y1077" s="11" t="s">
        <v>2502</v>
      </c>
      <c r="Z1077" s="11">
        <v>0.5</v>
      </c>
      <c r="AA1077" s="11"/>
      <c r="AB1077" s="12">
        <v>45495</v>
      </c>
      <c r="AC1077" s="12">
        <v>46956</v>
      </c>
      <c r="AD1077" s="14" t="s">
        <v>2503</v>
      </c>
      <c r="AE1077" s="42"/>
      <c r="AF1077" s="42"/>
    </row>
    <row r="1078" spans="1:32" ht="23.85" customHeight="1" x14ac:dyDescent="0.25">
      <c r="A1078" s="44">
        <v>357</v>
      </c>
      <c r="B1078" s="42" t="s">
        <v>1660</v>
      </c>
      <c r="C1078" s="42" t="s">
        <v>2468</v>
      </c>
      <c r="D1078" s="42">
        <v>284684</v>
      </c>
      <c r="E1078" s="42" t="s">
        <v>2505</v>
      </c>
      <c r="F1078" s="42" t="s">
        <v>405</v>
      </c>
      <c r="G1078" s="42" t="s">
        <v>32</v>
      </c>
      <c r="H1078" s="42" t="s">
        <v>1675</v>
      </c>
      <c r="I1078" s="48" t="s">
        <v>2506</v>
      </c>
      <c r="J1078" s="42" t="s">
        <v>71</v>
      </c>
      <c r="K1078" s="42"/>
      <c r="L1078" s="42" t="s">
        <v>1701</v>
      </c>
      <c r="M1078" s="52">
        <v>48797</v>
      </c>
      <c r="N1078" s="53" t="s">
        <v>2507</v>
      </c>
      <c r="O1078" s="11" t="s">
        <v>1261</v>
      </c>
      <c r="P1078" s="11" t="s">
        <v>116</v>
      </c>
      <c r="Q1078" s="11" t="s">
        <v>2508</v>
      </c>
      <c r="R1078" s="11">
        <v>0.5</v>
      </c>
      <c r="S1078" s="11"/>
      <c r="T1078" s="12">
        <v>44715</v>
      </c>
      <c r="U1078" s="12">
        <v>46176</v>
      </c>
      <c r="V1078" s="13" t="s">
        <v>2509</v>
      </c>
      <c r="W1078" s="11" t="s">
        <v>2501</v>
      </c>
      <c r="X1078" s="11" t="s">
        <v>409</v>
      </c>
      <c r="Y1078" s="11" t="s">
        <v>2502</v>
      </c>
      <c r="Z1078" s="11">
        <v>0.5</v>
      </c>
      <c r="AA1078" s="11"/>
      <c r="AB1078" s="12">
        <v>45495</v>
      </c>
      <c r="AC1078" s="12">
        <v>46956</v>
      </c>
      <c r="AD1078" s="14" t="s">
        <v>2503</v>
      </c>
      <c r="AE1078" s="42"/>
      <c r="AF1078" s="43" t="s">
        <v>2123</v>
      </c>
    </row>
    <row r="1079" spans="1:32" ht="90" x14ac:dyDescent="0.25">
      <c r="A1079" s="44"/>
      <c r="B1079" s="42"/>
      <c r="C1079" s="42"/>
      <c r="D1079" s="42"/>
      <c r="E1079" s="42"/>
      <c r="F1079" s="42"/>
      <c r="G1079" s="42"/>
      <c r="H1079" s="42"/>
      <c r="I1079" s="48"/>
      <c r="J1079" s="42"/>
      <c r="K1079" s="42"/>
      <c r="L1079" s="42"/>
      <c r="M1079" s="42"/>
      <c r="N1079" s="53"/>
      <c r="O1079" s="11" t="s">
        <v>77</v>
      </c>
      <c r="P1079" s="11" t="s">
        <v>77</v>
      </c>
      <c r="Q1079" s="11" t="s">
        <v>77</v>
      </c>
      <c r="R1079" s="11" t="s">
        <v>77</v>
      </c>
      <c r="S1079" s="11"/>
      <c r="T1079" s="12" t="s">
        <v>77</v>
      </c>
      <c r="U1079" s="12" t="s">
        <v>77</v>
      </c>
      <c r="V1079" s="4"/>
      <c r="W1079" s="11" t="s">
        <v>2501</v>
      </c>
      <c r="X1079" s="11" t="s">
        <v>409</v>
      </c>
      <c r="Y1079" s="11" t="s">
        <v>2502</v>
      </c>
      <c r="Z1079" s="11">
        <v>0.5</v>
      </c>
      <c r="AA1079" s="11"/>
      <c r="AB1079" s="12">
        <v>45495</v>
      </c>
      <c r="AC1079" s="12">
        <v>46956</v>
      </c>
      <c r="AD1079" s="14" t="s">
        <v>2503</v>
      </c>
      <c r="AE1079" s="42"/>
      <c r="AF1079" s="42"/>
    </row>
    <row r="1080" spans="1:32" ht="90" x14ac:dyDescent="0.25">
      <c r="A1080" s="44"/>
      <c r="B1080" s="42"/>
      <c r="C1080" s="42"/>
      <c r="D1080" s="42"/>
      <c r="E1080" s="42"/>
      <c r="F1080" s="42"/>
      <c r="G1080" s="42"/>
      <c r="H1080" s="42"/>
      <c r="I1080" s="48"/>
      <c r="J1080" s="42"/>
      <c r="K1080" s="42"/>
      <c r="L1080" s="42"/>
      <c r="M1080" s="42"/>
      <c r="N1080" s="53"/>
      <c r="O1080" s="11" t="s">
        <v>1672</v>
      </c>
      <c r="P1080" s="11" t="s">
        <v>116</v>
      </c>
      <c r="Q1080" s="11">
        <v>2248</v>
      </c>
      <c r="R1080" s="11">
        <v>0.5</v>
      </c>
      <c r="S1080" s="11"/>
      <c r="T1080" s="12">
        <v>44715</v>
      </c>
      <c r="U1080" s="12">
        <v>46176</v>
      </c>
      <c r="V1080" s="13" t="s">
        <v>2510</v>
      </c>
      <c r="W1080" s="11" t="s">
        <v>2501</v>
      </c>
      <c r="X1080" s="11" t="s">
        <v>409</v>
      </c>
      <c r="Y1080" s="11" t="s">
        <v>2502</v>
      </c>
      <c r="Z1080" s="11">
        <v>0.5</v>
      </c>
      <c r="AA1080" s="11"/>
      <c r="AB1080" s="12">
        <v>45495</v>
      </c>
      <c r="AC1080" s="12">
        <v>46956</v>
      </c>
      <c r="AD1080" s="14" t="s">
        <v>2503</v>
      </c>
      <c r="AE1080" s="42"/>
      <c r="AF1080" s="42"/>
    </row>
    <row r="1081" spans="1:32" ht="23.85" customHeight="1" x14ac:dyDescent="0.25">
      <c r="A1081" s="44">
        <v>358</v>
      </c>
      <c r="B1081" s="42" t="s">
        <v>1660</v>
      </c>
      <c r="C1081" s="42" t="s">
        <v>2468</v>
      </c>
      <c r="D1081" s="42">
        <v>284684</v>
      </c>
      <c r="E1081" s="42" t="s">
        <v>2459</v>
      </c>
      <c r="F1081" s="42" t="s">
        <v>405</v>
      </c>
      <c r="G1081" s="42" t="s">
        <v>68</v>
      </c>
      <c r="H1081" s="42" t="s">
        <v>1675</v>
      </c>
      <c r="I1081" s="48" t="s">
        <v>2511</v>
      </c>
      <c r="J1081" s="42" t="s">
        <v>71</v>
      </c>
      <c r="K1081" s="42"/>
      <c r="L1081" s="42" t="s">
        <v>1701</v>
      </c>
      <c r="M1081" s="52">
        <v>48797</v>
      </c>
      <c r="N1081" s="53" t="s">
        <v>2512</v>
      </c>
      <c r="O1081" s="11" t="s">
        <v>1261</v>
      </c>
      <c r="P1081" s="11" t="s">
        <v>116</v>
      </c>
      <c r="Q1081" s="11" t="s">
        <v>2513</v>
      </c>
      <c r="R1081" s="11">
        <v>0.5</v>
      </c>
      <c r="S1081" s="11"/>
      <c r="T1081" s="12">
        <v>44757</v>
      </c>
      <c r="U1081" s="12">
        <v>46218</v>
      </c>
      <c r="V1081" s="13" t="s">
        <v>2514</v>
      </c>
      <c r="W1081" s="11" t="s">
        <v>2501</v>
      </c>
      <c r="X1081" s="11" t="s">
        <v>409</v>
      </c>
      <c r="Y1081" s="11" t="s">
        <v>2502</v>
      </c>
      <c r="Z1081" s="11">
        <v>0.5</v>
      </c>
      <c r="AA1081" s="11"/>
      <c r="AB1081" s="12">
        <v>45495</v>
      </c>
      <c r="AC1081" s="12">
        <v>46956</v>
      </c>
      <c r="AD1081" s="14" t="s">
        <v>2503</v>
      </c>
      <c r="AE1081" s="42"/>
      <c r="AF1081" s="43" t="s">
        <v>2123</v>
      </c>
    </row>
    <row r="1082" spans="1:32" ht="90" x14ac:dyDescent="0.25">
      <c r="A1082" s="44"/>
      <c r="B1082" s="42"/>
      <c r="C1082" s="42"/>
      <c r="D1082" s="42"/>
      <c r="E1082" s="42"/>
      <c r="F1082" s="42"/>
      <c r="G1082" s="42"/>
      <c r="H1082" s="42"/>
      <c r="I1082" s="48"/>
      <c r="J1082" s="42"/>
      <c r="K1082" s="42"/>
      <c r="L1082" s="42"/>
      <c r="M1082" s="42"/>
      <c r="N1082" s="53"/>
      <c r="O1082" s="11" t="s">
        <v>77</v>
      </c>
      <c r="P1082" s="11" t="s">
        <v>77</v>
      </c>
      <c r="Q1082" s="11" t="s">
        <v>77</v>
      </c>
      <c r="R1082" s="11" t="s">
        <v>77</v>
      </c>
      <c r="S1082" s="11"/>
      <c r="T1082" s="12" t="s">
        <v>77</v>
      </c>
      <c r="U1082" s="12" t="s">
        <v>77</v>
      </c>
      <c r="V1082" s="4"/>
      <c r="W1082" s="11" t="s">
        <v>2501</v>
      </c>
      <c r="X1082" s="11" t="s">
        <v>409</v>
      </c>
      <c r="Y1082" s="11" t="s">
        <v>2502</v>
      </c>
      <c r="Z1082" s="11">
        <v>0.5</v>
      </c>
      <c r="AA1082" s="11"/>
      <c r="AB1082" s="12">
        <v>45495</v>
      </c>
      <c r="AC1082" s="12">
        <v>46956</v>
      </c>
      <c r="AD1082" s="14" t="s">
        <v>2503</v>
      </c>
      <c r="AE1082" s="42"/>
      <c r="AF1082" s="42"/>
    </row>
    <row r="1083" spans="1:32" ht="90" x14ac:dyDescent="0.25">
      <c r="A1083" s="44"/>
      <c r="B1083" s="42"/>
      <c r="C1083" s="42"/>
      <c r="D1083" s="42"/>
      <c r="E1083" s="42"/>
      <c r="F1083" s="42"/>
      <c r="G1083" s="42"/>
      <c r="H1083" s="42"/>
      <c r="I1083" s="48"/>
      <c r="J1083" s="42"/>
      <c r="K1083" s="42"/>
      <c r="L1083" s="42"/>
      <c r="M1083" s="42"/>
      <c r="N1083" s="53"/>
      <c r="O1083" s="11" t="s">
        <v>1672</v>
      </c>
      <c r="P1083" s="11" t="s">
        <v>116</v>
      </c>
      <c r="Q1083" s="11">
        <v>11190</v>
      </c>
      <c r="R1083" s="11">
        <v>0.5</v>
      </c>
      <c r="S1083" s="11"/>
      <c r="T1083" s="12">
        <v>44757</v>
      </c>
      <c r="U1083" s="12">
        <v>46218</v>
      </c>
      <c r="V1083" s="13" t="s">
        <v>2515</v>
      </c>
      <c r="W1083" s="11" t="s">
        <v>2501</v>
      </c>
      <c r="X1083" s="11" t="s">
        <v>409</v>
      </c>
      <c r="Y1083" s="11" t="s">
        <v>2502</v>
      </c>
      <c r="Z1083" s="11">
        <v>0.5</v>
      </c>
      <c r="AA1083" s="11"/>
      <c r="AB1083" s="12">
        <v>45495</v>
      </c>
      <c r="AC1083" s="12">
        <v>46956</v>
      </c>
      <c r="AD1083" s="14" t="s">
        <v>2503</v>
      </c>
      <c r="AE1083" s="42"/>
      <c r="AF1083" s="42"/>
    </row>
    <row r="1084" spans="1:32" ht="23.85" customHeight="1" x14ac:dyDescent="0.25">
      <c r="A1084" s="44">
        <v>359</v>
      </c>
      <c r="B1084" s="42" t="s">
        <v>1660</v>
      </c>
      <c r="C1084" s="42" t="s">
        <v>2468</v>
      </c>
      <c r="D1084" s="42">
        <v>284684</v>
      </c>
      <c r="E1084" s="42" t="s">
        <v>2516</v>
      </c>
      <c r="F1084" s="42" t="s">
        <v>405</v>
      </c>
      <c r="G1084" s="42" t="s">
        <v>32</v>
      </c>
      <c r="H1084" s="42" t="s">
        <v>1675</v>
      </c>
      <c r="I1084" s="48" t="s">
        <v>2517</v>
      </c>
      <c r="J1084" s="42" t="s">
        <v>71</v>
      </c>
      <c r="K1084" s="42"/>
      <c r="L1084" s="42" t="s">
        <v>1689</v>
      </c>
      <c r="M1084" s="52">
        <v>48795</v>
      </c>
      <c r="N1084" s="53" t="s">
        <v>2518</v>
      </c>
      <c r="O1084" s="11" t="s">
        <v>2519</v>
      </c>
      <c r="P1084" s="11" t="s">
        <v>93</v>
      </c>
      <c r="Q1084" s="11" t="s">
        <v>2520</v>
      </c>
      <c r="R1084" s="11">
        <v>0.5</v>
      </c>
      <c r="S1084" s="11"/>
      <c r="T1084" s="12" t="s">
        <v>971</v>
      </c>
      <c r="U1084" s="12">
        <v>46178</v>
      </c>
      <c r="V1084" s="4" t="s">
        <v>124</v>
      </c>
      <c r="W1084" s="11" t="s">
        <v>2501</v>
      </c>
      <c r="X1084" s="11" t="s">
        <v>409</v>
      </c>
      <c r="Y1084" s="11" t="s">
        <v>2502</v>
      </c>
      <c r="Z1084" s="11">
        <v>0.5</v>
      </c>
      <c r="AA1084" s="11"/>
      <c r="AB1084" s="12">
        <v>45495</v>
      </c>
      <c r="AC1084" s="12">
        <v>46956</v>
      </c>
      <c r="AD1084" s="14" t="s">
        <v>2503</v>
      </c>
      <c r="AE1084" s="42"/>
      <c r="AF1084" s="43" t="s">
        <v>2123</v>
      </c>
    </row>
    <row r="1085" spans="1:32" ht="90" x14ac:dyDescent="0.25">
      <c r="A1085" s="44"/>
      <c r="B1085" s="42"/>
      <c r="C1085" s="42"/>
      <c r="D1085" s="42"/>
      <c r="E1085" s="42"/>
      <c r="F1085" s="42"/>
      <c r="G1085" s="42"/>
      <c r="H1085" s="42"/>
      <c r="I1085" s="48"/>
      <c r="J1085" s="42"/>
      <c r="K1085" s="42"/>
      <c r="L1085" s="42"/>
      <c r="M1085" s="42"/>
      <c r="N1085" s="53"/>
      <c r="O1085" s="11" t="s">
        <v>77</v>
      </c>
      <c r="P1085" s="11" t="s">
        <v>77</v>
      </c>
      <c r="Q1085" s="11" t="s">
        <v>77</v>
      </c>
      <c r="R1085" s="11" t="s">
        <v>77</v>
      </c>
      <c r="S1085" s="11"/>
      <c r="T1085" s="12" t="s">
        <v>77</v>
      </c>
      <c r="U1085" s="12" t="s">
        <v>77</v>
      </c>
      <c r="V1085" s="4"/>
      <c r="W1085" s="11" t="s">
        <v>2501</v>
      </c>
      <c r="X1085" s="11" t="s">
        <v>409</v>
      </c>
      <c r="Y1085" s="11" t="s">
        <v>2502</v>
      </c>
      <c r="Z1085" s="11">
        <v>0.5</v>
      </c>
      <c r="AA1085" s="11"/>
      <c r="AB1085" s="12">
        <v>45495</v>
      </c>
      <c r="AC1085" s="12">
        <v>46956</v>
      </c>
      <c r="AD1085" s="14" t="s">
        <v>2503</v>
      </c>
      <c r="AE1085" s="42"/>
      <c r="AF1085" s="42"/>
    </row>
    <row r="1086" spans="1:32" ht="90" x14ac:dyDescent="0.25">
      <c r="A1086" s="44"/>
      <c r="B1086" s="42"/>
      <c r="C1086" s="42"/>
      <c r="D1086" s="42"/>
      <c r="E1086" s="42"/>
      <c r="F1086" s="42"/>
      <c r="G1086" s="42"/>
      <c r="H1086" s="42"/>
      <c r="I1086" s="48"/>
      <c r="J1086" s="42"/>
      <c r="K1086" s="42"/>
      <c r="L1086" s="42"/>
      <c r="M1086" s="42"/>
      <c r="N1086" s="53"/>
      <c r="O1086" s="11" t="s">
        <v>2521</v>
      </c>
      <c r="P1086" s="11" t="s">
        <v>93</v>
      </c>
      <c r="Q1086" s="11" t="s">
        <v>2522</v>
      </c>
      <c r="R1086" s="11">
        <v>0.5</v>
      </c>
      <c r="S1086" s="11"/>
      <c r="T1086" s="12" t="s">
        <v>971</v>
      </c>
      <c r="U1086" s="12">
        <v>46178</v>
      </c>
      <c r="V1086" s="4" t="s">
        <v>124</v>
      </c>
      <c r="W1086" s="11" t="s">
        <v>2501</v>
      </c>
      <c r="X1086" s="11" t="s">
        <v>409</v>
      </c>
      <c r="Y1086" s="11" t="s">
        <v>2502</v>
      </c>
      <c r="Z1086" s="11">
        <v>0.5</v>
      </c>
      <c r="AA1086" s="11"/>
      <c r="AB1086" s="12">
        <v>45495</v>
      </c>
      <c r="AC1086" s="12">
        <v>46956</v>
      </c>
      <c r="AD1086" s="14" t="s">
        <v>2503</v>
      </c>
      <c r="AE1086" s="42"/>
      <c r="AF1086" s="42"/>
    </row>
    <row r="1087" spans="1:32" ht="23.85" customHeight="1" x14ac:dyDescent="0.25">
      <c r="A1087" s="44">
        <v>360</v>
      </c>
      <c r="B1087" s="42" t="s">
        <v>1660</v>
      </c>
      <c r="C1087" s="42" t="s">
        <v>2468</v>
      </c>
      <c r="D1087" s="42">
        <v>284684</v>
      </c>
      <c r="E1087" s="42" t="s">
        <v>2523</v>
      </c>
      <c r="F1087" s="42" t="s">
        <v>405</v>
      </c>
      <c r="G1087" s="42" t="s">
        <v>32</v>
      </c>
      <c r="H1087" s="42" t="s">
        <v>1675</v>
      </c>
      <c r="I1087" s="48" t="s">
        <v>2524</v>
      </c>
      <c r="J1087" s="42" t="s">
        <v>71</v>
      </c>
      <c r="K1087" s="42"/>
      <c r="L1087" s="42" t="s">
        <v>1689</v>
      </c>
      <c r="M1087" s="52">
        <v>48795</v>
      </c>
      <c r="N1087" s="53" t="s">
        <v>2525</v>
      </c>
      <c r="O1087" s="11" t="s">
        <v>1261</v>
      </c>
      <c r="P1087" s="11" t="s">
        <v>116</v>
      </c>
      <c r="Q1087" s="11" t="s">
        <v>1920</v>
      </c>
      <c r="R1087" s="11">
        <v>0.5</v>
      </c>
      <c r="S1087" s="11"/>
      <c r="T1087" s="12">
        <v>44757</v>
      </c>
      <c r="U1087" s="12">
        <v>46218</v>
      </c>
      <c r="V1087" s="13" t="s">
        <v>2526</v>
      </c>
      <c r="W1087" s="11" t="s">
        <v>2501</v>
      </c>
      <c r="X1087" s="11" t="s">
        <v>409</v>
      </c>
      <c r="Y1087" s="11" t="s">
        <v>2502</v>
      </c>
      <c r="Z1087" s="11">
        <v>0.5</v>
      </c>
      <c r="AA1087" s="11"/>
      <c r="AB1087" s="12">
        <v>45495</v>
      </c>
      <c r="AC1087" s="12">
        <v>46956</v>
      </c>
      <c r="AD1087" s="14" t="s">
        <v>2503</v>
      </c>
      <c r="AE1087" s="42"/>
      <c r="AF1087" s="43" t="s">
        <v>2123</v>
      </c>
    </row>
    <row r="1088" spans="1:32" ht="90" x14ac:dyDescent="0.25">
      <c r="A1088" s="44"/>
      <c r="B1088" s="42"/>
      <c r="C1088" s="42"/>
      <c r="D1088" s="42"/>
      <c r="E1088" s="42"/>
      <c r="F1088" s="42"/>
      <c r="G1088" s="42"/>
      <c r="H1088" s="42"/>
      <c r="I1088" s="48"/>
      <c r="J1088" s="42"/>
      <c r="K1088" s="42"/>
      <c r="L1088" s="42"/>
      <c r="M1088" s="42"/>
      <c r="N1088" s="53"/>
      <c r="O1088" s="11" t="s">
        <v>77</v>
      </c>
      <c r="P1088" s="11" t="s">
        <v>77</v>
      </c>
      <c r="Q1088" s="11" t="s">
        <v>77</v>
      </c>
      <c r="R1088" s="11" t="s">
        <v>77</v>
      </c>
      <c r="S1088" s="11"/>
      <c r="T1088" s="12" t="s">
        <v>77</v>
      </c>
      <c r="U1088" s="12" t="s">
        <v>77</v>
      </c>
      <c r="V1088" s="4"/>
      <c r="W1088" s="11" t="s">
        <v>2501</v>
      </c>
      <c r="X1088" s="11" t="s">
        <v>409</v>
      </c>
      <c r="Y1088" s="11" t="s">
        <v>2502</v>
      </c>
      <c r="Z1088" s="11">
        <v>0.5</v>
      </c>
      <c r="AA1088" s="11"/>
      <c r="AB1088" s="12">
        <v>45495</v>
      </c>
      <c r="AC1088" s="12">
        <v>46956</v>
      </c>
      <c r="AD1088" s="14" t="s">
        <v>2503</v>
      </c>
      <c r="AE1088" s="42"/>
      <c r="AF1088" s="42"/>
    </row>
    <row r="1089" spans="1:32" ht="90" x14ac:dyDescent="0.25">
      <c r="A1089" s="44"/>
      <c r="B1089" s="42"/>
      <c r="C1089" s="42"/>
      <c r="D1089" s="42"/>
      <c r="E1089" s="42"/>
      <c r="F1089" s="42"/>
      <c r="G1089" s="42"/>
      <c r="H1089" s="42"/>
      <c r="I1089" s="48"/>
      <c r="J1089" s="42"/>
      <c r="K1089" s="42"/>
      <c r="L1089" s="42"/>
      <c r="M1089" s="42"/>
      <c r="N1089" s="53"/>
      <c r="O1089" s="11" t="s">
        <v>1672</v>
      </c>
      <c r="P1089" s="11" t="s">
        <v>116</v>
      </c>
      <c r="Q1089" s="11">
        <v>7868</v>
      </c>
      <c r="R1089" s="11">
        <v>0.5</v>
      </c>
      <c r="S1089" s="11"/>
      <c r="T1089" s="12">
        <v>44757</v>
      </c>
      <c r="U1089" s="12">
        <v>46218</v>
      </c>
      <c r="V1089" s="13" t="s">
        <v>2527</v>
      </c>
      <c r="W1089" s="11" t="s">
        <v>2501</v>
      </c>
      <c r="X1089" s="11" t="s">
        <v>409</v>
      </c>
      <c r="Y1089" s="11" t="s">
        <v>2502</v>
      </c>
      <c r="Z1089" s="11">
        <v>0.5</v>
      </c>
      <c r="AA1089" s="11"/>
      <c r="AB1089" s="12">
        <v>45495</v>
      </c>
      <c r="AC1089" s="12">
        <v>46956</v>
      </c>
      <c r="AD1089" s="14" t="s">
        <v>2503</v>
      </c>
      <c r="AE1089" s="42"/>
      <c r="AF1089" s="42"/>
    </row>
    <row r="1090" spans="1:32" ht="23.85" customHeight="1" x14ac:dyDescent="0.25">
      <c r="A1090" s="44">
        <v>361</v>
      </c>
      <c r="B1090" s="42" t="s">
        <v>1660</v>
      </c>
      <c r="C1090" s="42" t="s">
        <v>2468</v>
      </c>
      <c r="D1090" s="42">
        <v>284684</v>
      </c>
      <c r="E1090" s="42" t="s">
        <v>2528</v>
      </c>
      <c r="F1090" s="42" t="s">
        <v>405</v>
      </c>
      <c r="G1090" s="42" t="s">
        <v>68</v>
      </c>
      <c r="H1090" s="42" t="s">
        <v>1675</v>
      </c>
      <c r="I1090" s="48" t="s">
        <v>2529</v>
      </c>
      <c r="J1090" s="42" t="s">
        <v>71</v>
      </c>
      <c r="K1090" s="42"/>
      <c r="L1090" s="42" t="s">
        <v>1701</v>
      </c>
      <c r="M1090" s="52">
        <v>48797</v>
      </c>
      <c r="N1090" s="53" t="s">
        <v>2530</v>
      </c>
      <c r="O1090" s="11" t="s">
        <v>1261</v>
      </c>
      <c r="P1090" s="11" t="s">
        <v>1704</v>
      </c>
      <c r="Q1090" s="11" t="s">
        <v>2531</v>
      </c>
      <c r="R1090" s="11">
        <v>0.5</v>
      </c>
      <c r="S1090" s="11"/>
      <c r="T1090" s="12">
        <v>44757</v>
      </c>
      <c r="U1090" s="12">
        <v>46218</v>
      </c>
      <c r="V1090" s="13" t="s">
        <v>2532</v>
      </c>
      <c r="W1090" s="11" t="s">
        <v>1716</v>
      </c>
      <c r="X1090" s="11" t="s">
        <v>409</v>
      </c>
      <c r="Y1090" s="11" t="s">
        <v>2474</v>
      </c>
      <c r="Z1090" s="11">
        <v>0.5</v>
      </c>
      <c r="AA1090" s="11"/>
      <c r="AB1090" s="12">
        <v>45495</v>
      </c>
      <c r="AC1090" s="12">
        <v>47321</v>
      </c>
      <c r="AD1090" s="14" t="s">
        <v>2475</v>
      </c>
      <c r="AE1090" s="42"/>
      <c r="AF1090" s="43" t="s">
        <v>2123</v>
      </c>
    </row>
    <row r="1091" spans="1:32" ht="90" x14ac:dyDescent="0.25">
      <c r="A1091" s="44"/>
      <c r="B1091" s="42"/>
      <c r="C1091" s="42"/>
      <c r="D1091" s="42"/>
      <c r="E1091" s="42"/>
      <c r="F1091" s="42"/>
      <c r="G1091" s="42"/>
      <c r="H1091" s="42"/>
      <c r="I1091" s="48"/>
      <c r="J1091" s="42"/>
      <c r="K1091" s="42"/>
      <c r="L1091" s="42"/>
      <c r="M1091" s="42"/>
      <c r="N1091" s="53"/>
      <c r="O1091" s="11" t="s">
        <v>77</v>
      </c>
      <c r="P1091" s="11" t="s">
        <v>77</v>
      </c>
      <c r="Q1091" s="11" t="s">
        <v>77</v>
      </c>
      <c r="R1091" s="11" t="s">
        <v>77</v>
      </c>
      <c r="S1091" s="11"/>
      <c r="T1091" s="12" t="s">
        <v>77</v>
      </c>
      <c r="U1091" s="12" t="s">
        <v>77</v>
      </c>
      <c r="V1091" s="4"/>
      <c r="W1091" s="11" t="s">
        <v>1716</v>
      </c>
      <c r="X1091" s="11" t="s">
        <v>409</v>
      </c>
      <c r="Y1091" s="11" t="s">
        <v>2474</v>
      </c>
      <c r="Z1091" s="11">
        <v>0.5</v>
      </c>
      <c r="AA1091" s="11"/>
      <c r="AB1091" s="12">
        <v>45495</v>
      </c>
      <c r="AC1091" s="12">
        <v>47321</v>
      </c>
      <c r="AD1091" s="14" t="s">
        <v>2475</v>
      </c>
      <c r="AE1091" s="42"/>
      <c r="AF1091" s="42"/>
    </row>
    <row r="1092" spans="1:32" ht="90" x14ac:dyDescent="0.25">
      <c r="A1092" s="44"/>
      <c r="B1092" s="42"/>
      <c r="C1092" s="42"/>
      <c r="D1092" s="42"/>
      <c r="E1092" s="42"/>
      <c r="F1092" s="42"/>
      <c r="G1092" s="42"/>
      <c r="H1092" s="42"/>
      <c r="I1092" s="48"/>
      <c r="J1092" s="42"/>
      <c r="K1092" s="42"/>
      <c r="L1092" s="42"/>
      <c r="M1092" s="42"/>
      <c r="N1092" s="53"/>
      <c r="O1092" s="11" t="s">
        <v>1672</v>
      </c>
      <c r="P1092" s="11" t="s">
        <v>1704</v>
      </c>
      <c r="Q1092" s="11">
        <v>3455</v>
      </c>
      <c r="R1092" s="11">
        <v>0.5</v>
      </c>
      <c r="S1092" s="11"/>
      <c r="T1092" s="12">
        <v>44757</v>
      </c>
      <c r="U1092" s="12">
        <v>46218</v>
      </c>
      <c r="V1092" s="13" t="s">
        <v>2533</v>
      </c>
      <c r="W1092" s="11" t="s">
        <v>1716</v>
      </c>
      <c r="X1092" s="11" t="s">
        <v>409</v>
      </c>
      <c r="Y1092" s="11" t="s">
        <v>2474</v>
      </c>
      <c r="Z1092" s="11">
        <v>0.5</v>
      </c>
      <c r="AA1092" s="11"/>
      <c r="AB1092" s="12">
        <v>45495</v>
      </c>
      <c r="AC1092" s="12">
        <v>47321</v>
      </c>
      <c r="AD1092" s="14" t="s">
        <v>2475</v>
      </c>
      <c r="AE1092" s="42"/>
      <c r="AF1092" s="42"/>
    </row>
    <row r="1093" spans="1:32" ht="23.85" customHeight="1" x14ac:dyDescent="0.25">
      <c r="A1093" s="44">
        <v>362</v>
      </c>
      <c r="B1093" s="42" t="s">
        <v>1660</v>
      </c>
      <c r="C1093" s="42" t="s">
        <v>2468</v>
      </c>
      <c r="D1093" s="42">
        <v>284684</v>
      </c>
      <c r="E1093" s="42" t="s">
        <v>2534</v>
      </c>
      <c r="F1093" s="42" t="s">
        <v>405</v>
      </c>
      <c r="G1093" s="42" t="s">
        <v>68</v>
      </c>
      <c r="H1093" s="42" t="s">
        <v>1675</v>
      </c>
      <c r="I1093" s="48" t="s">
        <v>2535</v>
      </c>
      <c r="J1093" s="42" t="s">
        <v>71</v>
      </c>
      <c r="K1093" s="42"/>
      <c r="L1093" s="42" t="s">
        <v>1665</v>
      </c>
      <c r="M1093" s="52">
        <v>48796</v>
      </c>
      <c r="N1093" s="53" t="s">
        <v>2536</v>
      </c>
      <c r="O1093" s="11" t="s">
        <v>1261</v>
      </c>
      <c r="P1093" s="11" t="s">
        <v>1704</v>
      </c>
      <c r="Q1093" s="11" t="s">
        <v>2537</v>
      </c>
      <c r="R1093" s="11">
        <v>0.5</v>
      </c>
      <c r="S1093" s="11"/>
      <c r="T1093" s="12">
        <v>44757</v>
      </c>
      <c r="U1093" s="12">
        <v>46218</v>
      </c>
      <c r="V1093" s="13" t="s">
        <v>2538</v>
      </c>
      <c r="W1093" s="11" t="s">
        <v>2501</v>
      </c>
      <c r="X1093" s="11" t="s">
        <v>409</v>
      </c>
      <c r="Y1093" s="11" t="s">
        <v>2502</v>
      </c>
      <c r="Z1093" s="11">
        <v>0.5</v>
      </c>
      <c r="AA1093" s="11"/>
      <c r="AB1093" s="12">
        <v>45495</v>
      </c>
      <c r="AC1093" s="12">
        <v>46956</v>
      </c>
      <c r="AD1093" s="14" t="s">
        <v>2503</v>
      </c>
      <c r="AE1093" s="42"/>
      <c r="AF1093" s="43" t="s">
        <v>2123</v>
      </c>
    </row>
    <row r="1094" spans="1:32" ht="90" x14ac:dyDescent="0.25">
      <c r="A1094" s="44"/>
      <c r="B1094" s="42"/>
      <c r="C1094" s="42"/>
      <c r="D1094" s="42"/>
      <c r="E1094" s="42"/>
      <c r="F1094" s="42"/>
      <c r="G1094" s="42"/>
      <c r="H1094" s="42"/>
      <c r="I1094" s="48"/>
      <c r="J1094" s="42"/>
      <c r="K1094" s="42"/>
      <c r="L1094" s="42"/>
      <c r="M1094" s="42"/>
      <c r="N1094" s="53"/>
      <c r="O1094" s="11" t="s">
        <v>77</v>
      </c>
      <c r="P1094" s="11" t="s">
        <v>77</v>
      </c>
      <c r="Q1094" s="11" t="s">
        <v>77</v>
      </c>
      <c r="R1094" s="11" t="s">
        <v>77</v>
      </c>
      <c r="S1094" s="11"/>
      <c r="T1094" s="12" t="s">
        <v>77</v>
      </c>
      <c r="U1094" s="12" t="s">
        <v>77</v>
      </c>
      <c r="V1094" s="4"/>
      <c r="W1094" s="11" t="s">
        <v>2501</v>
      </c>
      <c r="X1094" s="11" t="s">
        <v>409</v>
      </c>
      <c r="Y1094" s="11" t="s">
        <v>2502</v>
      </c>
      <c r="Z1094" s="11">
        <v>0.5</v>
      </c>
      <c r="AA1094" s="11"/>
      <c r="AB1094" s="12">
        <v>45495</v>
      </c>
      <c r="AC1094" s="12">
        <v>46956</v>
      </c>
      <c r="AD1094" s="14" t="s">
        <v>2503</v>
      </c>
      <c r="AE1094" s="42"/>
      <c r="AF1094" s="42"/>
    </row>
    <row r="1095" spans="1:32" ht="90" x14ac:dyDescent="0.25">
      <c r="A1095" s="44"/>
      <c r="B1095" s="42"/>
      <c r="C1095" s="42"/>
      <c r="D1095" s="42"/>
      <c r="E1095" s="42"/>
      <c r="F1095" s="42"/>
      <c r="G1095" s="42"/>
      <c r="H1095" s="42"/>
      <c r="I1095" s="48"/>
      <c r="J1095" s="42"/>
      <c r="K1095" s="42"/>
      <c r="L1095" s="42"/>
      <c r="M1095" s="42"/>
      <c r="N1095" s="53"/>
      <c r="O1095" s="11" t="s">
        <v>1672</v>
      </c>
      <c r="P1095" s="11" t="s">
        <v>1704</v>
      </c>
      <c r="Q1095" s="11">
        <v>2325</v>
      </c>
      <c r="R1095" s="11">
        <v>0.5</v>
      </c>
      <c r="S1095" s="11"/>
      <c r="T1095" s="12">
        <v>44757</v>
      </c>
      <c r="U1095" s="12">
        <v>46218</v>
      </c>
      <c r="V1095" s="13" t="s">
        <v>2539</v>
      </c>
      <c r="W1095" s="11" t="s">
        <v>2501</v>
      </c>
      <c r="X1095" s="11" t="s">
        <v>409</v>
      </c>
      <c r="Y1095" s="11" t="s">
        <v>2502</v>
      </c>
      <c r="Z1095" s="11">
        <v>0.5</v>
      </c>
      <c r="AA1095" s="11"/>
      <c r="AB1095" s="12">
        <v>45495</v>
      </c>
      <c r="AC1095" s="12">
        <v>46956</v>
      </c>
      <c r="AD1095" s="14" t="s">
        <v>2503</v>
      </c>
      <c r="AE1095" s="42"/>
      <c r="AF1095" s="42"/>
    </row>
    <row r="1096" spans="1:32" ht="25.5" customHeight="1" x14ac:dyDescent="0.25">
      <c r="A1096" s="44">
        <v>363</v>
      </c>
      <c r="B1096" s="42" t="s">
        <v>1660</v>
      </c>
      <c r="C1096" s="42" t="s">
        <v>2540</v>
      </c>
      <c r="D1096" s="42">
        <v>0</v>
      </c>
      <c r="E1096" s="42" t="s">
        <v>2541</v>
      </c>
      <c r="F1096" s="42" t="s">
        <v>405</v>
      </c>
      <c r="G1096" s="42" t="s">
        <v>68</v>
      </c>
      <c r="H1096" s="42" t="s">
        <v>1675</v>
      </c>
      <c r="I1096" s="48" t="s">
        <v>2542</v>
      </c>
      <c r="J1096" s="42" t="s">
        <v>71</v>
      </c>
      <c r="K1096" s="42"/>
      <c r="L1096" s="42" t="s">
        <v>1689</v>
      </c>
      <c r="M1096" s="52">
        <v>48795</v>
      </c>
      <c r="N1096" s="53" t="s">
        <v>2543</v>
      </c>
      <c r="O1096" s="11" t="s">
        <v>1261</v>
      </c>
      <c r="P1096" s="11" t="s">
        <v>84</v>
      </c>
      <c r="Q1096" s="11" t="s">
        <v>2544</v>
      </c>
      <c r="R1096" s="11">
        <v>0.5</v>
      </c>
      <c r="S1096" s="11"/>
      <c r="T1096" s="12" t="s">
        <v>2450</v>
      </c>
      <c r="U1096" s="12">
        <v>46361</v>
      </c>
      <c r="V1096" s="4" t="s">
        <v>124</v>
      </c>
      <c r="W1096" s="11" t="s">
        <v>2501</v>
      </c>
      <c r="X1096" s="11" t="s">
        <v>409</v>
      </c>
      <c r="Y1096" s="11">
        <v>1471</v>
      </c>
      <c r="Z1096" s="11">
        <v>0.5</v>
      </c>
      <c r="AA1096" s="11"/>
      <c r="AB1096" s="12">
        <v>45496</v>
      </c>
      <c r="AC1096" s="12">
        <v>46957</v>
      </c>
      <c r="AD1096" s="14" t="s">
        <v>2545</v>
      </c>
      <c r="AE1096" s="42"/>
      <c r="AF1096" s="43" t="s">
        <v>2123</v>
      </c>
    </row>
    <row r="1097" spans="1:32" ht="90" x14ac:dyDescent="0.25">
      <c r="A1097" s="44"/>
      <c r="B1097" s="42"/>
      <c r="C1097" s="42"/>
      <c r="D1097" s="42"/>
      <c r="E1097" s="42"/>
      <c r="F1097" s="42"/>
      <c r="G1097" s="42"/>
      <c r="H1097" s="42"/>
      <c r="I1097" s="48"/>
      <c r="J1097" s="42"/>
      <c r="K1097" s="42"/>
      <c r="L1097" s="42"/>
      <c r="M1097" s="42"/>
      <c r="N1097" s="53"/>
      <c r="O1097" s="11" t="s">
        <v>77</v>
      </c>
      <c r="P1097" s="11" t="s">
        <v>77</v>
      </c>
      <c r="Q1097" s="11" t="s">
        <v>77</v>
      </c>
      <c r="R1097" s="11" t="s">
        <v>77</v>
      </c>
      <c r="S1097" s="11"/>
      <c r="T1097" s="12" t="s">
        <v>77</v>
      </c>
      <c r="U1097" s="12" t="s">
        <v>77</v>
      </c>
      <c r="V1097" s="4"/>
      <c r="W1097" s="11" t="s">
        <v>2501</v>
      </c>
      <c r="X1097" s="11" t="s">
        <v>409</v>
      </c>
      <c r="Y1097" s="11" t="s">
        <v>773</v>
      </c>
      <c r="Z1097" s="11">
        <v>0.5</v>
      </c>
      <c r="AA1097" s="11"/>
      <c r="AB1097" s="12">
        <v>45496</v>
      </c>
      <c r="AC1097" s="12">
        <v>46957</v>
      </c>
      <c r="AD1097" s="14" t="s">
        <v>2545</v>
      </c>
      <c r="AE1097" s="42"/>
      <c r="AF1097" s="42"/>
    </row>
    <row r="1098" spans="1:32" ht="90" x14ac:dyDescent="0.25">
      <c r="A1098" s="44"/>
      <c r="B1098" s="42"/>
      <c r="C1098" s="42"/>
      <c r="D1098" s="42"/>
      <c r="E1098" s="42"/>
      <c r="F1098" s="42"/>
      <c r="G1098" s="42"/>
      <c r="H1098" s="42"/>
      <c r="I1098" s="48"/>
      <c r="J1098" s="42"/>
      <c r="K1098" s="42"/>
      <c r="L1098" s="42"/>
      <c r="M1098" s="42"/>
      <c r="N1098" s="53"/>
      <c r="O1098" s="11" t="s">
        <v>1672</v>
      </c>
      <c r="P1098" s="11" t="s">
        <v>84</v>
      </c>
      <c r="Q1098" s="11" t="s">
        <v>2546</v>
      </c>
      <c r="R1098" s="11">
        <v>0.5</v>
      </c>
      <c r="S1098" s="11"/>
      <c r="T1098" s="12" t="s">
        <v>2450</v>
      </c>
      <c r="U1098" s="12">
        <v>46361</v>
      </c>
      <c r="V1098" s="4" t="s">
        <v>124</v>
      </c>
      <c r="W1098" s="11" t="s">
        <v>2501</v>
      </c>
      <c r="X1098" s="11" t="s">
        <v>409</v>
      </c>
      <c r="Y1098" s="11" t="s">
        <v>773</v>
      </c>
      <c r="Z1098" s="11">
        <v>0.5</v>
      </c>
      <c r="AA1098" s="11"/>
      <c r="AB1098" s="12">
        <v>45496</v>
      </c>
      <c r="AC1098" s="12">
        <v>46957</v>
      </c>
      <c r="AD1098" s="14" t="s">
        <v>2545</v>
      </c>
      <c r="AE1098" s="42"/>
      <c r="AF1098" s="42"/>
    </row>
    <row r="1099" spans="1:32" ht="23.85" customHeight="1" x14ac:dyDescent="0.25">
      <c r="A1099" s="44">
        <v>364</v>
      </c>
      <c r="B1099" s="42" t="s">
        <v>1660</v>
      </c>
      <c r="C1099" s="42" t="s">
        <v>2540</v>
      </c>
      <c r="D1099" s="42">
        <v>0</v>
      </c>
      <c r="E1099" s="42" t="s">
        <v>2547</v>
      </c>
      <c r="F1099" s="42" t="s">
        <v>405</v>
      </c>
      <c r="G1099" s="42" t="s">
        <v>32</v>
      </c>
      <c r="H1099" s="42" t="s">
        <v>1675</v>
      </c>
      <c r="I1099" s="48" t="s">
        <v>2548</v>
      </c>
      <c r="J1099" s="42" t="s">
        <v>71</v>
      </c>
      <c r="K1099" s="42"/>
      <c r="L1099" s="42" t="s">
        <v>1689</v>
      </c>
      <c r="M1099" s="52">
        <v>48795</v>
      </c>
      <c r="N1099" s="53" t="s">
        <v>2549</v>
      </c>
      <c r="O1099" s="11" t="s">
        <v>2519</v>
      </c>
      <c r="P1099" s="11" t="s">
        <v>93</v>
      </c>
      <c r="Q1099" s="11" t="s">
        <v>2550</v>
      </c>
      <c r="R1099" s="11">
        <v>0.5</v>
      </c>
      <c r="S1099" s="11"/>
      <c r="T1099" s="12" t="s">
        <v>820</v>
      </c>
      <c r="U1099" s="12">
        <v>46380</v>
      </c>
      <c r="V1099" s="4" t="s">
        <v>124</v>
      </c>
      <c r="W1099" s="11" t="s">
        <v>2501</v>
      </c>
      <c r="X1099" s="11" t="s">
        <v>409</v>
      </c>
      <c r="Y1099" s="11" t="s">
        <v>773</v>
      </c>
      <c r="Z1099" s="11">
        <v>0.5</v>
      </c>
      <c r="AA1099" s="11"/>
      <c r="AB1099" s="12">
        <v>45496</v>
      </c>
      <c r="AC1099" s="12">
        <v>46957</v>
      </c>
      <c r="AD1099" s="14" t="s">
        <v>2545</v>
      </c>
      <c r="AE1099" s="42"/>
      <c r="AF1099" s="43" t="s">
        <v>2123</v>
      </c>
    </row>
    <row r="1100" spans="1:32" ht="90" x14ac:dyDescent="0.25">
      <c r="A1100" s="44"/>
      <c r="B1100" s="42"/>
      <c r="C1100" s="42"/>
      <c r="D1100" s="42"/>
      <c r="E1100" s="42"/>
      <c r="F1100" s="42"/>
      <c r="G1100" s="42"/>
      <c r="H1100" s="42"/>
      <c r="I1100" s="48"/>
      <c r="J1100" s="42"/>
      <c r="K1100" s="42"/>
      <c r="L1100" s="42"/>
      <c r="M1100" s="42"/>
      <c r="N1100" s="53"/>
      <c r="O1100" s="11" t="s">
        <v>77</v>
      </c>
      <c r="P1100" s="11" t="s">
        <v>77</v>
      </c>
      <c r="Q1100" s="11" t="s">
        <v>77</v>
      </c>
      <c r="R1100" s="11" t="s">
        <v>77</v>
      </c>
      <c r="S1100" s="11"/>
      <c r="T1100" s="12" t="s">
        <v>77</v>
      </c>
      <c r="U1100" s="12" t="s">
        <v>77</v>
      </c>
      <c r="V1100" s="4"/>
      <c r="W1100" s="11" t="s">
        <v>2501</v>
      </c>
      <c r="X1100" s="11" t="s">
        <v>409</v>
      </c>
      <c r="Y1100" s="11" t="s">
        <v>773</v>
      </c>
      <c r="Z1100" s="11">
        <v>0.5</v>
      </c>
      <c r="AA1100" s="11"/>
      <c r="AB1100" s="12">
        <v>45496</v>
      </c>
      <c r="AC1100" s="12">
        <v>46957</v>
      </c>
      <c r="AD1100" s="14" t="s">
        <v>2545</v>
      </c>
      <c r="AE1100" s="42"/>
      <c r="AF1100" s="42"/>
    </row>
    <row r="1101" spans="1:32" ht="90" x14ac:dyDescent="0.25">
      <c r="A1101" s="44"/>
      <c r="B1101" s="42"/>
      <c r="C1101" s="42"/>
      <c r="D1101" s="42"/>
      <c r="E1101" s="42"/>
      <c r="F1101" s="42"/>
      <c r="G1101" s="42"/>
      <c r="H1101" s="42"/>
      <c r="I1101" s="48"/>
      <c r="J1101" s="42"/>
      <c r="K1101" s="42"/>
      <c r="L1101" s="42"/>
      <c r="M1101" s="42"/>
      <c r="N1101" s="53"/>
      <c r="O1101" s="11" t="s">
        <v>2521</v>
      </c>
      <c r="P1101" s="11" t="s">
        <v>93</v>
      </c>
      <c r="Q1101" s="11" t="s">
        <v>2551</v>
      </c>
      <c r="R1101" s="11">
        <v>0.5</v>
      </c>
      <c r="S1101" s="11"/>
      <c r="T1101" s="12" t="s">
        <v>820</v>
      </c>
      <c r="U1101" s="12">
        <v>46380</v>
      </c>
      <c r="V1101" s="4" t="s">
        <v>124</v>
      </c>
      <c r="W1101" s="11" t="s">
        <v>2501</v>
      </c>
      <c r="X1101" s="11" t="s">
        <v>409</v>
      </c>
      <c r="Y1101" s="11" t="s">
        <v>773</v>
      </c>
      <c r="Z1101" s="11">
        <v>0.5</v>
      </c>
      <c r="AA1101" s="11"/>
      <c r="AB1101" s="12">
        <v>45496</v>
      </c>
      <c r="AC1101" s="12">
        <v>46957</v>
      </c>
      <c r="AD1101" s="14" t="s">
        <v>2545</v>
      </c>
      <c r="AE1101" s="42"/>
      <c r="AF1101" s="42"/>
    </row>
    <row r="1102" spans="1:32" ht="23.85" customHeight="1" x14ac:dyDescent="0.25">
      <c r="A1102" s="44">
        <v>365</v>
      </c>
      <c r="B1102" s="42" t="s">
        <v>1660</v>
      </c>
      <c r="C1102" s="42" t="s">
        <v>2540</v>
      </c>
      <c r="D1102" s="42">
        <v>0</v>
      </c>
      <c r="E1102" s="42" t="s">
        <v>2552</v>
      </c>
      <c r="F1102" s="42" t="s">
        <v>405</v>
      </c>
      <c r="G1102" s="42" t="s">
        <v>68</v>
      </c>
      <c r="H1102" s="42" t="s">
        <v>1675</v>
      </c>
      <c r="I1102" s="48" t="s">
        <v>2553</v>
      </c>
      <c r="J1102" s="42" t="s">
        <v>71</v>
      </c>
      <c r="K1102" s="42"/>
      <c r="L1102" s="42" t="s">
        <v>1689</v>
      </c>
      <c r="M1102" s="52">
        <v>48795</v>
      </c>
      <c r="N1102" s="53" t="s">
        <v>2554</v>
      </c>
      <c r="O1102" s="11" t="s">
        <v>2555</v>
      </c>
      <c r="P1102" s="11" t="s">
        <v>84</v>
      </c>
      <c r="Q1102" s="11" t="s">
        <v>2556</v>
      </c>
      <c r="R1102" s="11">
        <v>0.5</v>
      </c>
      <c r="S1102" s="11"/>
      <c r="T1102" s="12" t="s">
        <v>1727</v>
      </c>
      <c r="U1102" s="12">
        <v>46364</v>
      </c>
      <c r="V1102" s="4" t="s">
        <v>124</v>
      </c>
      <c r="W1102" s="11" t="s">
        <v>2557</v>
      </c>
      <c r="X1102" s="11" t="s">
        <v>409</v>
      </c>
      <c r="Y1102" s="11" t="s">
        <v>2558</v>
      </c>
      <c r="Z1102" s="11">
        <v>0.5</v>
      </c>
      <c r="AA1102" s="11"/>
      <c r="AB1102" s="12">
        <v>45495</v>
      </c>
      <c r="AC1102" s="12">
        <v>47321</v>
      </c>
      <c r="AD1102" s="14" t="s">
        <v>2559</v>
      </c>
      <c r="AE1102" s="42"/>
      <c r="AF1102" s="43" t="s">
        <v>2123</v>
      </c>
    </row>
    <row r="1103" spans="1:32" ht="90" x14ac:dyDescent="0.25">
      <c r="A1103" s="44"/>
      <c r="B1103" s="42"/>
      <c r="C1103" s="42"/>
      <c r="D1103" s="42"/>
      <c r="E1103" s="42"/>
      <c r="F1103" s="42"/>
      <c r="G1103" s="42"/>
      <c r="H1103" s="42"/>
      <c r="I1103" s="48"/>
      <c r="J1103" s="42"/>
      <c r="K1103" s="42"/>
      <c r="L1103" s="42"/>
      <c r="M1103" s="42"/>
      <c r="N1103" s="53"/>
      <c r="O1103" s="11" t="s">
        <v>77</v>
      </c>
      <c r="P1103" s="11" t="s">
        <v>77</v>
      </c>
      <c r="Q1103" s="11" t="s">
        <v>77</v>
      </c>
      <c r="R1103" s="11" t="s">
        <v>77</v>
      </c>
      <c r="S1103" s="11"/>
      <c r="T1103" s="12" t="s">
        <v>77</v>
      </c>
      <c r="U1103" s="12" t="s">
        <v>77</v>
      </c>
      <c r="V1103" s="4"/>
      <c r="W1103" s="11" t="s">
        <v>2557</v>
      </c>
      <c r="X1103" s="11" t="s">
        <v>409</v>
      </c>
      <c r="Y1103" s="11" t="s">
        <v>2558</v>
      </c>
      <c r="Z1103" s="11">
        <v>0.5</v>
      </c>
      <c r="AA1103" s="11"/>
      <c r="AB1103" s="12">
        <v>45495</v>
      </c>
      <c r="AC1103" s="12">
        <v>47321</v>
      </c>
      <c r="AD1103" s="14" t="s">
        <v>2559</v>
      </c>
      <c r="AE1103" s="42"/>
      <c r="AF1103" s="42"/>
    </row>
    <row r="1104" spans="1:32" ht="90" x14ac:dyDescent="0.25">
      <c r="A1104" s="44"/>
      <c r="B1104" s="42"/>
      <c r="C1104" s="42"/>
      <c r="D1104" s="42"/>
      <c r="E1104" s="42"/>
      <c r="F1104" s="42"/>
      <c r="G1104" s="42"/>
      <c r="H1104" s="42"/>
      <c r="I1104" s="48"/>
      <c r="J1104" s="42"/>
      <c r="K1104" s="42"/>
      <c r="L1104" s="42"/>
      <c r="M1104" s="42"/>
      <c r="N1104" s="53"/>
      <c r="O1104" s="11" t="s">
        <v>2560</v>
      </c>
      <c r="P1104" s="11" t="s">
        <v>84</v>
      </c>
      <c r="Q1104" s="11" t="s">
        <v>2561</v>
      </c>
      <c r="R1104" s="11">
        <v>0.5</v>
      </c>
      <c r="S1104" s="11"/>
      <c r="T1104" s="12" t="s">
        <v>1727</v>
      </c>
      <c r="U1104" s="12">
        <v>46364</v>
      </c>
      <c r="V1104" s="4" t="s">
        <v>124</v>
      </c>
      <c r="W1104" s="11" t="s">
        <v>2557</v>
      </c>
      <c r="X1104" s="11" t="s">
        <v>409</v>
      </c>
      <c r="Y1104" s="11" t="s">
        <v>2558</v>
      </c>
      <c r="Z1104" s="11">
        <v>0.5</v>
      </c>
      <c r="AA1104" s="11"/>
      <c r="AB1104" s="12">
        <v>45495</v>
      </c>
      <c r="AC1104" s="12">
        <v>47321</v>
      </c>
      <c r="AD1104" s="14" t="s">
        <v>2559</v>
      </c>
      <c r="AE1104" s="42"/>
      <c r="AF1104" s="42"/>
    </row>
    <row r="1105" spans="1:32" ht="23.85" customHeight="1" x14ac:dyDescent="0.25">
      <c r="A1105" s="44">
        <v>366</v>
      </c>
      <c r="B1105" s="42" t="s">
        <v>1660</v>
      </c>
      <c r="C1105" s="42" t="s">
        <v>2540</v>
      </c>
      <c r="D1105" s="42">
        <v>0</v>
      </c>
      <c r="E1105" s="42" t="s">
        <v>2562</v>
      </c>
      <c r="F1105" s="42" t="s">
        <v>405</v>
      </c>
      <c r="G1105" s="42" t="s">
        <v>32</v>
      </c>
      <c r="H1105" s="42" t="s">
        <v>1675</v>
      </c>
      <c r="I1105" s="48" t="s">
        <v>2563</v>
      </c>
      <c r="J1105" s="42" t="s">
        <v>71</v>
      </c>
      <c r="K1105" s="42"/>
      <c r="L1105" s="42" t="s">
        <v>1701</v>
      </c>
      <c r="M1105" s="52">
        <v>48797</v>
      </c>
      <c r="N1105" s="53" t="s">
        <v>2564</v>
      </c>
      <c r="O1105" s="11" t="s">
        <v>2519</v>
      </c>
      <c r="P1105" s="11" t="s">
        <v>93</v>
      </c>
      <c r="Q1105" s="11" t="s">
        <v>2565</v>
      </c>
      <c r="R1105" s="11">
        <v>0.5</v>
      </c>
      <c r="S1105" s="11"/>
      <c r="T1105" s="12" t="s">
        <v>2566</v>
      </c>
      <c r="U1105" s="12">
        <v>42911</v>
      </c>
      <c r="V1105" s="4" t="s">
        <v>124</v>
      </c>
      <c r="W1105" s="11" t="s">
        <v>2557</v>
      </c>
      <c r="X1105" s="11" t="s">
        <v>409</v>
      </c>
      <c r="Y1105" s="11" t="s">
        <v>2558</v>
      </c>
      <c r="Z1105" s="11">
        <v>0.5</v>
      </c>
      <c r="AA1105" s="11"/>
      <c r="AB1105" s="12">
        <v>45495</v>
      </c>
      <c r="AC1105" s="12">
        <v>47321</v>
      </c>
      <c r="AD1105" s="14" t="s">
        <v>2559</v>
      </c>
      <c r="AE1105" s="42"/>
      <c r="AF1105" s="43" t="s">
        <v>2123</v>
      </c>
    </row>
    <row r="1106" spans="1:32" ht="90" x14ac:dyDescent="0.25">
      <c r="A1106" s="44"/>
      <c r="B1106" s="42"/>
      <c r="C1106" s="42"/>
      <c r="D1106" s="42"/>
      <c r="E1106" s="42"/>
      <c r="F1106" s="42"/>
      <c r="G1106" s="42"/>
      <c r="H1106" s="42"/>
      <c r="I1106" s="48"/>
      <c r="J1106" s="42"/>
      <c r="K1106" s="42"/>
      <c r="L1106" s="42"/>
      <c r="M1106" s="42"/>
      <c r="N1106" s="53"/>
      <c r="O1106" s="11" t="s">
        <v>77</v>
      </c>
      <c r="P1106" s="11" t="s">
        <v>77</v>
      </c>
      <c r="Q1106" s="11" t="s">
        <v>77</v>
      </c>
      <c r="R1106" s="11" t="s">
        <v>77</v>
      </c>
      <c r="S1106" s="11"/>
      <c r="T1106" s="12" t="s">
        <v>77</v>
      </c>
      <c r="U1106" s="12" t="s">
        <v>77</v>
      </c>
      <c r="V1106" s="4"/>
      <c r="W1106" s="11" t="s">
        <v>2557</v>
      </c>
      <c r="X1106" s="11" t="s">
        <v>409</v>
      </c>
      <c r="Y1106" s="11" t="s">
        <v>2558</v>
      </c>
      <c r="Z1106" s="11">
        <v>0.5</v>
      </c>
      <c r="AA1106" s="11"/>
      <c r="AB1106" s="12">
        <v>45495</v>
      </c>
      <c r="AC1106" s="12">
        <v>47321</v>
      </c>
      <c r="AD1106" s="14" t="s">
        <v>2559</v>
      </c>
      <c r="AE1106" s="42"/>
      <c r="AF1106" s="42"/>
    </row>
    <row r="1107" spans="1:32" ht="90" x14ac:dyDescent="0.25">
      <c r="A1107" s="44"/>
      <c r="B1107" s="42"/>
      <c r="C1107" s="42"/>
      <c r="D1107" s="42"/>
      <c r="E1107" s="42"/>
      <c r="F1107" s="42"/>
      <c r="G1107" s="42"/>
      <c r="H1107" s="42"/>
      <c r="I1107" s="48"/>
      <c r="J1107" s="42"/>
      <c r="K1107" s="42"/>
      <c r="L1107" s="42"/>
      <c r="M1107" s="42"/>
      <c r="N1107" s="53"/>
      <c r="O1107" s="11" t="s">
        <v>2521</v>
      </c>
      <c r="P1107" s="11" t="s">
        <v>93</v>
      </c>
      <c r="Q1107" s="11" t="s">
        <v>77</v>
      </c>
      <c r="R1107" s="11">
        <v>0.5</v>
      </c>
      <c r="S1107" s="11"/>
      <c r="T1107" s="12" t="s">
        <v>2566</v>
      </c>
      <c r="U1107" s="12">
        <v>42911</v>
      </c>
      <c r="V1107" s="4" t="s">
        <v>124</v>
      </c>
      <c r="W1107" s="11" t="s">
        <v>2557</v>
      </c>
      <c r="X1107" s="11" t="s">
        <v>409</v>
      </c>
      <c r="Y1107" s="11" t="s">
        <v>2558</v>
      </c>
      <c r="Z1107" s="11">
        <v>0.5</v>
      </c>
      <c r="AA1107" s="11"/>
      <c r="AB1107" s="12">
        <v>45495</v>
      </c>
      <c r="AC1107" s="12">
        <v>47321</v>
      </c>
      <c r="AD1107" s="14" t="s">
        <v>2559</v>
      </c>
      <c r="AE1107" s="42"/>
      <c r="AF1107" s="42"/>
    </row>
    <row r="1108" spans="1:32" ht="23.85" customHeight="1" x14ac:dyDescent="0.25">
      <c r="A1108" s="44">
        <v>367</v>
      </c>
      <c r="B1108" s="42" t="s">
        <v>1660</v>
      </c>
      <c r="C1108" s="42" t="s">
        <v>2540</v>
      </c>
      <c r="D1108" s="42">
        <v>0</v>
      </c>
      <c r="E1108" s="42" t="s">
        <v>2567</v>
      </c>
      <c r="F1108" s="42" t="s">
        <v>405</v>
      </c>
      <c r="G1108" s="42" t="s">
        <v>68</v>
      </c>
      <c r="H1108" s="42" t="s">
        <v>1675</v>
      </c>
      <c r="I1108" s="48" t="s">
        <v>2568</v>
      </c>
      <c r="J1108" s="42" t="s">
        <v>71</v>
      </c>
      <c r="K1108" s="42"/>
      <c r="L1108" s="42" t="s">
        <v>1701</v>
      </c>
      <c r="M1108" s="52">
        <v>48797</v>
      </c>
      <c r="N1108" s="53" t="s">
        <v>2569</v>
      </c>
      <c r="O1108" s="11" t="s">
        <v>990</v>
      </c>
      <c r="P1108" s="11" t="s">
        <v>1704</v>
      </c>
      <c r="Q1108" s="11" t="s">
        <v>2570</v>
      </c>
      <c r="R1108" s="11">
        <v>0.5</v>
      </c>
      <c r="S1108" s="11"/>
      <c r="T1108" s="12" t="s">
        <v>820</v>
      </c>
      <c r="U1108" s="12">
        <v>46380</v>
      </c>
      <c r="V1108" s="4" t="s">
        <v>124</v>
      </c>
      <c r="W1108" s="11" t="s">
        <v>77</v>
      </c>
      <c r="X1108" s="11" t="s">
        <v>77</v>
      </c>
      <c r="Y1108" s="11" t="s">
        <v>77</v>
      </c>
      <c r="Z1108" s="11">
        <v>0</v>
      </c>
      <c r="AA1108" s="11"/>
      <c r="AB1108" s="12" t="s">
        <v>77</v>
      </c>
      <c r="AC1108" s="12" t="s">
        <v>77</v>
      </c>
      <c r="AD1108" s="12"/>
      <c r="AE1108" s="42"/>
      <c r="AF1108" s="43" t="s">
        <v>995</v>
      </c>
    </row>
    <row r="1109" spans="1:32" ht="25.5" x14ac:dyDescent="0.25">
      <c r="A1109" s="44"/>
      <c r="B1109" s="42"/>
      <c r="C1109" s="42"/>
      <c r="D1109" s="42"/>
      <c r="E1109" s="42"/>
      <c r="F1109" s="42"/>
      <c r="G1109" s="42"/>
      <c r="H1109" s="42"/>
      <c r="I1109" s="48"/>
      <c r="J1109" s="42"/>
      <c r="K1109" s="42"/>
      <c r="L1109" s="42"/>
      <c r="M1109" s="42"/>
      <c r="N1109" s="53"/>
      <c r="O1109" s="11" t="s">
        <v>990</v>
      </c>
      <c r="P1109" s="11" t="s">
        <v>1704</v>
      </c>
      <c r="Q1109" s="11" t="s">
        <v>2571</v>
      </c>
      <c r="R1109" s="11">
        <v>0.5</v>
      </c>
      <c r="S1109" s="11"/>
      <c r="T1109" s="12" t="s">
        <v>820</v>
      </c>
      <c r="U1109" s="12">
        <v>46380</v>
      </c>
      <c r="V1109" s="4" t="s">
        <v>124</v>
      </c>
      <c r="W1109" s="11" t="s">
        <v>77</v>
      </c>
      <c r="X1109" s="11" t="s">
        <v>77</v>
      </c>
      <c r="Y1109" s="11" t="s">
        <v>77</v>
      </c>
      <c r="Z1109" s="11" t="s">
        <v>77</v>
      </c>
      <c r="AA1109" s="11"/>
      <c r="AB1109" s="12" t="s">
        <v>77</v>
      </c>
      <c r="AC1109" s="12" t="s">
        <v>77</v>
      </c>
      <c r="AD1109" s="12"/>
      <c r="AE1109" s="42"/>
      <c r="AF1109" s="42"/>
    </row>
    <row r="1110" spans="1:32" x14ac:dyDescent="0.25">
      <c r="A1110" s="44"/>
      <c r="B1110" s="42"/>
      <c r="C1110" s="42"/>
      <c r="D1110" s="42"/>
      <c r="E1110" s="42"/>
      <c r="F1110" s="42"/>
      <c r="G1110" s="42"/>
      <c r="H1110" s="42"/>
      <c r="I1110" s="48"/>
      <c r="J1110" s="42"/>
      <c r="K1110" s="42"/>
      <c r="L1110" s="42"/>
      <c r="M1110" s="42"/>
      <c r="N1110" s="53"/>
      <c r="O1110" s="11" t="s">
        <v>997</v>
      </c>
      <c r="P1110" s="11" t="s">
        <v>1704</v>
      </c>
      <c r="Q1110" s="11" t="s">
        <v>2572</v>
      </c>
      <c r="R1110" s="11">
        <v>0.5</v>
      </c>
      <c r="S1110" s="11"/>
      <c r="T1110" s="12" t="s">
        <v>820</v>
      </c>
      <c r="U1110" s="12">
        <v>46380</v>
      </c>
      <c r="V1110" s="4" t="s">
        <v>124</v>
      </c>
      <c r="W1110" s="11" t="s">
        <v>77</v>
      </c>
      <c r="X1110" s="11" t="s">
        <v>77</v>
      </c>
      <c r="Y1110" s="11" t="s">
        <v>77</v>
      </c>
      <c r="Z1110" s="11" t="s">
        <v>77</v>
      </c>
      <c r="AA1110" s="11"/>
      <c r="AB1110" s="12" t="s">
        <v>77</v>
      </c>
      <c r="AC1110" s="12" t="s">
        <v>77</v>
      </c>
      <c r="AD1110" s="12"/>
      <c r="AE1110" s="42"/>
      <c r="AF1110" s="42"/>
    </row>
    <row r="1111" spans="1:32" ht="35.1" customHeight="1" x14ac:dyDescent="0.25">
      <c r="A1111" s="44">
        <v>368</v>
      </c>
      <c r="B1111" s="42" t="s">
        <v>1660</v>
      </c>
      <c r="C1111" s="42" t="s">
        <v>2573</v>
      </c>
      <c r="D1111" s="42">
        <v>70548</v>
      </c>
      <c r="E1111" s="42" t="s">
        <v>2574</v>
      </c>
      <c r="F1111" s="42" t="s">
        <v>405</v>
      </c>
      <c r="G1111" s="42" t="s">
        <v>32</v>
      </c>
      <c r="H1111" s="42" t="s">
        <v>1675</v>
      </c>
      <c r="I1111" s="48" t="s">
        <v>2575</v>
      </c>
      <c r="J1111" s="42" t="s">
        <v>71</v>
      </c>
      <c r="K1111" s="42"/>
      <c r="L1111" s="42" t="s">
        <v>1665</v>
      </c>
      <c r="M1111" s="52">
        <v>48796</v>
      </c>
      <c r="N1111" s="53" t="s">
        <v>2576</v>
      </c>
      <c r="O1111" s="11" t="s">
        <v>2577</v>
      </c>
      <c r="P1111" s="11" t="s">
        <v>1704</v>
      </c>
      <c r="Q1111" s="11" t="s">
        <v>2578</v>
      </c>
      <c r="R1111" s="11">
        <v>0.5</v>
      </c>
      <c r="S1111" s="11"/>
      <c r="T1111" s="12" t="s">
        <v>2579</v>
      </c>
      <c r="U1111" s="12">
        <v>46824</v>
      </c>
      <c r="V1111" s="4" t="s">
        <v>124</v>
      </c>
      <c r="W1111" s="11" t="s">
        <v>2557</v>
      </c>
      <c r="X1111" s="11" t="s">
        <v>409</v>
      </c>
      <c r="Y1111" s="11" t="s">
        <v>2580</v>
      </c>
      <c r="Z1111" s="11">
        <v>0.5</v>
      </c>
      <c r="AA1111" s="11"/>
      <c r="AB1111" s="12">
        <v>45104</v>
      </c>
      <c r="AC1111" s="12">
        <v>46931</v>
      </c>
      <c r="AD1111" s="14" t="s">
        <v>2581</v>
      </c>
      <c r="AE1111" s="42"/>
      <c r="AF1111" s="43" t="s">
        <v>2123</v>
      </c>
    </row>
    <row r="1112" spans="1:32" ht="90" x14ac:dyDescent="0.25">
      <c r="A1112" s="44"/>
      <c r="B1112" s="42"/>
      <c r="C1112" s="42"/>
      <c r="D1112" s="42"/>
      <c r="E1112" s="42"/>
      <c r="F1112" s="42"/>
      <c r="G1112" s="42"/>
      <c r="H1112" s="42"/>
      <c r="I1112" s="48"/>
      <c r="J1112" s="42"/>
      <c r="K1112" s="42"/>
      <c r="L1112" s="42"/>
      <c r="M1112" s="42"/>
      <c r="N1112" s="53"/>
      <c r="O1112" s="11" t="s">
        <v>77</v>
      </c>
      <c r="P1112" s="11" t="s">
        <v>77</v>
      </c>
      <c r="Q1112" s="11" t="s">
        <v>77</v>
      </c>
      <c r="R1112" s="11" t="s">
        <v>77</v>
      </c>
      <c r="S1112" s="11"/>
      <c r="T1112" s="12" t="s">
        <v>77</v>
      </c>
      <c r="U1112" s="12" t="s">
        <v>77</v>
      </c>
      <c r="V1112" s="4"/>
      <c r="W1112" s="11" t="s">
        <v>2557</v>
      </c>
      <c r="X1112" s="11" t="s">
        <v>409</v>
      </c>
      <c r="Y1112" s="11" t="s">
        <v>2580</v>
      </c>
      <c r="Z1112" s="11">
        <v>0.5</v>
      </c>
      <c r="AA1112" s="11"/>
      <c r="AB1112" s="12">
        <v>45104</v>
      </c>
      <c r="AC1112" s="12">
        <v>46931</v>
      </c>
      <c r="AD1112" s="14" t="s">
        <v>2581</v>
      </c>
      <c r="AE1112" s="42"/>
      <c r="AF1112" s="42"/>
    </row>
    <row r="1113" spans="1:32" ht="90" x14ac:dyDescent="0.25">
      <c r="A1113" s="44"/>
      <c r="B1113" s="42"/>
      <c r="C1113" s="42"/>
      <c r="D1113" s="42"/>
      <c r="E1113" s="42"/>
      <c r="F1113" s="42"/>
      <c r="G1113" s="42"/>
      <c r="H1113" s="42"/>
      <c r="I1113" s="48"/>
      <c r="J1113" s="42"/>
      <c r="K1113" s="42"/>
      <c r="L1113" s="42"/>
      <c r="M1113" s="42"/>
      <c r="N1113" s="53"/>
      <c r="O1113" s="11" t="s">
        <v>2582</v>
      </c>
      <c r="P1113" s="11" t="s">
        <v>1704</v>
      </c>
      <c r="Q1113" s="11" t="s">
        <v>2583</v>
      </c>
      <c r="R1113" s="11">
        <v>0.5</v>
      </c>
      <c r="S1113" s="11"/>
      <c r="T1113" s="12" t="s">
        <v>2579</v>
      </c>
      <c r="U1113" s="12">
        <v>46824</v>
      </c>
      <c r="V1113" s="4" t="s">
        <v>124</v>
      </c>
      <c r="W1113" s="11" t="s">
        <v>2557</v>
      </c>
      <c r="X1113" s="11" t="s">
        <v>409</v>
      </c>
      <c r="Y1113" s="11" t="s">
        <v>2580</v>
      </c>
      <c r="Z1113" s="11">
        <v>0.5</v>
      </c>
      <c r="AA1113" s="11"/>
      <c r="AB1113" s="12">
        <v>45104</v>
      </c>
      <c r="AC1113" s="12">
        <v>46931</v>
      </c>
      <c r="AD1113" s="14" t="s">
        <v>2581</v>
      </c>
      <c r="AE1113" s="42"/>
      <c r="AF1113" s="42"/>
    </row>
    <row r="1114" spans="1:32" ht="23.85" customHeight="1" x14ac:dyDescent="0.25">
      <c r="A1114" s="44">
        <v>369</v>
      </c>
      <c r="B1114" s="42" t="s">
        <v>1660</v>
      </c>
      <c r="C1114" s="42" t="s">
        <v>2573</v>
      </c>
      <c r="D1114" s="42">
        <v>70548</v>
      </c>
      <c r="E1114" s="42" t="s">
        <v>2584</v>
      </c>
      <c r="F1114" s="42" t="s">
        <v>405</v>
      </c>
      <c r="G1114" s="42" t="s">
        <v>32</v>
      </c>
      <c r="H1114" s="42" t="s">
        <v>1675</v>
      </c>
      <c r="I1114" s="48" t="s">
        <v>2585</v>
      </c>
      <c r="J1114" s="42" t="s">
        <v>71</v>
      </c>
      <c r="K1114" s="42"/>
      <c r="L1114" s="42" t="s">
        <v>1689</v>
      </c>
      <c r="M1114" s="52">
        <v>48795</v>
      </c>
      <c r="N1114" s="53" t="s">
        <v>2586</v>
      </c>
      <c r="O1114" s="11" t="s">
        <v>1261</v>
      </c>
      <c r="P1114" s="11" t="s">
        <v>156</v>
      </c>
      <c r="Q1114" s="11" t="s">
        <v>2587</v>
      </c>
      <c r="R1114" s="11">
        <v>0.5</v>
      </c>
      <c r="S1114" s="11"/>
      <c r="T1114" s="12" t="s">
        <v>2450</v>
      </c>
      <c r="U1114" s="12">
        <v>46361</v>
      </c>
      <c r="V1114" s="4" t="s">
        <v>124</v>
      </c>
      <c r="W1114" s="11" t="s">
        <v>2557</v>
      </c>
      <c r="X1114" s="11" t="s">
        <v>409</v>
      </c>
      <c r="Y1114" s="11" t="s">
        <v>2580</v>
      </c>
      <c r="Z1114" s="11">
        <v>0.5</v>
      </c>
      <c r="AA1114" s="11"/>
      <c r="AB1114" s="12">
        <v>45104</v>
      </c>
      <c r="AC1114" s="12">
        <v>46931</v>
      </c>
      <c r="AD1114" s="14" t="s">
        <v>2581</v>
      </c>
      <c r="AE1114" s="42"/>
      <c r="AF1114" s="43" t="s">
        <v>2123</v>
      </c>
    </row>
    <row r="1115" spans="1:32" ht="90" x14ac:dyDescent="0.25">
      <c r="A1115" s="44"/>
      <c r="B1115" s="42"/>
      <c r="C1115" s="42"/>
      <c r="D1115" s="42"/>
      <c r="E1115" s="42"/>
      <c r="F1115" s="42"/>
      <c r="G1115" s="42"/>
      <c r="H1115" s="42"/>
      <c r="I1115" s="48"/>
      <c r="J1115" s="42"/>
      <c r="K1115" s="42"/>
      <c r="L1115" s="42"/>
      <c r="M1115" s="42"/>
      <c r="N1115" s="53"/>
      <c r="O1115" s="11" t="s">
        <v>77</v>
      </c>
      <c r="P1115" s="11" t="s">
        <v>77</v>
      </c>
      <c r="Q1115" s="11" t="s">
        <v>77</v>
      </c>
      <c r="R1115" s="11" t="s">
        <v>77</v>
      </c>
      <c r="S1115" s="11"/>
      <c r="T1115" s="12" t="s">
        <v>77</v>
      </c>
      <c r="U1115" s="12" t="s">
        <v>77</v>
      </c>
      <c r="V1115" s="4"/>
      <c r="W1115" s="11" t="s">
        <v>2557</v>
      </c>
      <c r="X1115" s="11" t="s">
        <v>409</v>
      </c>
      <c r="Y1115" s="11" t="s">
        <v>2580</v>
      </c>
      <c r="Z1115" s="11">
        <v>0.5</v>
      </c>
      <c r="AA1115" s="11"/>
      <c r="AB1115" s="12">
        <v>45104</v>
      </c>
      <c r="AC1115" s="12">
        <v>46931</v>
      </c>
      <c r="AD1115" s="14" t="s">
        <v>2581</v>
      </c>
      <c r="AE1115" s="42"/>
      <c r="AF1115" s="42"/>
    </row>
    <row r="1116" spans="1:32" ht="90" x14ac:dyDescent="0.25">
      <c r="A1116" s="44"/>
      <c r="B1116" s="42"/>
      <c r="C1116" s="42"/>
      <c r="D1116" s="42"/>
      <c r="E1116" s="42"/>
      <c r="F1116" s="42"/>
      <c r="G1116" s="42"/>
      <c r="H1116" s="42"/>
      <c r="I1116" s="48"/>
      <c r="J1116" s="42"/>
      <c r="K1116" s="42"/>
      <c r="L1116" s="42"/>
      <c r="M1116" s="42"/>
      <c r="N1116" s="53"/>
      <c r="O1116" s="11" t="s">
        <v>1672</v>
      </c>
      <c r="P1116" s="11" t="s">
        <v>156</v>
      </c>
      <c r="Q1116" s="11" t="s">
        <v>2588</v>
      </c>
      <c r="R1116" s="11">
        <v>0.5</v>
      </c>
      <c r="S1116" s="11"/>
      <c r="T1116" s="12" t="s">
        <v>2450</v>
      </c>
      <c r="U1116" s="12">
        <v>46361</v>
      </c>
      <c r="V1116" s="4" t="s">
        <v>124</v>
      </c>
      <c r="W1116" s="11" t="s">
        <v>2557</v>
      </c>
      <c r="X1116" s="11" t="s">
        <v>409</v>
      </c>
      <c r="Y1116" s="11" t="s">
        <v>2580</v>
      </c>
      <c r="Z1116" s="11">
        <v>0.5</v>
      </c>
      <c r="AA1116" s="11"/>
      <c r="AB1116" s="12">
        <v>45104</v>
      </c>
      <c r="AC1116" s="12">
        <v>46931</v>
      </c>
      <c r="AD1116" s="14" t="s">
        <v>2581</v>
      </c>
      <c r="AE1116" s="42"/>
      <c r="AF1116" s="42"/>
    </row>
    <row r="1117" spans="1:32" ht="23.85" customHeight="1" x14ac:dyDescent="0.25">
      <c r="A1117" s="44">
        <v>370</v>
      </c>
      <c r="B1117" s="42" t="s">
        <v>1660</v>
      </c>
      <c r="C1117" s="42" t="s">
        <v>2573</v>
      </c>
      <c r="D1117" s="42">
        <v>70548</v>
      </c>
      <c r="E1117" s="42" t="s">
        <v>2589</v>
      </c>
      <c r="F1117" s="42" t="s">
        <v>405</v>
      </c>
      <c r="G1117" s="42" t="s">
        <v>32</v>
      </c>
      <c r="H1117" s="42" t="s">
        <v>1675</v>
      </c>
      <c r="I1117" s="48" t="s">
        <v>2590</v>
      </c>
      <c r="J1117" s="42" t="s">
        <v>71</v>
      </c>
      <c r="K1117" s="42"/>
      <c r="L1117" s="42" t="s">
        <v>2167</v>
      </c>
      <c r="M1117" s="52">
        <v>48758</v>
      </c>
      <c r="N1117" s="53" t="s">
        <v>2591</v>
      </c>
      <c r="O1117" s="11" t="s">
        <v>1261</v>
      </c>
      <c r="P1117" s="11" t="s">
        <v>84</v>
      </c>
      <c r="Q1117" s="11" t="s">
        <v>2592</v>
      </c>
      <c r="R1117" s="11">
        <v>0.5</v>
      </c>
      <c r="S1117" s="11"/>
      <c r="T1117" s="12" t="s">
        <v>2450</v>
      </c>
      <c r="U1117" s="12">
        <v>46361</v>
      </c>
      <c r="V1117" s="4" t="s">
        <v>124</v>
      </c>
      <c r="W1117" s="11" t="s">
        <v>2557</v>
      </c>
      <c r="X1117" s="11" t="s">
        <v>409</v>
      </c>
      <c r="Y1117" s="11" t="s">
        <v>2593</v>
      </c>
      <c r="Z1117" s="11">
        <v>0.5</v>
      </c>
      <c r="AA1117" s="11"/>
      <c r="AB1117" s="12">
        <v>45217</v>
      </c>
      <c r="AC1117" s="12">
        <v>47044</v>
      </c>
      <c r="AD1117" s="14" t="s">
        <v>2594</v>
      </c>
      <c r="AE1117" s="42"/>
      <c r="AF1117" s="43" t="s">
        <v>2123</v>
      </c>
    </row>
    <row r="1118" spans="1:32" ht="90" x14ac:dyDescent="0.25">
      <c r="A1118" s="44"/>
      <c r="B1118" s="42"/>
      <c r="C1118" s="42"/>
      <c r="D1118" s="42"/>
      <c r="E1118" s="42"/>
      <c r="F1118" s="42"/>
      <c r="G1118" s="42"/>
      <c r="H1118" s="42"/>
      <c r="I1118" s="48"/>
      <c r="J1118" s="42"/>
      <c r="K1118" s="42"/>
      <c r="L1118" s="42"/>
      <c r="M1118" s="42"/>
      <c r="N1118" s="53"/>
      <c r="O1118" s="11" t="s">
        <v>77</v>
      </c>
      <c r="P1118" s="11" t="s">
        <v>77</v>
      </c>
      <c r="Q1118" s="11" t="s">
        <v>77</v>
      </c>
      <c r="R1118" s="11" t="s">
        <v>77</v>
      </c>
      <c r="S1118" s="11"/>
      <c r="T1118" s="12" t="s">
        <v>77</v>
      </c>
      <c r="U1118" s="12" t="s">
        <v>77</v>
      </c>
      <c r="V1118" s="4"/>
      <c r="W1118" s="11" t="s">
        <v>2557</v>
      </c>
      <c r="X1118" s="11" t="s">
        <v>409</v>
      </c>
      <c r="Y1118" s="11" t="s">
        <v>2593</v>
      </c>
      <c r="Z1118" s="11">
        <v>0.5</v>
      </c>
      <c r="AA1118" s="11"/>
      <c r="AB1118" s="12">
        <v>45217</v>
      </c>
      <c r="AC1118" s="12">
        <v>47044</v>
      </c>
      <c r="AD1118" s="14" t="s">
        <v>2594</v>
      </c>
      <c r="AE1118" s="42"/>
      <c r="AF1118" s="42"/>
    </row>
    <row r="1119" spans="1:32" ht="90" x14ac:dyDescent="0.25">
      <c r="A1119" s="44"/>
      <c r="B1119" s="42"/>
      <c r="C1119" s="42"/>
      <c r="D1119" s="42"/>
      <c r="E1119" s="42"/>
      <c r="F1119" s="42"/>
      <c r="G1119" s="42"/>
      <c r="H1119" s="42"/>
      <c r="I1119" s="48"/>
      <c r="J1119" s="42"/>
      <c r="K1119" s="42"/>
      <c r="L1119" s="42"/>
      <c r="M1119" s="42"/>
      <c r="N1119" s="53"/>
      <c r="O1119" s="11" t="s">
        <v>1672</v>
      </c>
      <c r="P1119" s="11" t="s">
        <v>84</v>
      </c>
      <c r="Q1119" s="11" t="s">
        <v>2595</v>
      </c>
      <c r="R1119" s="11">
        <v>0.5</v>
      </c>
      <c r="S1119" s="11"/>
      <c r="T1119" s="12" t="s">
        <v>2450</v>
      </c>
      <c r="U1119" s="12">
        <v>46361</v>
      </c>
      <c r="V1119" s="4" t="s">
        <v>124</v>
      </c>
      <c r="W1119" s="11" t="s">
        <v>2557</v>
      </c>
      <c r="X1119" s="11" t="s">
        <v>409</v>
      </c>
      <c r="Y1119" s="11" t="s">
        <v>2593</v>
      </c>
      <c r="Z1119" s="11">
        <v>0.5</v>
      </c>
      <c r="AA1119" s="11"/>
      <c r="AB1119" s="12">
        <v>45217</v>
      </c>
      <c r="AC1119" s="12">
        <v>47044</v>
      </c>
      <c r="AD1119" s="14" t="s">
        <v>2594</v>
      </c>
      <c r="AE1119" s="42"/>
      <c r="AF1119" s="42"/>
    </row>
    <row r="1120" spans="1:32" ht="35.1" customHeight="1" x14ac:dyDescent="0.25">
      <c r="A1120" s="44">
        <v>371</v>
      </c>
      <c r="B1120" s="42" t="s">
        <v>1660</v>
      </c>
      <c r="C1120" s="42" t="s">
        <v>2573</v>
      </c>
      <c r="D1120" s="42">
        <v>70548</v>
      </c>
      <c r="E1120" s="42" t="s">
        <v>2596</v>
      </c>
      <c r="F1120" s="42" t="s">
        <v>405</v>
      </c>
      <c r="G1120" s="42" t="s">
        <v>32</v>
      </c>
      <c r="H1120" s="42" t="s">
        <v>1675</v>
      </c>
      <c r="I1120" s="48" t="s">
        <v>2597</v>
      </c>
      <c r="J1120" s="42" t="s">
        <v>71</v>
      </c>
      <c r="K1120" s="42"/>
      <c r="L1120" s="42" t="s">
        <v>1689</v>
      </c>
      <c r="M1120" s="52">
        <v>48795</v>
      </c>
      <c r="N1120" s="53" t="s">
        <v>2598</v>
      </c>
      <c r="O1120" s="11" t="s">
        <v>2577</v>
      </c>
      <c r="P1120" s="11" t="s">
        <v>1704</v>
      </c>
      <c r="Q1120" s="11" t="s">
        <v>2599</v>
      </c>
      <c r="R1120" s="11">
        <v>0.5</v>
      </c>
      <c r="S1120" s="11"/>
      <c r="T1120" s="12" t="s">
        <v>2579</v>
      </c>
      <c r="U1120" s="12">
        <v>46824</v>
      </c>
      <c r="V1120" s="4" t="s">
        <v>124</v>
      </c>
      <c r="W1120" s="11" t="s">
        <v>2557</v>
      </c>
      <c r="X1120" s="11" t="s">
        <v>409</v>
      </c>
      <c r="Y1120" s="11" t="s">
        <v>2593</v>
      </c>
      <c r="Z1120" s="11">
        <v>0.5</v>
      </c>
      <c r="AA1120" s="11"/>
      <c r="AB1120" s="12">
        <v>45217</v>
      </c>
      <c r="AC1120" s="12">
        <v>47044</v>
      </c>
      <c r="AD1120" s="14" t="s">
        <v>2594</v>
      </c>
      <c r="AE1120" s="42"/>
      <c r="AF1120" s="43" t="s">
        <v>2123</v>
      </c>
    </row>
    <row r="1121" spans="1:32" ht="90" x14ac:dyDescent="0.25">
      <c r="A1121" s="44"/>
      <c r="B1121" s="42"/>
      <c r="C1121" s="42"/>
      <c r="D1121" s="42"/>
      <c r="E1121" s="42"/>
      <c r="F1121" s="42"/>
      <c r="G1121" s="42"/>
      <c r="H1121" s="42"/>
      <c r="I1121" s="48"/>
      <c r="J1121" s="42"/>
      <c r="K1121" s="42"/>
      <c r="L1121" s="42"/>
      <c r="M1121" s="42"/>
      <c r="N1121" s="53"/>
      <c r="O1121" s="11" t="s">
        <v>77</v>
      </c>
      <c r="P1121" s="11" t="s">
        <v>77</v>
      </c>
      <c r="Q1121" s="11" t="s">
        <v>77</v>
      </c>
      <c r="R1121" s="11" t="s">
        <v>77</v>
      </c>
      <c r="S1121" s="11"/>
      <c r="T1121" s="12" t="s">
        <v>77</v>
      </c>
      <c r="U1121" s="12" t="s">
        <v>77</v>
      </c>
      <c r="V1121" s="4"/>
      <c r="W1121" s="11" t="s">
        <v>2557</v>
      </c>
      <c r="X1121" s="11" t="s">
        <v>409</v>
      </c>
      <c r="Y1121" s="11" t="s">
        <v>2593</v>
      </c>
      <c r="Z1121" s="11">
        <v>0.5</v>
      </c>
      <c r="AA1121" s="11"/>
      <c r="AB1121" s="12">
        <v>45217</v>
      </c>
      <c r="AC1121" s="12">
        <v>47044</v>
      </c>
      <c r="AD1121" s="14" t="s">
        <v>2594</v>
      </c>
      <c r="AE1121" s="42"/>
      <c r="AF1121" s="42"/>
    </row>
    <row r="1122" spans="1:32" ht="90" x14ac:dyDescent="0.25">
      <c r="A1122" s="44"/>
      <c r="B1122" s="42"/>
      <c r="C1122" s="42"/>
      <c r="D1122" s="42"/>
      <c r="E1122" s="42"/>
      <c r="F1122" s="42"/>
      <c r="G1122" s="42"/>
      <c r="H1122" s="42"/>
      <c r="I1122" s="48"/>
      <c r="J1122" s="42"/>
      <c r="K1122" s="42"/>
      <c r="L1122" s="42"/>
      <c r="M1122" s="42"/>
      <c r="N1122" s="53"/>
      <c r="O1122" s="11" t="s">
        <v>2582</v>
      </c>
      <c r="P1122" s="11" t="s">
        <v>1704</v>
      </c>
      <c r="Q1122" s="11" t="s">
        <v>2600</v>
      </c>
      <c r="R1122" s="11">
        <v>0.5</v>
      </c>
      <c r="S1122" s="11"/>
      <c r="T1122" s="12" t="s">
        <v>2579</v>
      </c>
      <c r="U1122" s="12">
        <v>46824</v>
      </c>
      <c r="V1122" s="4" t="s">
        <v>124</v>
      </c>
      <c r="W1122" s="11" t="s">
        <v>2557</v>
      </c>
      <c r="X1122" s="11" t="s">
        <v>409</v>
      </c>
      <c r="Y1122" s="11" t="s">
        <v>2593</v>
      </c>
      <c r="Z1122" s="11">
        <v>0.5</v>
      </c>
      <c r="AA1122" s="11"/>
      <c r="AB1122" s="12">
        <v>45217</v>
      </c>
      <c r="AC1122" s="12">
        <v>47044</v>
      </c>
      <c r="AD1122" s="14" t="s">
        <v>2594</v>
      </c>
      <c r="AE1122" s="42"/>
      <c r="AF1122" s="42"/>
    </row>
    <row r="1123" spans="1:32" ht="23.85" customHeight="1" x14ac:dyDescent="0.25">
      <c r="A1123" s="44">
        <v>372</v>
      </c>
      <c r="B1123" s="42" t="s">
        <v>1660</v>
      </c>
      <c r="C1123" s="42" t="s">
        <v>2573</v>
      </c>
      <c r="D1123" s="42">
        <v>70548</v>
      </c>
      <c r="E1123" s="42" t="s">
        <v>2601</v>
      </c>
      <c r="F1123" s="42" t="s">
        <v>405</v>
      </c>
      <c r="G1123" s="42" t="s">
        <v>32</v>
      </c>
      <c r="H1123" s="42" t="s">
        <v>1675</v>
      </c>
      <c r="I1123" s="48" t="s">
        <v>2602</v>
      </c>
      <c r="J1123" s="42" t="s">
        <v>71</v>
      </c>
      <c r="K1123" s="42"/>
      <c r="L1123" s="42" t="s">
        <v>1665</v>
      </c>
      <c r="M1123" s="52">
        <v>48796</v>
      </c>
      <c r="N1123" s="53" t="s">
        <v>2603</v>
      </c>
      <c r="O1123" s="11" t="s">
        <v>1261</v>
      </c>
      <c r="P1123" s="11" t="s">
        <v>156</v>
      </c>
      <c r="Q1123" s="11" t="s">
        <v>2604</v>
      </c>
      <c r="R1123" s="11">
        <v>0.5</v>
      </c>
      <c r="S1123" s="11"/>
      <c r="T1123" s="12" t="s">
        <v>2450</v>
      </c>
      <c r="U1123" s="12">
        <v>46361</v>
      </c>
      <c r="V1123" s="4" t="s">
        <v>124</v>
      </c>
      <c r="W1123" s="11" t="s">
        <v>2557</v>
      </c>
      <c r="X1123" s="11" t="s">
        <v>409</v>
      </c>
      <c r="Y1123" s="11" t="s">
        <v>2593</v>
      </c>
      <c r="Z1123" s="11">
        <v>0.5</v>
      </c>
      <c r="AA1123" s="11"/>
      <c r="AB1123" s="12">
        <v>45217</v>
      </c>
      <c r="AC1123" s="12">
        <v>47044</v>
      </c>
      <c r="AD1123" s="14" t="s">
        <v>2594</v>
      </c>
      <c r="AE1123" s="42"/>
      <c r="AF1123" s="43" t="s">
        <v>2123</v>
      </c>
    </row>
    <row r="1124" spans="1:32" ht="90" x14ac:dyDescent="0.25">
      <c r="A1124" s="44"/>
      <c r="B1124" s="42"/>
      <c r="C1124" s="42"/>
      <c r="D1124" s="42"/>
      <c r="E1124" s="42"/>
      <c r="F1124" s="42"/>
      <c r="G1124" s="42"/>
      <c r="H1124" s="42"/>
      <c r="I1124" s="48"/>
      <c r="J1124" s="42"/>
      <c r="K1124" s="42"/>
      <c r="L1124" s="42"/>
      <c r="M1124" s="42"/>
      <c r="N1124" s="53"/>
      <c r="O1124" s="11" t="s">
        <v>77</v>
      </c>
      <c r="P1124" s="11" t="s">
        <v>77</v>
      </c>
      <c r="Q1124" s="11" t="s">
        <v>77</v>
      </c>
      <c r="R1124" s="11" t="s">
        <v>77</v>
      </c>
      <c r="S1124" s="11"/>
      <c r="T1124" s="12" t="s">
        <v>77</v>
      </c>
      <c r="U1124" s="12" t="s">
        <v>77</v>
      </c>
      <c r="V1124" s="4"/>
      <c r="W1124" s="11" t="s">
        <v>2557</v>
      </c>
      <c r="X1124" s="11" t="s">
        <v>409</v>
      </c>
      <c r="Y1124" s="11" t="s">
        <v>2593</v>
      </c>
      <c r="Z1124" s="11">
        <v>0.5</v>
      </c>
      <c r="AA1124" s="11"/>
      <c r="AB1124" s="12">
        <v>45217</v>
      </c>
      <c r="AC1124" s="12">
        <v>47044</v>
      </c>
      <c r="AD1124" s="14" t="s">
        <v>2594</v>
      </c>
      <c r="AE1124" s="42"/>
      <c r="AF1124" s="42"/>
    </row>
    <row r="1125" spans="1:32" ht="90" x14ac:dyDescent="0.25">
      <c r="A1125" s="44"/>
      <c r="B1125" s="42"/>
      <c r="C1125" s="42"/>
      <c r="D1125" s="42"/>
      <c r="E1125" s="42"/>
      <c r="F1125" s="42"/>
      <c r="G1125" s="42"/>
      <c r="H1125" s="42"/>
      <c r="I1125" s="48"/>
      <c r="J1125" s="42"/>
      <c r="K1125" s="42"/>
      <c r="L1125" s="42"/>
      <c r="M1125" s="42"/>
      <c r="N1125" s="53"/>
      <c r="O1125" s="11" t="s">
        <v>1672</v>
      </c>
      <c r="P1125" s="11" t="s">
        <v>156</v>
      </c>
      <c r="Q1125" s="11" t="s">
        <v>2605</v>
      </c>
      <c r="R1125" s="11">
        <v>0.5</v>
      </c>
      <c r="S1125" s="11"/>
      <c r="T1125" s="12" t="s">
        <v>2450</v>
      </c>
      <c r="U1125" s="12">
        <v>46361</v>
      </c>
      <c r="V1125" s="4" t="s">
        <v>124</v>
      </c>
      <c r="W1125" s="11" t="s">
        <v>2557</v>
      </c>
      <c r="X1125" s="11" t="s">
        <v>409</v>
      </c>
      <c r="Y1125" s="11" t="s">
        <v>2593</v>
      </c>
      <c r="Z1125" s="11">
        <v>0.5</v>
      </c>
      <c r="AA1125" s="11"/>
      <c r="AB1125" s="12">
        <v>45217</v>
      </c>
      <c r="AC1125" s="12">
        <v>47044</v>
      </c>
      <c r="AD1125" s="14" t="s">
        <v>2594</v>
      </c>
      <c r="AE1125" s="42"/>
      <c r="AF1125" s="42"/>
    </row>
    <row r="1126" spans="1:32" ht="66" customHeight="1" x14ac:dyDescent="0.25">
      <c r="A1126" s="44">
        <v>373</v>
      </c>
      <c r="B1126" s="42" t="s">
        <v>1660</v>
      </c>
      <c r="C1126" s="42" t="s">
        <v>2573</v>
      </c>
      <c r="D1126" s="42">
        <v>70548</v>
      </c>
      <c r="E1126" s="42" t="s">
        <v>2606</v>
      </c>
      <c r="F1126" s="42" t="s">
        <v>405</v>
      </c>
      <c r="G1126" s="42" t="s">
        <v>68</v>
      </c>
      <c r="H1126" s="42" t="s">
        <v>1675</v>
      </c>
      <c r="I1126" s="48" t="s">
        <v>2607</v>
      </c>
      <c r="J1126" s="42" t="s">
        <v>71</v>
      </c>
      <c r="K1126" s="42"/>
      <c r="L1126" s="42" t="s">
        <v>1665</v>
      </c>
      <c r="M1126" s="52">
        <v>48796</v>
      </c>
      <c r="N1126" s="53" t="s">
        <v>2608</v>
      </c>
      <c r="O1126" s="11" t="s">
        <v>990</v>
      </c>
      <c r="P1126" s="11" t="s">
        <v>1704</v>
      </c>
      <c r="Q1126" s="11" t="s">
        <v>2609</v>
      </c>
      <c r="R1126" s="11">
        <v>0.5</v>
      </c>
      <c r="S1126" s="11"/>
      <c r="T1126" s="12" t="s">
        <v>820</v>
      </c>
      <c r="U1126" s="12">
        <v>46380</v>
      </c>
      <c r="V1126" s="4" t="s">
        <v>124</v>
      </c>
      <c r="W1126" s="11" t="s">
        <v>77</v>
      </c>
      <c r="X1126" s="11" t="s">
        <v>77</v>
      </c>
      <c r="Y1126" s="11" t="s">
        <v>77</v>
      </c>
      <c r="Z1126" s="11">
        <v>0</v>
      </c>
      <c r="AA1126" s="11"/>
      <c r="AB1126" s="12" t="s">
        <v>77</v>
      </c>
      <c r="AC1126" s="12" t="s">
        <v>77</v>
      </c>
      <c r="AD1126" s="12"/>
      <c r="AE1126" s="42"/>
      <c r="AF1126" s="43" t="s">
        <v>995</v>
      </c>
    </row>
    <row r="1127" spans="1:32" ht="25.5" x14ac:dyDescent="0.25">
      <c r="A1127" s="44"/>
      <c r="B1127" s="42"/>
      <c r="C1127" s="42"/>
      <c r="D1127" s="42"/>
      <c r="E1127" s="42"/>
      <c r="F1127" s="42"/>
      <c r="G1127" s="42"/>
      <c r="H1127" s="42"/>
      <c r="I1127" s="48"/>
      <c r="J1127" s="42"/>
      <c r="K1127" s="42"/>
      <c r="L1127" s="42"/>
      <c r="M1127" s="42"/>
      <c r="N1127" s="53"/>
      <c r="O1127" s="11" t="s">
        <v>990</v>
      </c>
      <c r="P1127" s="11" t="s">
        <v>1704</v>
      </c>
      <c r="Q1127" s="11" t="s">
        <v>2610</v>
      </c>
      <c r="R1127" s="11">
        <v>0.5</v>
      </c>
      <c r="S1127" s="11"/>
      <c r="T1127" s="12" t="s">
        <v>820</v>
      </c>
      <c r="U1127" s="12">
        <v>46380</v>
      </c>
      <c r="V1127" s="4" t="s">
        <v>124</v>
      </c>
      <c r="W1127" s="11" t="s">
        <v>77</v>
      </c>
      <c r="X1127" s="11" t="s">
        <v>77</v>
      </c>
      <c r="Y1127" s="11" t="s">
        <v>77</v>
      </c>
      <c r="Z1127" s="11" t="s">
        <v>77</v>
      </c>
      <c r="AA1127" s="11"/>
      <c r="AB1127" s="12" t="s">
        <v>77</v>
      </c>
      <c r="AC1127" s="12" t="s">
        <v>77</v>
      </c>
      <c r="AD1127" s="12"/>
      <c r="AE1127" s="42"/>
      <c r="AF1127" s="42"/>
    </row>
    <row r="1128" spans="1:32" x14ac:dyDescent="0.25">
      <c r="A1128" s="44"/>
      <c r="B1128" s="42"/>
      <c r="C1128" s="42"/>
      <c r="D1128" s="42"/>
      <c r="E1128" s="42"/>
      <c r="F1128" s="42"/>
      <c r="G1128" s="42"/>
      <c r="H1128" s="42"/>
      <c r="I1128" s="48"/>
      <c r="J1128" s="42"/>
      <c r="K1128" s="42"/>
      <c r="L1128" s="42"/>
      <c r="M1128" s="42"/>
      <c r="N1128" s="53"/>
      <c r="O1128" s="11" t="s">
        <v>997</v>
      </c>
      <c r="P1128" s="11" t="s">
        <v>1704</v>
      </c>
      <c r="Q1128" s="11" t="s">
        <v>2611</v>
      </c>
      <c r="R1128" s="11">
        <v>0.5</v>
      </c>
      <c r="S1128" s="11"/>
      <c r="T1128" s="12" t="s">
        <v>820</v>
      </c>
      <c r="U1128" s="12">
        <v>46380</v>
      </c>
      <c r="V1128" s="4" t="s">
        <v>124</v>
      </c>
      <c r="W1128" s="11" t="s">
        <v>77</v>
      </c>
      <c r="X1128" s="11" t="s">
        <v>77</v>
      </c>
      <c r="Y1128" s="11" t="s">
        <v>77</v>
      </c>
      <c r="Z1128" s="11" t="s">
        <v>77</v>
      </c>
      <c r="AA1128" s="11"/>
      <c r="AB1128" s="12" t="s">
        <v>77</v>
      </c>
      <c r="AC1128" s="12" t="s">
        <v>77</v>
      </c>
      <c r="AD1128" s="12"/>
      <c r="AE1128" s="42"/>
      <c r="AF1128" s="42"/>
    </row>
    <row r="1129" spans="1:32" ht="12.75" customHeight="1" x14ac:dyDescent="0.25">
      <c r="A1129" s="27"/>
    </row>
    <row r="1131" spans="1:32" ht="15.75" x14ac:dyDescent="0.25">
      <c r="A1131" s="28" t="s">
        <v>2612</v>
      </c>
      <c r="B1131" s="3"/>
    </row>
    <row r="1132" spans="1:32" ht="15.75" customHeight="1" x14ac:dyDescent="0.25">
      <c r="A1132" s="29" t="s">
        <v>2613</v>
      </c>
      <c r="B1132" s="28" t="s">
        <v>2614</v>
      </c>
    </row>
    <row r="1133" spans="1:32" ht="15.75" x14ac:dyDescent="0.25">
      <c r="A1133" s="30" t="s">
        <v>2615</v>
      </c>
      <c r="B1133" s="28" t="s">
        <v>2616</v>
      </c>
      <c r="E1133" s="27" t="s">
        <v>2617</v>
      </c>
    </row>
    <row r="1134" spans="1:32" ht="15.75" x14ac:dyDescent="0.25">
      <c r="A1134" s="3"/>
      <c r="B1134" s="28"/>
      <c r="E1134" s="27" t="s">
        <v>2618</v>
      </c>
    </row>
    <row r="1135" spans="1:32" ht="15.75" customHeight="1" x14ac:dyDescent="0.25">
      <c r="A1135" s="3"/>
      <c r="B1135" s="28"/>
      <c r="E1135" s="27" t="s">
        <v>2619</v>
      </c>
    </row>
    <row r="1136" spans="1:32" ht="15.75" x14ac:dyDescent="0.25">
      <c r="A1136" s="3"/>
      <c r="B1136" s="28"/>
      <c r="E1136" s="27" t="s">
        <v>2620</v>
      </c>
    </row>
    <row r="1137" spans="1:5" ht="102" x14ac:dyDescent="0.25">
      <c r="A1137" s="3"/>
      <c r="B1137" s="28"/>
      <c r="E1137" s="31" t="s">
        <v>2621</v>
      </c>
    </row>
    <row r="1138" spans="1:5" ht="15.75" x14ac:dyDescent="0.25">
      <c r="A1138" s="3"/>
      <c r="B1138" s="28"/>
      <c r="E1138" s="27" t="s">
        <v>2622</v>
      </c>
    </row>
    <row r="1139" spans="1:5" ht="15.75" x14ac:dyDescent="0.25">
      <c r="A1139" s="3" t="s">
        <v>2623</v>
      </c>
      <c r="B1139" s="28" t="s">
        <v>2624</v>
      </c>
    </row>
  </sheetData>
  <autoFilter ref="A9:BT1128"/>
  <mergeCells count="5991">
    <mergeCell ref="A1126:A1128"/>
    <mergeCell ref="B1126:B1128"/>
    <mergeCell ref="C1126:C1128"/>
    <mergeCell ref="D1126:D1128"/>
    <mergeCell ref="E1126:E1128"/>
    <mergeCell ref="F1126:F1128"/>
    <mergeCell ref="G1126:G1128"/>
    <mergeCell ref="H1126:H1128"/>
    <mergeCell ref="I1126:I1128"/>
    <mergeCell ref="J1126:J1128"/>
    <mergeCell ref="K1126:K1128"/>
    <mergeCell ref="L1126:L1128"/>
    <mergeCell ref="M1126:M1128"/>
    <mergeCell ref="N1126:N1128"/>
    <mergeCell ref="AE1126:AE1128"/>
    <mergeCell ref="AF1126:AF1128"/>
    <mergeCell ref="A1120:A1122"/>
    <mergeCell ref="B1120:B1122"/>
    <mergeCell ref="C1120:C1122"/>
    <mergeCell ref="D1120:D1122"/>
    <mergeCell ref="E1120:E1122"/>
    <mergeCell ref="F1120:F1122"/>
    <mergeCell ref="G1120:G1122"/>
    <mergeCell ref="H1120:H1122"/>
    <mergeCell ref="I1120:I1122"/>
    <mergeCell ref="J1120:J1122"/>
    <mergeCell ref="K1120:K1122"/>
    <mergeCell ref="L1120:L1122"/>
    <mergeCell ref="M1120:M1122"/>
    <mergeCell ref="N1120:N1122"/>
    <mergeCell ref="AE1120:AE1122"/>
    <mergeCell ref="AF1120:AF1122"/>
    <mergeCell ref="A1123:A1125"/>
    <mergeCell ref="B1123:B1125"/>
    <mergeCell ref="C1123:C1125"/>
    <mergeCell ref="D1123:D1125"/>
    <mergeCell ref="E1123:E1125"/>
    <mergeCell ref="F1123:F1125"/>
    <mergeCell ref="G1123:G1125"/>
    <mergeCell ref="H1123:H1125"/>
    <mergeCell ref="I1123:I1125"/>
    <mergeCell ref="J1123:J1125"/>
    <mergeCell ref="K1123:K1125"/>
    <mergeCell ref="L1123:L1125"/>
    <mergeCell ref="M1123:M1125"/>
    <mergeCell ref="N1123:N1125"/>
    <mergeCell ref="AE1123:AE1125"/>
    <mergeCell ref="AF1123:AF1125"/>
    <mergeCell ref="A1114:A1116"/>
    <mergeCell ref="B1114:B1116"/>
    <mergeCell ref="C1114:C1116"/>
    <mergeCell ref="D1114:D1116"/>
    <mergeCell ref="E1114:E1116"/>
    <mergeCell ref="F1114:F1116"/>
    <mergeCell ref="G1114:G1116"/>
    <mergeCell ref="H1114:H1116"/>
    <mergeCell ref="I1114:I1116"/>
    <mergeCell ref="J1114:J1116"/>
    <mergeCell ref="K1114:K1116"/>
    <mergeCell ref="L1114:L1116"/>
    <mergeCell ref="M1114:M1116"/>
    <mergeCell ref="N1114:N1116"/>
    <mergeCell ref="AE1114:AE1116"/>
    <mergeCell ref="AF1114:AF1116"/>
    <mergeCell ref="A1117:A1119"/>
    <mergeCell ref="B1117:B1119"/>
    <mergeCell ref="C1117:C1119"/>
    <mergeCell ref="D1117:D1119"/>
    <mergeCell ref="E1117:E1119"/>
    <mergeCell ref="F1117:F1119"/>
    <mergeCell ref="G1117:G1119"/>
    <mergeCell ref="H1117:H1119"/>
    <mergeCell ref="I1117:I1119"/>
    <mergeCell ref="J1117:J1119"/>
    <mergeCell ref="K1117:K1119"/>
    <mergeCell ref="L1117:L1119"/>
    <mergeCell ref="M1117:M1119"/>
    <mergeCell ref="N1117:N1119"/>
    <mergeCell ref="AE1117:AE1119"/>
    <mergeCell ref="AF1117:AF1119"/>
    <mergeCell ref="A1108:A1110"/>
    <mergeCell ref="B1108:B1110"/>
    <mergeCell ref="C1108:C1110"/>
    <mergeCell ref="D1108:D1110"/>
    <mergeCell ref="E1108:E1110"/>
    <mergeCell ref="F1108:F1110"/>
    <mergeCell ref="G1108:G1110"/>
    <mergeCell ref="H1108:H1110"/>
    <mergeCell ref="I1108:I1110"/>
    <mergeCell ref="J1108:J1110"/>
    <mergeCell ref="K1108:K1110"/>
    <mergeCell ref="L1108:L1110"/>
    <mergeCell ref="M1108:M1110"/>
    <mergeCell ref="N1108:N1110"/>
    <mergeCell ref="AE1108:AE1110"/>
    <mergeCell ref="AF1108:AF1110"/>
    <mergeCell ref="A1111:A1113"/>
    <mergeCell ref="B1111:B1113"/>
    <mergeCell ref="C1111:C1113"/>
    <mergeCell ref="D1111:D1113"/>
    <mergeCell ref="E1111:E1113"/>
    <mergeCell ref="F1111:F1113"/>
    <mergeCell ref="G1111:G1113"/>
    <mergeCell ref="H1111:H1113"/>
    <mergeCell ref="I1111:I1113"/>
    <mergeCell ref="J1111:J1113"/>
    <mergeCell ref="K1111:K1113"/>
    <mergeCell ref="L1111:L1113"/>
    <mergeCell ref="M1111:M1113"/>
    <mergeCell ref="N1111:N1113"/>
    <mergeCell ref="AE1111:AE1113"/>
    <mergeCell ref="AF1111:AF1113"/>
    <mergeCell ref="A1102:A1104"/>
    <mergeCell ref="B1102:B1104"/>
    <mergeCell ref="C1102:C1104"/>
    <mergeCell ref="D1102:D1104"/>
    <mergeCell ref="E1102:E1104"/>
    <mergeCell ref="F1102:F1104"/>
    <mergeCell ref="G1102:G1104"/>
    <mergeCell ref="H1102:H1104"/>
    <mergeCell ref="I1102:I1104"/>
    <mergeCell ref="J1102:J1104"/>
    <mergeCell ref="K1102:K1104"/>
    <mergeCell ref="L1102:L1104"/>
    <mergeCell ref="M1102:M1104"/>
    <mergeCell ref="N1102:N1104"/>
    <mergeCell ref="AE1102:AE1104"/>
    <mergeCell ref="AF1102:AF1104"/>
    <mergeCell ref="A1105:A1107"/>
    <mergeCell ref="B1105:B1107"/>
    <mergeCell ref="C1105:C1107"/>
    <mergeCell ref="D1105:D1107"/>
    <mergeCell ref="E1105:E1107"/>
    <mergeCell ref="F1105:F1107"/>
    <mergeCell ref="G1105:G1107"/>
    <mergeCell ref="H1105:H1107"/>
    <mergeCell ref="I1105:I1107"/>
    <mergeCell ref="J1105:J1107"/>
    <mergeCell ref="K1105:K1107"/>
    <mergeCell ref="L1105:L1107"/>
    <mergeCell ref="M1105:M1107"/>
    <mergeCell ref="N1105:N1107"/>
    <mergeCell ref="AE1105:AE1107"/>
    <mergeCell ref="AF1105:AF1107"/>
    <mergeCell ref="A1096:A1098"/>
    <mergeCell ref="B1096:B1098"/>
    <mergeCell ref="C1096:C1098"/>
    <mergeCell ref="D1096:D1098"/>
    <mergeCell ref="E1096:E1098"/>
    <mergeCell ref="F1096:F1098"/>
    <mergeCell ref="G1096:G1098"/>
    <mergeCell ref="H1096:H1098"/>
    <mergeCell ref="I1096:I1098"/>
    <mergeCell ref="J1096:J1098"/>
    <mergeCell ref="K1096:K1098"/>
    <mergeCell ref="L1096:L1098"/>
    <mergeCell ref="M1096:M1098"/>
    <mergeCell ref="N1096:N1098"/>
    <mergeCell ref="AE1096:AE1098"/>
    <mergeCell ref="AF1096:AF1098"/>
    <mergeCell ref="A1099:A1101"/>
    <mergeCell ref="B1099:B1101"/>
    <mergeCell ref="C1099:C1101"/>
    <mergeCell ref="D1099:D1101"/>
    <mergeCell ref="E1099:E1101"/>
    <mergeCell ref="F1099:F1101"/>
    <mergeCell ref="G1099:G1101"/>
    <mergeCell ref="H1099:H1101"/>
    <mergeCell ref="I1099:I1101"/>
    <mergeCell ref="J1099:J1101"/>
    <mergeCell ref="K1099:K1101"/>
    <mergeCell ref="L1099:L1101"/>
    <mergeCell ref="M1099:M1101"/>
    <mergeCell ref="N1099:N1101"/>
    <mergeCell ref="AE1099:AE1101"/>
    <mergeCell ref="AF1099:AF1101"/>
    <mergeCell ref="A1090:A1092"/>
    <mergeCell ref="B1090:B1092"/>
    <mergeCell ref="C1090:C1092"/>
    <mergeCell ref="D1090:D1092"/>
    <mergeCell ref="E1090:E1092"/>
    <mergeCell ref="F1090:F1092"/>
    <mergeCell ref="G1090:G1092"/>
    <mergeCell ref="H1090:H1092"/>
    <mergeCell ref="I1090:I1092"/>
    <mergeCell ref="J1090:J1092"/>
    <mergeCell ref="K1090:K1092"/>
    <mergeCell ref="L1090:L1092"/>
    <mergeCell ref="M1090:M1092"/>
    <mergeCell ref="N1090:N1092"/>
    <mergeCell ref="AE1090:AE1092"/>
    <mergeCell ref="AF1090:AF1092"/>
    <mergeCell ref="A1093:A1095"/>
    <mergeCell ref="B1093:B1095"/>
    <mergeCell ref="C1093:C1095"/>
    <mergeCell ref="D1093:D1095"/>
    <mergeCell ref="E1093:E1095"/>
    <mergeCell ref="F1093:F1095"/>
    <mergeCell ref="G1093:G1095"/>
    <mergeCell ref="H1093:H1095"/>
    <mergeCell ref="I1093:I1095"/>
    <mergeCell ref="J1093:J1095"/>
    <mergeCell ref="K1093:K1095"/>
    <mergeCell ref="L1093:L1095"/>
    <mergeCell ref="M1093:M1095"/>
    <mergeCell ref="N1093:N1095"/>
    <mergeCell ref="AE1093:AE1095"/>
    <mergeCell ref="AF1093:AF1095"/>
    <mergeCell ref="A1084:A1086"/>
    <mergeCell ref="B1084:B1086"/>
    <mergeCell ref="C1084:C1086"/>
    <mergeCell ref="D1084:D1086"/>
    <mergeCell ref="E1084:E1086"/>
    <mergeCell ref="F1084:F1086"/>
    <mergeCell ref="G1084:G1086"/>
    <mergeCell ref="H1084:H1086"/>
    <mergeCell ref="I1084:I1086"/>
    <mergeCell ref="J1084:J1086"/>
    <mergeCell ref="K1084:K1086"/>
    <mergeCell ref="L1084:L1086"/>
    <mergeCell ref="M1084:M1086"/>
    <mergeCell ref="N1084:N1086"/>
    <mergeCell ref="AE1084:AE1086"/>
    <mergeCell ref="AF1084:AF1086"/>
    <mergeCell ref="A1087:A1089"/>
    <mergeCell ref="B1087:B1089"/>
    <mergeCell ref="C1087:C1089"/>
    <mergeCell ref="D1087:D1089"/>
    <mergeCell ref="E1087:E1089"/>
    <mergeCell ref="F1087:F1089"/>
    <mergeCell ref="G1087:G1089"/>
    <mergeCell ref="H1087:H1089"/>
    <mergeCell ref="I1087:I1089"/>
    <mergeCell ref="J1087:J1089"/>
    <mergeCell ref="K1087:K1089"/>
    <mergeCell ref="L1087:L1089"/>
    <mergeCell ref="M1087:M1089"/>
    <mergeCell ref="N1087:N1089"/>
    <mergeCell ref="AE1087:AE1089"/>
    <mergeCell ref="AF1087:AF1089"/>
    <mergeCell ref="A1078:A1080"/>
    <mergeCell ref="B1078:B1080"/>
    <mergeCell ref="C1078:C1080"/>
    <mergeCell ref="D1078:D1080"/>
    <mergeCell ref="E1078:E1080"/>
    <mergeCell ref="F1078:F1080"/>
    <mergeCell ref="G1078:G1080"/>
    <mergeCell ref="H1078:H1080"/>
    <mergeCell ref="I1078:I1080"/>
    <mergeCell ref="J1078:J1080"/>
    <mergeCell ref="K1078:K1080"/>
    <mergeCell ref="L1078:L1080"/>
    <mergeCell ref="M1078:M1080"/>
    <mergeCell ref="N1078:N1080"/>
    <mergeCell ref="AE1078:AE1080"/>
    <mergeCell ref="AF1078:AF1080"/>
    <mergeCell ref="A1081:A1083"/>
    <mergeCell ref="B1081:B1083"/>
    <mergeCell ref="C1081:C1083"/>
    <mergeCell ref="D1081:D1083"/>
    <mergeCell ref="E1081:E1083"/>
    <mergeCell ref="F1081:F1083"/>
    <mergeCell ref="G1081:G1083"/>
    <mergeCell ref="H1081:H1083"/>
    <mergeCell ref="I1081:I1083"/>
    <mergeCell ref="J1081:J1083"/>
    <mergeCell ref="K1081:K1083"/>
    <mergeCell ref="L1081:L1083"/>
    <mergeCell ref="M1081:M1083"/>
    <mergeCell ref="N1081:N1083"/>
    <mergeCell ref="AE1081:AE1083"/>
    <mergeCell ref="AF1081:AF1083"/>
    <mergeCell ref="A1072:A1074"/>
    <mergeCell ref="B1072:B1074"/>
    <mergeCell ref="C1072:C1074"/>
    <mergeCell ref="D1072:D1074"/>
    <mergeCell ref="E1072:E1074"/>
    <mergeCell ref="F1072:F1074"/>
    <mergeCell ref="G1072:G1074"/>
    <mergeCell ref="H1072:H1074"/>
    <mergeCell ref="I1072:I1074"/>
    <mergeCell ref="J1072:J1074"/>
    <mergeCell ref="K1072:K1074"/>
    <mergeCell ref="L1072:L1074"/>
    <mergeCell ref="M1072:M1074"/>
    <mergeCell ref="N1072:N1074"/>
    <mergeCell ref="AE1072:AE1074"/>
    <mergeCell ref="AF1072:AF1074"/>
    <mergeCell ref="A1075:A1077"/>
    <mergeCell ref="B1075:B1077"/>
    <mergeCell ref="C1075:C1077"/>
    <mergeCell ref="D1075:D1077"/>
    <mergeCell ref="E1075:E1077"/>
    <mergeCell ref="F1075:F1077"/>
    <mergeCell ref="G1075:G1077"/>
    <mergeCell ref="H1075:H1077"/>
    <mergeCell ref="I1075:I1077"/>
    <mergeCell ref="J1075:J1077"/>
    <mergeCell ref="K1075:K1077"/>
    <mergeCell ref="L1075:L1077"/>
    <mergeCell ref="M1075:M1077"/>
    <mergeCell ref="N1075:N1077"/>
    <mergeCell ref="AE1075:AE1077"/>
    <mergeCell ref="AF1075:AF1077"/>
    <mergeCell ref="A1066:A1068"/>
    <mergeCell ref="B1066:B1068"/>
    <mergeCell ref="C1066:C1068"/>
    <mergeCell ref="D1066:D1068"/>
    <mergeCell ref="E1066:E1068"/>
    <mergeCell ref="F1066:F1068"/>
    <mergeCell ref="G1066:G1068"/>
    <mergeCell ref="H1066:H1068"/>
    <mergeCell ref="I1066:I1068"/>
    <mergeCell ref="J1066:J1068"/>
    <mergeCell ref="K1066:K1068"/>
    <mergeCell ref="L1066:L1068"/>
    <mergeCell ref="M1066:M1068"/>
    <mergeCell ref="N1066:N1068"/>
    <mergeCell ref="AE1066:AE1068"/>
    <mergeCell ref="AF1066:AF1068"/>
    <mergeCell ref="A1069:A1071"/>
    <mergeCell ref="B1069:B1071"/>
    <mergeCell ref="C1069:C1071"/>
    <mergeCell ref="D1069:D1071"/>
    <mergeCell ref="E1069:E1071"/>
    <mergeCell ref="F1069:F1071"/>
    <mergeCell ref="G1069:G1071"/>
    <mergeCell ref="H1069:H1071"/>
    <mergeCell ref="I1069:I1071"/>
    <mergeCell ref="J1069:J1071"/>
    <mergeCell ref="K1069:K1071"/>
    <mergeCell ref="L1069:L1071"/>
    <mergeCell ref="M1069:M1071"/>
    <mergeCell ref="N1069:N1071"/>
    <mergeCell ref="AE1069:AE1071"/>
    <mergeCell ref="AF1069:AF1071"/>
    <mergeCell ref="A1060:A1062"/>
    <mergeCell ref="B1060:B1062"/>
    <mergeCell ref="C1060:C1062"/>
    <mergeCell ref="D1060:D1062"/>
    <mergeCell ref="E1060:E1062"/>
    <mergeCell ref="F1060:F1062"/>
    <mergeCell ref="G1060:G1062"/>
    <mergeCell ref="H1060:H1062"/>
    <mergeCell ref="I1060:I1062"/>
    <mergeCell ref="J1060:J1062"/>
    <mergeCell ref="K1060:K1062"/>
    <mergeCell ref="L1060:L1062"/>
    <mergeCell ref="M1060:M1062"/>
    <mergeCell ref="N1060:N1062"/>
    <mergeCell ref="AE1060:AE1062"/>
    <mergeCell ref="AF1060:AF1062"/>
    <mergeCell ref="A1063:A1065"/>
    <mergeCell ref="B1063:B1065"/>
    <mergeCell ref="C1063:C1065"/>
    <mergeCell ref="D1063:D1065"/>
    <mergeCell ref="E1063:E1065"/>
    <mergeCell ref="F1063:F1065"/>
    <mergeCell ref="G1063:G1065"/>
    <mergeCell ref="H1063:H1065"/>
    <mergeCell ref="I1063:I1065"/>
    <mergeCell ref="J1063:J1065"/>
    <mergeCell ref="K1063:K1065"/>
    <mergeCell ref="L1063:L1065"/>
    <mergeCell ref="M1063:M1065"/>
    <mergeCell ref="N1063:N1065"/>
    <mergeCell ref="AE1063:AE1065"/>
    <mergeCell ref="AF1063:AF1065"/>
    <mergeCell ref="A1054:A1056"/>
    <mergeCell ref="B1054:B1056"/>
    <mergeCell ref="C1054:C1056"/>
    <mergeCell ref="D1054:D1056"/>
    <mergeCell ref="E1054:E1056"/>
    <mergeCell ref="F1054:F1056"/>
    <mergeCell ref="G1054:G1056"/>
    <mergeCell ref="H1054:H1056"/>
    <mergeCell ref="I1054:I1056"/>
    <mergeCell ref="J1054:J1056"/>
    <mergeCell ref="K1054:K1056"/>
    <mergeCell ref="L1054:L1056"/>
    <mergeCell ref="M1054:M1056"/>
    <mergeCell ref="N1054:N1056"/>
    <mergeCell ref="AE1054:AE1056"/>
    <mergeCell ref="AF1054:AF1056"/>
    <mergeCell ref="A1057:A1059"/>
    <mergeCell ref="B1057:B1059"/>
    <mergeCell ref="C1057:C1059"/>
    <mergeCell ref="D1057:D1059"/>
    <mergeCell ref="E1057:E1059"/>
    <mergeCell ref="F1057:F1059"/>
    <mergeCell ref="G1057:G1059"/>
    <mergeCell ref="H1057:H1059"/>
    <mergeCell ref="I1057:I1059"/>
    <mergeCell ref="J1057:J1059"/>
    <mergeCell ref="K1057:K1059"/>
    <mergeCell ref="L1057:L1059"/>
    <mergeCell ref="M1057:M1059"/>
    <mergeCell ref="N1057:N1059"/>
    <mergeCell ref="AE1057:AE1059"/>
    <mergeCell ref="AF1057:AF1059"/>
    <mergeCell ref="A1048:A1050"/>
    <mergeCell ref="B1048:B1050"/>
    <mergeCell ref="C1048:C1050"/>
    <mergeCell ref="D1048:D1050"/>
    <mergeCell ref="E1048:E1050"/>
    <mergeCell ref="F1048:F1050"/>
    <mergeCell ref="G1048:G1050"/>
    <mergeCell ref="H1048:H1050"/>
    <mergeCell ref="I1048:I1050"/>
    <mergeCell ref="J1048:J1050"/>
    <mergeCell ref="K1048:K1050"/>
    <mergeCell ref="L1048:L1050"/>
    <mergeCell ref="M1048:M1050"/>
    <mergeCell ref="N1048:N1050"/>
    <mergeCell ref="AE1048:AE1050"/>
    <mergeCell ref="AF1048:AF1050"/>
    <mergeCell ref="A1051:A1053"/>
    <mergeCell ref="B1051:B1053"/>
    <mergeCell ref="C1051:C1053"/>
    <mergeCell ref="D1051:D1053"/>
    <mergeCell ref="E1051:E1053"/>
    <mergeCell ref="F1051:F1053"/>
    <mergeCell ref="G1051:G1053"/>
    <mergeCell ref="H1051:H1053"/>
    <mergeCell ref="I1051:I1053"/>
    <mergeCell ref="J1051:J1053"/>
    <mergeCell ref="K1051:K1053"/>
    <mergeCell ref="L1051:L1053"/>
    <mergeCell ref="M1051:M1053"/>
    <mergeCell ref="N1051:N1053"/>
    <mergeCell ref="AE1051:AE1053"/>
    <mergeCell ref="AF1051:AF1053"/>
    <mergeCell ref="A1042:A1044"/>
    <mergeCell ref="B1042:B1044"/>
    <mergeCell ref="C1042:C1044"/>
    <mergeCell ref="D1042:D1044"/>
    <mergeCell ref="E1042:E1044"/>
    <mergeCell ref="F1042:F1044"/>
    <mergeCell ref="G1042:G1044"/>
    <mergeCell ref="H1042:H1044"/>
    <mergeCell ref="I1042:I1044"/>
    <mergeCell ref="J1042:J1044"/>
    <mergeCell ref="K1042:K1044"/>
    <mergeCell ref="L1042:L1044"/>
    <mergeCell ref="M1042:M1044"/>
    <mergeCell ref="N1042:N1044"/>
    <mergeCell ref="AE1042:AE1044"/>
    <mergeCell ref="AF1042:AF1044"/>
    <mergeCell ref="A1045:A1047"/>
    <mergeCell ref="B1045:B1047"/>
    <mergeCell ref="C1045:C1047"/>
    <mergeCell ref="D1045:D1047"/>
    <mergeCell ref="E1045:E1047"/>
    <mergeCell ref="F1045:F1047"/>
    <mergeCell ref="G1045:G1047"/>
    <mergeCell ref="H1045:H1047"/>
    <mergeCell ref="I1045:I1047"/>
    <mergeCell ref="J1045:J1047"/>
    <mergeCell ref="K1045:K1047"/>
    <mergeCell ref="L1045:L1047"/>
    <mergeCell ref="M1045:M1047"/>
    <mergeCell ref="N1045:N1047"/>
    <mergeCell ref="AE1045:AE1047"/>
    <mergeCell ref="AF1045:AF1047"/>
    <mergeCell ref="A1036:A1038"/>
    <mergeCell ref="B1036:B1038"/>
    <mergeCell ref="C1036:C1038"/>
    <mergeCell ref="D1036:D1038"/>
    <mergeCell ref="E1036:E1038"/>
    <mergeCell ref="F1036:F1038"/>
    <mergeCell ref="G1036:G1038"/>
    <mergeCell ref="H1036:H1038"/>
    <mergeCell ref="I1036:I1038"/>
    <mergeCell ref="J1036:J1038"/>
    <mergeCell ref="K1036:K1038"/>
    <mergeCell ref="L1036:L1038"/>
    <mergeCell ref="M1036:M1038"/>
    <mergeCell ref="N1036:N1038"/>
    <mergeCell ref="AE1036:AE1038"/>
    <mergeCell ref="AF1036:AF1038"/>
    <mergeCell ref="A1039:A1041"/>
    <mergeCell ref="B1039:B1041"/>
    <mergeCell ref="C1039:C1041"/>
    <mergeCell ref="D1039:D1041"/>
    <mergeCell ref="E1039:E1041"/>
    <mergeCell ref="F1039:F1041"/>
    <mergeCell ref="G1039:G1041"/>
    <mergeCell ref="H1039:H1041"/>
    <mergeCell ref="I1039:I1041"/>
    <mergeCell ref="J1039:J1041"/>
    <mergeCell ref="K1039:K1041"/>
    <mergeCell ref="L1039:L1041"/>
    <mergeCell ref="M1039:M1041"/>
    <mergeCell ref="N1039:N1041"/>
    <mergeCell ref="AE1039:AE1041"/>
    <mergeCell ref="AF1039:AF1041"/>
    <mergeCell ref="A1030:A1032"/>
    <mergeCell ref="B1030:B1032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30:L1032"/>
    <mergeCell ref="M1030:M1032"/>
    <mergeCell ref="N1030:N1032"/>
    <mergeCell ref="AE1030:AE1032"/>
    <mergeCell ref="AF1030:AF1032"/>
    <mergeCell ref="A1033:A1035"/>
    <mergeCell ref="B1033:B1035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3:L1035"/>
    <mergeCell ref="M1033:M1035"/>
    <mergeCell ref="N1033:N1035"/>
    <mergeCell ref="AE1033:AE1035"/>
    <mergeCell ref="AF1033:AF1035"/>
    <mergeCell ref="A1024:A1026"/>
    <mergeCell ref="B1024:B1026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4:L1026"/>
    <mergeCell ref="M1024:M1026"/>
    <mergeCell ref="N1024:N1026"/>
    <mergeCell ref="AE1024:AE1026"/>
    <mergeCell ref="AF1024:AF1026"/>
    <mergeCell ref="A1027:A1029"/>
    <mergeCell ref="B1027:B1029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7:L1029"/>
    <mergeCell ref="M1027:M1029"/>
    <mergeCell ref="N1027:N1029"/>
    <mergeCell ref="AE1027:AE1029"/>
    <mergeCell ref="AF1027:AF1029"/>
    <mergeCell ref="A1018:A1020"/>
    <mergeCell ref="B1018:B1020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8:L1020"/>
    <mergeCell ref="M1018:M1020"/>
    <mergeCell ref="N1018:N1020"/>
    <mergeCell ref="AE1018:AE1020"/>
    <mergeCell ref="AF1018:AF1020"/>
    <mergeCell ref="A1021:A1023"/>
    <mergeCell ref="B1021:B1023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21:L1023"/>
    <mergeCell ref="M1021:M1023"/>
    <mergeCell ref="N1021:N1023"/>
    <mergeCell ref="AE1021:AE1023"/>
    <mergeCell ref="AF1021:AF1023"/>
    <mergeCell ref="A1012:A1014"/>
    <mergeCell ref="B1012:B1014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12:L1014"/>
    <mergeCell ref="M1012:M1014"/>
    <mergeCell ref="N1012:N1014"/>
    <mergeCell ref="AE1012:AE1014"/>
    <mergeCell ref="AF1012:AF1014"/>
    <mergeCell ref="A1015:A1017"/>
    <mergeCell ref="B1015:B1017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5:L1017"/>
    <mergeCell ref="M1015:M1017"/>
    <mergeCell ref="N1015:N1017"/>
    <mergeCell ref="AE1015:AE1017"/>
    <mergeCell ref="AF1015:AF1017"/>
    <mergeCell ref="A1006:A1008"/>
    <mergeCell ref="B1006:B1008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6:L1008"/>
    <mergeCell ref="M1006:M1008"/>
    <mergeCell ref="N1006:N1008"/>
    <mergeCell ref="AE1006:AE1008"/>
    <mergeCell ref="AF1006:AF1008"/>
    <mergeCell ref="A1009:A1011"/>
    <mergeCell ref="B1009:B1011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9:L1011"/>
    <mergeCell ref="M1009:M1011"/>
    <mergeCell ref="N1009:N1011"/>
    <mergeCell ref="AE1009:AE1011"/>
    <mergeCell ref="AF1009:AF1011"/>
    <mergeCell ref="A1000:A1002"/>
    <mergeCell ref="B1000:B1002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K1000:K1002"/>
    <mergeCell ref="L1000:L1002"/>
    <mergeCell ref="M1000:M1002"/>
    <mergeCell ref="N1000:N1002"/>
    <mergeCell ref="AE1000:AE1002"/>
    <mergeCell ref="AF1000:AF1002"/>
    <mergeCell ref="A1003:A1005"/>
    <mergeCell ref="B1003:B1005"/>
    <mergeCell ref="C1003:C1005"/>
    <mergeCell ref="D1003:D1005"/>
    <mergeCell ref="E1003:E1005"/>
    <mergeCell ref="F1003:F1005"/>
    <mergeCell ref="G1003:G1005"/>
    <mergeCell ref="H1003:H1005"/>
    <mergeCell ref="I1003:I1005"/>
    <mergeCell ref="J1003:J1005"/>
    <mergeCell ref="K1003:K1005"/>
    <mergeCell ref="L1003:L1005"/>
    <mergeCell ref="M1003:M1005"/>
    <mergeCell ref="N1003:N1005"/>
    <mergeCell ref="AE1003:AE1005"/>
    <mergeCell ref="AF1003:AF1005"/>
    <mergeCell ref="A994:A996"/>
    <mergeCell ref="B994:B996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4:L996"/>
    <mergeCell ref="M994:M996"/>
    <mergeCell ref="N994:N996"/>
    <mergeCell ref="AE994:AE996"/>
    <mergeCell ref="AF994:AF996"/>
    <mergeCell ref="A997:A999"/>
    <mergeCell ref="B997:B999"/>
    <mergeCell ref="C997:C999"/>
    <mergeCell ref="D997:D999"/>
    <mergeCell ref="E997:E999"/>
    <mergeCell ref="F997:F999"/>
    <mergeCell ref="G997:G999"/>
    <mergeCell ref="H997:H999"/>
    <mergeCell ref="I997:I999"/>
    <mergeCell ref="J997:J999"/>
    <mergeCell ref="K997:K999"/>
    <mergeCell ref="L997:L999"/>
    <mergeCell ref="M997:M999"/>
    <mergeCell ref="N997:N999"/>
    <mergeCell ref="AE997:AE999"/>
    <mergeCell ref="AF997:AF999"/>
    <mergeCell ref="A988:A990"/>
    <mergeCell ref="B988:B990"/>
    <mergeCell ref="C988:C990"/>
    <mergeCell ref="D988:D990"/>
    <mergeCell ref="E988:E990"/>
    <mergeCell ref="F988:F990"/>
    <mergeCell ref="G988:G990"/>
    <mergeCell ref="H988:H990"/>
    <mergeCell ref="I988:I990"/>
    <mergeCell ref="J988:J990"/>
    <mergeCell ref="K988:K990"/>
    <mergeCell ref="L988:L990"/>
    <mergeCell ref="M988:M990"/>
    <mergeCell ref="N988:N990"/>
    <mergeCell ref="AE988:AE990"/>
    <mergeCell ref="AF988:AF990"/>
    <mergeCell ref="A991:A993"/>
    <mergeCell ref="B991:B993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91:L993"/>
    <mergeCell ref="M991:M993"/>
    <mergeCell ref="N991:N993"/>
    <mergeCell ref="AE991:AE993"/>
    <mergeCell ref="AF991:AF993"/>
    <mergeCell ref="A982:A984"/>
    <mergeCell ref="B982:B984"/>
    <mergeCell ref="C982:C984"/>
    <mergeCell ref="D982:D984"/>
    <mergeCell ref="E982:E984"/>
    <mergeCell ref="F982:F984"/>
    <mergeCell ref="G982:G984"/>
    <mergeCell ref="H982:H984"/>
    <mergeCell ref="I982:I984"/>
    <mergeCell ref="J982:J984"/>
    <mergeCell ref="K982:K984"/>
    <mergeCell ref="L982:L984"/>
    <mergeCell ref="M982:M984"/>
    <mergeCell ref="N982:N984"/>
    <mergeCell ref="AE982:AE984"/>
    <mergeCell ref="AF982:AF984"/>
    <mergeCell ref="A985:A987"/>
    <mergeCell ref="B985:B987"/>
    <mergeCell ref="C985:C987"/>
    <mergeCell ref="D985:D987"/>
    <mergeCell ref="E985:E987"/>
    <mergeCell ref="F985:F987"/>
    <mergeCell ref="G985:G987"/>
    <mergeCell ref="H985:H987"/>
    <mergeCell ref="I985:I987"/>
    <mergeCell ref="J985:J987"/>
    <mergeCell ref="K985:K987"/>
    <mergeCell ref="L985:L987"/>
    <mergeCell ref="M985:M987"/>
    <mergeCell ref="N985:N987"/>
    <mergeCell ref="AE985:AE987"/>
    <mergeCell ref="AF985:AF987"/>
    <mergeCell ref="A976:A978"/>
    <mergeCell ref="B976:B978"/>
    <mergeCell ref="C976:C978"/>
    <mergeCell ref="D976:D978"/>
    <mergeCell ref="E976:E978"/>
    <mergeCell ref="F976:F978"/>
    <mergeCell ref="G976:G978"/>
    <mergeCell ref="H976:H978"/>
    <mergeCell ref="I976:I978"/>
    <mergeCell ref="J976:J978"/>
    <mergeCell ref="K976:K978"/>
    <mergeCell ref="L976:L978"/>
    <mergeCell ref="M976:M978"/>
    <mergeCell ref="N976:N978"/>
    <mergeCell ref="AE976:AE978"/>
    <mergeCell ref="AF976:AF978"/>
    <mergeCell ref="A979:A981"/>
    <mergeCell ref="B979:B981"/>
    <mergeCell ref="C979:C981"/>
    <mergeCell ref="D979:D981"/>
    <mergeCell ref="E979:E981"/>
    <mergeCell ref="F979:F981"/>
    <mergeCell ref="G979:G981"/>
    <mergeCell ref="H979:H981"/>
    <mergeCell ref="I979:I981"/>
    <mergeCell ref="J979:J981"/>
    <mergeCell ref="K979:K981"/>
    <mergeCell ref="L979:L981"/>
    <mergeCell ref="M979:M981"/>
    <mergeCell ref="N979:N981"/>
    <mergeCell ref="AE979:AE981"/>
    <mergeCell ref="AF979:AF981"/>
    <mergeCell ref="A970:A972"/>
    <mergeCell ref="B970:B972"/>
    <mergeCell ref="C970:C972"/>
    <mergeCell ref="D970:D972"/>
    <mergeCell ref="E970:E972"/>
    <mergeCell ref="F970:F972"/>
    <mergeCell ref="G970:G972"/>
    <mergeCell ref="H970:H972"/>
    <mergeCell ref="I970:I972"/>
    <mergeCell ref="J970:J972"/>
    <mergeCell ref="K970:K972"/>
    <mergeCell ref="L970:L972"/>
    <mergeCell ref="M970:M972"/>
    <mergeCell ref="N970:N972"/>
    <mergeCell ref="AE970:AE972"/>
    <mergeCell ref="AF970:AF972"/>
    <mergeCell ref="A973:A975"/>
    <mergeCell ref="B973:B975"/>
    <mergeCell ref="C973:C975"/>
    <mergeCell ref="D973:D975"/>
    <mergeCell ref="E973:E975"/>
    <mergeCell ref="F973:F975"/>
    <mergeCell ref="G973:G975"/>
    <mergeCell ref="H973:H975"/>
    <mergeCell ref="I973:I975"/>
    <mergeCell ref="J973:J975"/>
    <mergeCell ref="K973:K975"/>
    <mergeCell ref="L973:L975"/>
    <mergeCell ref="M973:M975"/>
    <mergeCell ref="N973:N975"/>
    <mergeCell ref="AE973:AE975"/>
    <mergeCell ref="AF973:AF975"/>
    <mergeCell ref="A964:A966"/>
    <mergeCell ref="B964:B966"/>
    <mergeCell ref="C964:C966"/>
    <mergeCell ref="D964:D966"/>
    <mergeCell ref="E964:E966"/>
    <mergeCell ref="F964:F966"/>
    <mergeCell ref="G964:G966"/>
    <mergeCell ref="H964:H966"/>
    <mergeCell ref="I964:I966"/>
    <mergeCell ref="J964:J966"/>
    <mergeCell ref="K964:K966"/>
    <mergeCell ref="L964:L966"/>
    <mergeCell ref="M964:M966"/>
    <mergeCell ref="N964:N966"/>
    <mergeCell ref="AE964:AE966"/>
    <mergeCell ref="AF964:AF966"/>
    <mergeCell ref="A967:A969"/>
    <mergeCell ref="B967:B969"/>
    <mergeCell ref="C967:C969"/>
    <mergeCell ref="D967:D969"/>
    <mergeCell ref="E967:E969"/>
    <mergeCell ref="F967:F969"/>
    <mergeCell ref="G967:G969"/>
    <mergeCell ref="H967:H969"/>
    <mergeCell ref="I967:I969"/>
    <mergeCell ref="J967:J969"/>
    <mergeCell ref="K967:K969"/>
    <mergeCell ref="L967:L969"/>
    <mergeCell ref="M967:M969"/>
    <mergeCell ref="N967:N969"/>
    <mergeCell ref="AE967:AE969"/>
    <mergeCell ref="AF967:AF969"/>
    <mergeCell ref="A958:A960"/>
    <mergeCell ref="B958:B960"/>
    <mergeCell ref="C958:C960"/>
    <mergeCell ref="D958:D960"/>
    <mergeCell ref="E958:E960"/>
    <mergeCell ref="F958:F960"/>
    <mergeCell ref="G958:G960"/>
    <mergeCell ref="H958:H960"/>
    <mergeCell ref="I958:I960"/>
    <mergeCell ref="J958:J960"/>
    <mergeCell ref="K958:K960"/>
    <mergeCell ref="L958:L960"/>
    <mergeCell ref="M958:M960"/>
    <mergeCell ref="N958:N960"/>
    <mergeCell ref="AE958:AE960"/>
    <mergeCell ref="AF958:AF960"/>
    <mergeCell ref="A961:A963"/>
    <mergeCell ref="B961:B963"/>
    <mergeCell ref="C961:C963"/>
    <mergeCell ref="D961:D963"/>
    <mergeCell ref="E961:E963"/>
    <mergeCell ref="F961:F963"/>
    <mergeCell ref="G961:G963"/>
    <mergeCell ref="H961:H963"/>
    <mergeCell ref="I961:I963"/>
    <mergeCell ref="J961:J963"/>
    <mergeCell ref="K961:K963"/>
    <mergeCell ref="L961:L963"/>
    <mergeCell ref="M961:M963"/>
    <mergeCell ref="N961:N963"/>
    <mergeCell ref="AE961:AE963"/>
    <mergeCell ref="AF961:AF963"/>
    <mergeCell ref="A952:A954"/>
    <mergeCell ref="B952:B954"/>
    <mergeCell ref="C952:C954"/>
    <mergeCell ref="D952:D954"/>
    <mergeCell ref="E952:E954"/>
    <mergeCell ref="F952:F954"/>
    <mergeCell ref="G952:G954"/>
    <mergeCell ref="H952:H954"/>
    <mergeCell ref="I952:I954"/>
    <mergeCell ref="J952:J954"/>
    <mergeCell ref="K952:K954"/>
    <mergeCell ref="L952:L954"/>
    <mergeCell ref="M952:M954"/>
    <mergeCell ref="N952:N954"/>
    <mergeCell ref="AE952:AE954"/>
    <mergeCell ref="AF952:AF954"/>
    <mergeCell ref="A955:A957"/>
    <mergeCell ref="B955:B957"/>
    <mergeCell ref="C955:C957"/>
    <mergeCell ref="D955:D957"/>
    <mergeCell ref="E955:E957"/>
    <mergeCell ref="F955:F957"/>
    <mergeCell ref="G955:G957"/>
    <mergeCell ref="H955:H957"/>
    <mergeCell ref="I955:I957"/>
    <mergeCell ref="J955:J957"/>
    <mergeCell ref="K955:K957"/>
    <mergeCell ref="L955:L957"/>
    <mergeCell ref="M955:M957"/>
    <mergeCell ref="N955:N957"/>
    <mergeCell ref="AE955:AE957"/>
    <mergeCell ref="AF955:AF957"/>
    <mergeCell ref="A946:A948"/>
    <mergeCell ref="B946:B948"/>
    <mergeCell ref="C946:C948"/>
    <mergeCell ref="D946:D948"/>
    <mergeCell ref="E946:E948"/>
    <mergeCell ref="F946:F948"/>
    <mergeCell ref="G946:G948"/>
    <mergeCell ref="H946:H948"/>
    <mergeCell ref="I946:I948"/>
    <mergeCell ref="J946:J948"/>
    <mergeCell ref="K946:K948"/>
    <mergeCell ref="L946:L948"/>
    <mergeCell ref="M946:M948"/>
    <mergeCell ref="N946:N948"/>
    <mergeCell ref="AE946:AE948"/>
    <mergeCell ref="AF946:AF948"/>
    <mergeCell ref="A949:A951"/>
    <mergeCell ref="B949:B951"/>
    <mergeCell ref="C949:C951"/>
    <mergeCell ref="D949:D951"/>
    <mergeCell ref="E949:E951"/>
    <mergeCell ref="F949:F951"/>
    <mergeCell ref="G949:G951"/>
    <mergeCell ref="H949:H951"/>
    <mergeCell ref="I949:I951"/>
    <mergeCell ref="J949:J951"/>
    <mergeCell ref="K949:K951"/>
    <mergeCell ref="L949:L951"/>
    <mergeCell ref="M949:M951"/>
    <mergeCell ref="N949:N951"/>
    <mergeCell ref="AE949:AE951"/>
    <mergeCell ref="AF949:AF951"/>
    <mergeCell ref="A940:A942"/>
    <mergeCell ref="B940:B942"/>
    <mergeCell ref="C940:C942"/>
    <mergeCell ref="D940:D942"/>
    <mergeCell ref="E940:E942"/>
    <mergeCell ref="F940:F942"/>
    <mergeCell ref="G940:G942"/>
    <mergeCell ref="H940:H942"/>
    <mergeCell ref="I940:I942"/>
    <mergeCell ref="J940:J942"/>
    <mergeCell ref="K940:K942"/>
    <mergeCell ref="L940:L942"/>
    <mergeCell ref="M940:M942"/>
    <mergeCell ref="N940:N942"/>
    <mergeCell ref="AE940:AE942"/>
    <mergeCell ref="AF940:AF942"/>
    <mergeCell ref="A943:A945"/>
    <mergeCell ref="B943:B945"/>
    <mergeCell ref="C943:C945"/>
    <mergeCell ref="D943:D945"/>
    <mergeCell ref="E943:E945"/>
    <mergeCell ref="F943:F945"/>
    <mergeCell ref="G943:G945"/>
    <mergeCell ref="H943:H945"/>
    <mergeCell ref="I943:I945"/>
    <mergeCell ref="J943:J945"/>
    <mergeCell ref="K943:K945"/>
    <mergeCell ref="L943:L945"/>
    <mergeCell ref="M943:M945"/>
    <mergeCell ref="N943:N945"/>
    <mergeCell ref="AE943:AE945"/>
    <mergeCell ref="AF943:AF945"/>
    <mergeCell ref="A934:A936"/>
    <mergeCell ref="B934:B936"/>
    <mergeCell ref="C934:C936"/>
    <mergeCell ref="D934:D936"/>
    <mergeCell ref="E934:E936"/>
    <mergeCell ref="F934:F936"/>
    <mergeCell ref="G934:G936"/>
    <mergeCell ref="H934:H936"/>
    <mergeCell ref="I934:I936"/>
    <mergeCell ref="J934:J936"/>
    <mergeCell ref="K934:K936"/>
    <mergeCell ref="L934:L936"/>
    <mergeCell ref="M934:M936"/>
    <mergeCell ref="N934:N936"/>
    <mergeCell ref="AE934:AE936"/>
    <mergeCell ref="AF934:AF936"/>
    <mergeCell ref="A937:A939"/>
    <mergeCell ref="B937:B939"/>
    <mergeCell ref="C937:C939"/>
    <mergeCell ref="D937:D939"/>
    <mergeCell ref="E937:E939"/>
    <mergeCell ref="F937:F939"/>
    <mergeCell ref="G937:G939"/>
    <mergeCell ref="H937:H939"/>
    <mergeCell ref="I937:I939"/>
    <mergeCell ref="J937:J939"/>
    <mergeCell ref="K937:K939"/>
    <mergeCell ref="L937:L939"/>
    <mergeCell ref="M937:M939"/>
    <mergeCell ref="N937:N939"/>
    <mergeCell ref="AE937:AE939"/>
    <mergeCell ref="AF937:AF939"/>
    <mergeCell ref="A928:A930"/>
    <mergeCell ref="B928:B930"/>
    <mergeCell ref="C928:C930"/>
    <mergeCell ref="D928:D930"/>
    <mergeCell ref="E928:E930"/>
    <mergeCell ref="F928:F930"/>
    <mergeCell ref="G928:G930"/>
    <mergeCell ref="H928:H930"/>
    <mergeCell ref="I928:I930"/>
    <mergeCell ref="J928:J930"/>
    <mergeCell ref="K928:K930"/>
    <mergeCell ref="L928:L930"/>
    <mergeCell ref="M928:M930"/>
    <mergeCell ref="N928:N930"/>
    <mergeCell ref="AE928:AE930"/>
    <mergeCell ref="AF928:AF930"/>
    <mergeCell ref="A931:A933"/>
    <mergeCell ref="B931:B933"/>
    <mergeCell ref="C931:C933"/>
    <mergeCell ref="D931:D933"/>
    <mergeCell ref="E931:E933"/>
    <mergeCell ref="F931:F933"/>
    <mergeCell ref="G931:G933"/>
    <mergeCell ref="H931:H933"/>
    <mergeCell ref="I931:I933"/>
    <mergeCell ref="J931:J933"/>
    <mergeCell ref="K931:K933"/>
    <mergeCell ref="L931:L933"/>
    <mergeCell ref="M931:M933"/>
    <mergeCell ref="N931:N933"/>
    <mergeCell ref="AE931:AE933"/>
    <mergeCell ref="AF931:AF933"/>
    <mergeCell ref="A922:A924"/>
    <mergeCell ref="B922:B924"/>
    <mergeCell ref="C922:C924"/>
    <mergeCell ref="D922:D924"/>
    <mergeCell ref="E922:E924"/>
    <mergeCell ref="F922:F924"/>
    <mergeCell ref="G922:G924"/>
    <mergeCell ref="H922:H924"/>
    <mergeCell ref="I922:I924"/>
    <mergeCell ref="J922:J924"/>
    <mergeCell ref="K922:K924"/>
    <mergeCell ref="L922:L924"/>
    <mergeCell ref="M922:M924"/>
    <mergeCell ref="N922:N924"/>
    <mergeCell ref="AE922:AE924"/>
    <mergeCell ref="AF922:AF924"/>
    <mergeCell ref="A925:A927"/>
    <mergeCell ref="B925:B927"/>
    <mergeCell ref="C925:C927"/>
    <mergeCell ref="D925:D927"/>
    <mergeCell ref="E925:E927"/>
    <mergeCell ref="F925:F927"/>
    <mergeCell ref="G925:G927"/>
    <mergeCell ref="H925:H927"/>
    <mergeCell ref="I925:I927"/>
    <mergeCell ref="J925:J927"/>
    <mergeCell ref="K925:K927"/>
    <mergeCell ref="L925:L927"/>
    <mergeCell ref="M925:M927"/>
    <mergeCell ref="N925:N927"/>
    <mergeCell ref="AE925:AE927"/>
    <mergeCell ref="AF925:AF927"/>
    <mergeCell ref="A916:A918"/>
    <mergeCell ref="B916:B918"/>
    <mergeCell ref="C916:C918"/>
    <mergeCell ref="D916:D918"/>
    <mergeCell ref="E916:E918"/>
    <mergeCell ref="F916:F918"/>
    <mergeCell ref="G916:G918"/>
    <mergeCell ref="H916:H918"/>
    <mergeCell ref="I916:I918"/>
    <mergeCell ref="J916:J918"/>
    <mergeCell ref="K916:K918"/>
    <mergeCell ref="L916:L918"/>
    <mergeCell ref="M916:M918"/>
    <mergeCell ref="N916:N918"/>
    <mergeCell ref="AE916:AE918"/>
    <mergeCell ref="AF916:AF918"/>
    <mergeCell ref="A919:A921"/>
    <mergeCell ref="B919:B921"/>
    <mergeCell ref="C919:C921"/>
    <mergeCell ref="D919:D921"/>
    <mergeCell ref="E919:E921"/>
    <mergeCell ref="F919:F921"/>
    <mergeCell ref="G919:G921"/>
    <mergeCell ref="H919:H921"/>
    <mergeCell ref="I919:I921"/>
    <mergeCell ref="J919:J921"/>
    <mergeCell ref="K919:K921"/>
    <mergeCell ref="L919:L921"/>
    <mergeCell ref="M919:M921"/>
    <mergeCell ref="N919:N921"/>
    <mergeCell ref="AE919:AE921"/>
    <mergeCell ref="AF919:AF921"/>
    <mergeCell ref="A910:A912"/>
    <mergeCell ref="B910:B912"/>
    <mergeCell ref="C910:C912"/>
    <mergeCell ref="D910:D912"/>
    <mergeCell ref="E910:E912"/>
    <mergeCell ref="F910:F912"/>
    <mergeCell ref="G910:G912"/>
    <mergeCell ref="H910:H912"/>
    <mergeCell ref="I910:I912"/>
    <mergeCell ref="J910:J912"/>
    <mergeCell ref="K910:K912"/>
    <mergeCell ref="L910:L912"/>
    <mergeCell ref="M910:M912"/>
    <mergeCell ref="N910:N912"/>
    <mergeCell ref="AE910:AE912"/>
    <mergeCell ref="AF910:AF912"/>
    <mergeCell ref="A913:A915"/>
    <mergeCell ref="B913:B915"/>
    <mergeCell ref="C913:C915"/>
    <mergeCell ref="D913:D915"/>
    <mergeCell ref="E913:E915"/>
    <mergeCell ref="F913:F915"/>
    <mergeCell ref="G913:G915"/>
    <mergeCell ref="H913:H915"/>
    <mergeCell ref="I913:I915"/>
    <mergeCell ref="J913:J915"/>
    <mergeCell ref="K913:K915"/>
    <mergeCell ref="L913:L915"/>
    <mergeCell ref="M913:M915"/>
    <mergeCell ref="N913:N915"/>
    <mergeCell ref="AE913:AE915"/>
    <mergeCell ref="AF913:AF915"/>
    <mergeCell ref="A904:A906"/>
    <mergeCell ref="B904:B906"/>
    <mergeCell ref="C904:C906"/>
    <mergeCell ref="D904:D906"/>
    <mergeCell ref="E904:E906"/>
    <mergeCell ref="F904:F906"/>
    <mergeCell ref="G904:G906"/>
    <mergeCell ref="H904:H906"/>
    <mergeCell ref="I904:I906"/>
    <mergeCell ref="J904:J906"/>
    <mergeCell ref="K904:K906"/>
    <mergeCell ref="L904:L906"/>
    <mergeCell ref="M904:M906"/>
    <mergeCell ref="N904:N906"/>
    <mergeCell ref="AE904:AE906"/>
    <mergeCell ref="AF904:AF906"/>
    <mergeCell ref="A907:A909"/>
    <mergeCell ref="B907:B909"/>
    <mergeCell ref="C907:C909"/>
    <mergeCell ref="D907:D909"/>
    <mergeCell ref="E907:E909"/>
    <mergeCell ref="F907:F909"/>
    <mergeCell ref="G907:G909"/>
    <mergeCell ref="H907:H909"/>
    <mergeCell ref="I907:I909"/>
    <mergeCell ref="J907:J909"/>
    <mergeCell ref="K907:K909"/>
    <mergeCell ref="L907:L909"/>
    <mergeCell ref="M907:M909"/>
    <mergeCell ref="N907:N909"/>
    <mergeCell ref="AE907:AE909"/>
    <mergeCell ref="AF907:AF909"/>
    <mergeCell ref="A898:A900"/>
    <mergeCell ref="B898:B900"/>
    <mergeCell ref="C898:C900"/>
    <mergeCell ref="D898:D900"/>
    <mergeCell ref="E898:E900"/>
    <mergeCell ref="F898:F900"/>
    <mergeCell ref="G898:G900"/>
    <mergeCell ref="H898:H900"/>
    <mergeCell ref="I898:I900"/>
    <mergeCell ref="J898:J900"/>
    <mergeCell ref="K898:K900"/>
    <mergeCell ref="L898:L900"/>
    <mergeCell ref="M898:M900"/>
    <mergeCell ref="N898:N900"/>
    <mergeCell ref="AE898:AE900"/>
    <mergeCell ref="AF898:AF900"/>
    <mergeCell ref="A901:A903"/>
    <mergeCell ref="B901:B903"/>
    <mergeCell ref="C901:C903"/>
    <mergeCell ref="D901:D903"/>
    <mergeCell ref="E901:E903"/>
    <mergeCell ref="F901:F903"/>
    <mergeCell ref="G901:G903"/>
    <mergeCell ref="H901:H903"/>
    <mergeCell ref="I901:I903"/>
    <mergeCell ref="J901:J903"/>
    <mergeCell ref="K901:K903"/>
    <mergeCell ref="L901:L903"/>
    <mergeCell ref="M901:M903"/>
    <mergeCell ref="N901:N903"/>
    <mergeCell ref="AE901:AE903"/>
    <mergeCell ref="AF901:AF903"/>
    <mergeCell ref="A892:A894"/>
    <mergeCell ref="B892:B894"/>
    <mergeCell ref="C892:C894"/>
    <mergeCell ref="D892:D894"/>
    <mergeCell ref="E892:E894"/>
    <mergeCell ref="F892:F894"/>
    <mergeCell ref="G892:G894"/>
    <mergeCell ref="H892:H894"/>
    <mergeCell ref="I892:I894"/>
    <mergeCell ref="J892:J894"/>
    <mergeCell ref="K892:K894"/>
    <mergeCell ref="L892:L894"/>
    <mergeCell ref="M892:M894"/>
    <mergeCell ref="N892:N894"/>
    <mergeCell ref="AE892:AE894"/>
    <mergeCell ref="AF892:AF894"/>
    <mergeCell ref="A895:A897"/>
    <mergeCell ref="B895:B897"/>
    <mergeCell ref="C895:C897"/>
    <mergeCell ref="D895:D897"/>
    <mergeCell ref="E895:E897"/>
    <mergeCell ref="F895:F897"/>
    <mergeCell ref="G895:G897"/>
    <mergeCell ref="H895:H897"/>
    <mergeCell ref="I895:I897"/>
    <mergeCell ref="J895:J897"/>
    <mergeCell ref="K895:K897"/>
    <mergeCell ref="L895:L897"/>
    <mergeCell ref="M895:M897"/>
    <mergeCell ref="N895:N897"/>
    <mergeCell ref="AE895:AE897"/>
    <mergeCell ref="AF895:AF897"/>
    <mergeCell ref="A886:A888"/>
    <mergeCell ref="B886:B888"/>
    <mergeCell ref="C886:C888"/>
    <mergeCell ref="D886:D888"/>
    <mergeCell ref="E886:E888"/>
    <mergeCell ref="F886:F888"/>
    <mergeCell ref="G886:G888"/>
    <mergeCell ref="H886:H888"/>
    <mergeCell ref="I886:I888"/>
    <mergeCell ref="J886:J888"/>
    <mergeCell ref="K886:K888"/>
    <mergeCell ref="L886:L888"/>
    <mergeCell ref="M886:M888"/>
    <mergeCell ref="N886:N888"/>
    <mergeCell ref="AE886:AE888"/>
    <mergeCell ref="AF886:AF888"/>
    <mergeCell ref="A889:A891"/>
    <mergeCell ref="B889:B891"/>
    <mergeCell ref="C889:C891"/>
    <mergeCell ref="D889:D891"/>
    <mergeCell ref="E889:E891"/>
    <mergeCell ref="F889:F891"/>
    <mergeCell ref="G889:G891"/>
    <mergeCell ref="H889:H891"/>
    <mergeCell ref="I889:I891"/>
    <mergeCell ref="J889:J891"/>
    <mergeCell ref="K889:K891"/>
    <mergeCell ref="L889:L891"/>
    <mergeCell ref="M889:M891"/>
    <mergeCell ref="N889:N891"/>
    <mergeCell ref="AE889:AE891"/>
    <mergeCell ref="AF889:AF891"/>
    <mergeCell ref="A880:A882"/>
    <mergeCell ref="B880:B882"/>
    <mergeCell ref="C880:C882"/>
    <mergeCell ref="D880:D882"/>
    <mergeCell ref="E880:E882"/>
    <mergeCell ref="F880:F882"/>
    <mergeCell ref="G880:G882"/>
    <mergeCell ref="H880:H882"/>
    <mergeCell ref="I880:I882"/>
    <mergeCell ref="J880:J882"/>
    <mergeCell ref="K880:K882"/>
    <mergeCell ref="L880:L882"/>
    <mergeCell ref="M880:M882"/>
    <mergeCell ref="N880:N882"/>
    <mergeCell ref="AE880:AE882"/>
    <mergeCell ref="AF880:AF882"/>
    <mergeCell ref="A883:A885"/>
    <mergeCell ref="B883:B885"/>
    <mergeCell ref="C883:C885"/>
    <mergeCell ref="D883:D885"/>
    <mergeCell ref="E883:E885"/>
    <mergeCell ref="F883:F885"/>
    <mergeCell ref="G883:G885"/>
    <mergeCell ref="H883:H885"/>
    <mergeCell ref="I883:I885"/>
    <mergeCell ref="J883:J885"/>
    <mergeCell ref="K883:K885"/>
    <mergeCell ref="L883:L885"/>
    <mergeCell ref="M883:M885"/>
    <mergeCell ref="N883:N885"/>
    <mergeCell ref="AE883:AE885"/>
    <mergeCell ref="AF883:AF885"/>
    <mergeCell ref="A874:A876"/>
    <mergeCell ref="B874:B876"/>
    <mergeCell ref="C874:C876"/>
    <mergeCell ref="D874:D876"/>
    <mergeCell ref="E874:E876"/>
    <mergeCell ref="F874:F876"/>
    <mergeCell ref="G874:G876"/>
    <mergeCell ref="H874:H876"/>
    <mergeCell ref="I874:I876"/>
    <mergeCell ref="J874:J876"/>
    <mergeCell ref="K874:K876"/>
    <mergeCell ref="L874:L876"/>
    <mergeCell ref="M874:M876"/>
    <mergeCell ref="N874:N876"/>
    <mergeCell ref="AE874:AE876"/>
    <mergeCell ref="AF874:AF876"/>
    <mergeCell ref="A877:A879"/>
    <mergeCell ref="B877:B879"/>
    <mergeCell ref="C877:C879"/>
    <mergeCell ref="D877:D879"/>
    <mergeCell ref="E877:E879"/>
    <mergeCell ref="F877:F879"/>
    <mergeCell ref="G877:G879"/>
    <mergeCell ref="H877:H879"/>
    <mergeCell ref="I877:I879"/>
    <mergeCell ref="J877:J879"/>
    <mergeCell ref="K877:K879"/>
    <mergeCell ref="L877:L879"/>
    <mergeCell ref="M877:M879"/>
    <mergeCell ref="N877:N879"/>
    <mergeCell ref="AE877:AE879"/>
    <mergeCell ref="AF877:AF879"/>
    <mergeCell ref="A868:A870"/>
    <mergeCell ref="B868:B870"/>
    <mergeCell ref="C868:C870"/>
    <mergeCell ref="D868:D870"/>
    <mergeCell ref="E868:E870"/>
    <mergeCell ref="F868:F870"/>
    <mergeCell ref="G868:G870"/>
    <mergeCell ref="H868:H870"/>
    <mergeCell ref="I868:I870"/>
    <mergeCell ref="J868:J870"/>
    <mergeCell ref="K868:K870"/>
    <mergeCell ref="L868:L870"/>
    <mergeCell ref="M868:M870"/>
    <mergeCell ref="N868:N870"/>
    <mergeCell ref="AE868:AE870"/>
    <mergeCell ref="AF868:AF870"/>
    <mergeCell ref="A871:A873"/>
    <mergeCell ref="B871:B873"/>
    <mergeCell ref="C871:C873"/>
    <mergeCell ref="D871:D873"/>
    <mergeCell ref="E871:E873"/>
    <mergeCell ref="F871:F873"/>
    <mergeCell ref="G871:G873"/>
    <mergeCell ref="H871:H873"/>
    <mergeCell ref="I871:I873"/>
    <mergeCell ref="J871:J873"/>
    <mergeCell ref="K871:K873"/>
    <mergeCell ref="L871:L873"/>
    <mergeCell ref="M871:M873"/>
    <mergeCell ref="N871:N873"/>
    <mergeCell ref="AE871:AE873"/>
    <mergeCell ref="AF871:AF873"/>
    <mergeCell ref="A862:A864"/>
    <mergeCell ref="B862:B864"/>
    <mergeCell ref="C862:C864"/>
    <mergeCell ref="D862:D864"/>
    <mergeCell ref="E862:E864"/>
    <mergeCell ref="F862:F864"/>
    <mergeCell ref="G862:G864"/>
    <mergeCell ref="H862:H864"/>
    <mergeCell ref="I862:I864"/>
    <mergeCell ref="J862:J864"/>
    <mergeCell ref="K862:K864"/>
    <mergeCell ref="L862:L864"/>
    <mergeCell ref="M862:M864"/>
    <mergeCell ref="N862:N864"/>
    <mergeCell ref="AE862:AE864"/>
    <mergeCell ref="AF862:AF864"/>
    <mergeCell ref="A865:A867"/>
    <mergeCell ref="B865:B867"/>
    <mergeCell ref="C865:C867"/>
    <mergeCell ref="D865:D867"/>
    <mergeCell ref="E865:E867"/>
    <mergeCell ref="F865:F867"/>
    <mergeCell ref="G865:G867"/>
    <mergeCell ref="H865:H867"/>
    <mergeCell ref="I865:I867"/>
    <mergeCell ref="J865:J867"/>
    <mergeCell ref="K865:K867"/>
    <mergeCell ref="L865:L867"/>
    <mergeCell ref="M865:M867"/>
    <mergeCell ref="N865:N867"/>
    <mergeCell ref="AE865:AE867"/>
    <mergeCell ref="AF865:AF867"/>
    <mergeCell ref="A856:A858"/>
    <mergeCell ref="B856:B858"/>
    <mergeCell ref="C856:C858"/>
    <mergeCell ref="D856:D858"/>
    <mergeCell ref="E856:E858"/>
    <mergeCell ref="F856:F858"/>
    <mergeCell ref="G856:G858"/>
    <mergeCell ref="H856:H858"/>
    <mergeCell ref="I856:I858"/>
    <mergeCell ref="J856:J858"/>
    <mergeCell ref="K856:K858"/>
    <mergeCell ref="L856:L858"/>
    <mergeCell ref="M856:M858"/>
    <mergeCell ref="N856:N858"/>
    <mergeCell ref="AE856:AE858"/>
    <mergeCell ref="AF856:AF858"/>
    <mergeCell ref="A859:A861"/>
    <mergeCell ref="B859:B861"/>
    <mergeCell ref="C859:C861"/>
    <mergeCell ref="D859:D861"/>
    <mergeCell ref="E859:E861"/>
    <mergeCell ref="F859:F861"/>
    <mergeCell ref="G859:G861"/>
    <mergeCell ref="H859:H861"/>
    <mergeCell ref="I859:I861"/>
    <mergeCell ref="J859:J861"/>
    <mergeCell ref="K859:K861"/>
    <mergeCell ref="L859:L861"/>
    <mergeCell ref="M859:M861"/>
    <mergeCell ref="N859:N861"/>
    <mergeCell ref="AE859:AE861"/>
    <mergeCell ref="AF859:AF861"/>
    <mergeCell ref="A850:A852"/>
    <mergeCell ref="B850:B852"/>
    <mergeCell ref="C850:C852"/>
    <mergeCell ref="D850:D852"/>
    <mergeCell ref="E850:E852"/>
    <mergeCell ref="F850:F852"/>
    <mergeCell ref="G850:G852"/>
    <mergeCell ref="H850:H852"/>
    <mergeCell ref="I850:I852"/>
    <mergeCell ref="J850:J852"/>
    <mergeCell ref="K850:K852"/>
    <mergeCell ref="L850:L852"/>
    <mergeCell ref="M850:M852"/>
    <mergeCell ref="N850:N852"/>
    <mergeCell ref="AE850:AE852"/>
    <mergeCell ref="AF850:AF852"/>
    <mergeCell ref="A853:A855"/>
    <mergeCell ref="B853:B855"/>
    <mergeCell ref="C853:C855"/>
    <mergeCell ref="D853:D855"/>
    <mergeCell ref="E853:E855"/>
    <mergeCell ref="F853:F855"/>
    <mergeCell ref="G853:G855"/>
    <mergeCell ref="H853:H855"/>
    <mergeCell ref="I853:I855"/>
    <mergeCell ref="J853:J855"/>
    <mergeCell ref="K853:K855"/>
    <mergeCell ref="L853:L855"/>
    <mergeCell ref="M853:M855"/>
    <mergeCell ref="N853:N855"/>
    <mergeCell ref="AE853:AE855"/>
    <mergeCell ref="AF853:AF855"/>
    <mergeCell ref="A844:A846"/>
    <mergeCell ref="B844:B846"/>
    <mergeCell ref="C844:C846"/>
    <mergeCell ref="D844:D846"/>
    <mergeCell ref="E844:E846"/>
    <mergeCell ref="F844:F846"/>
    <mergeCell ref="G844:G846"/>
    <mergeCell ref="H844:H846"/>
    <mergeCell ref="I844:I846"/>
    <mergeCell ref="J844:J846"/>
    <mergeCell ref="K844:K846"/>
    <mergeCell ref="L844:L846"/>
    <mergeCell ref="M844:M846"/>
    <mergeCell ref="N844:N846"/>
    <mergeCell ref="AE844:AE846"/>
    <mergeCell ref="AF844:AF846"/>
    <mergeCell ref="A847:A849"/>
    <mergeCell ref="B847:B849"/>
    <mergeCell ref="C847:C849"/>
    <mergeCell ref="D847:D849"/>
    <mergeCell ref="E847:E849"/>
    <mergeCell ref="F847:F849"/>
    <mergeCell ref="G847:G849"/>
    <mergeCell ref="H847:H849"/>
    <mergeCell ref="I847:I849"/>
    <mergeCell ref="J847:J849"/>
    <mergeCell ref="K847:K849"/>
    <mergeCell ref="L847:L849"/>
    <mergeCell ref="M847:M849"/>
    <mergeCell ref="N847:N849"/>
    <mergeCell ref="AE847:AE849"/>
    <mergeCell ref="AF847:AF849"/>
    <mergeCell ref="A838:A840"/>
    <mergeCell ref="B838:B840"/>
    <mergeCell ref="C838:C840"/>
    <mergeCell ref="D838:D840"/>
    <mergeCell ref="E838:E840"/>
    <mergeCell ref="F838:F840"/>
    <mergeCell ref="G838:G840"/>
    <mergeCell ref="H838:H840"/>
    <mergeCell ref="I838:I840"/>
    <mergeCell ref="J838:J840"/>
    <mergeCell ref="K838:K840"/>
    <mergeCell ref="L838:L840"/>
    <mergeCell ref="M838:M840"/>
    <mergeCell ref="N838:N840"/>
    <mergeCell ref="AE838:AE840"/>
    <mergeCell ref="AF838:AF840"/>
    <mergeCell ref="A841:A843"/>
    <mergeCell ref="B841:B843"/>
    <mergeCell ref="C841:C843"/>
    <mergeCell ref="D841:D843"/>
    <mergeCell ref="E841:E843"/>
    <mergeCell ref="F841:F843"/>
    <mergeCell ref="G841:G843"/>
    <mergeCell ref="H841:H843"/>
    <mergeCell ref="I841:I843"/>
    <mergeCell ref="J841:J843"/>
    <mergeCell ref="K841:K843"/>
    <mergeCell ref="L841:L843"/>
    <mergeCell ref="M841:M843"/>
    <mergeCell ref="N841:N843"/>
    <mergeCell ref="AE841:AE843"/>
    <mergeCell ref="AF841:AF843"/>
    <mergeCell ref="A832:A834"/>
    <mergeCell ref="B832:B834"/>
    <mergeCell ref="C832:C834"/>
    <mergeCell ref="D832:D834"/>
    <mergeCell ref="E832:E834"/>
    <mergeCell ref="F832:F834"/>
    <mergeCell ref="G832:G834"/>
    <mergeCell ref="H832:H834"/>
    <mergeCell ref="I832:I834"/>
    <mergeCell ref="J832:J834"/>
    <mergeCell ref="K832:K834"/>
    <mergeCell ref="L832:L834"/>
    <mergeCell ref="M832:M834"/>
    <mergeCell ref="N832:N834"/>
    <mergeCell ref="AE832:AE834"/>
    <mergeCell ref="AF832:AF834"/>
    <mergeCell ref="A835:A837"/>
    <mergeCell ref="B835:B837"/>
    <mergeCell ref="C835:C837"/>
    <mergeCell ref="D835:D837"/>
    <mergeCell ref="E835:E837"/>
    <mergeCell ref="F835:F837"/>
    <mergeCell ref="G835:G837"/>
    <mergeCell ref="H835:H837"/>
    <mergeCell ref="I835:I837"/>
    <mergeCell ref="J835:J837"/>
    <mergeCell ref="K835:K837"/>
    <mergeCell ref="L835:L837"/>
    <mergeCell ref="M835:M837"/>
    <mergeCell ref="N835:N837"/>
    <mergeCell ref="AE835:AE837"/>
    <mergeCell ref="AF835:AF837"/>
    <mergeCell ref="A826:A828"/>
    <mergeCell ref="B826:B828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K826:K828"/>
    <mergeCell ref="L826:L828"/>
    <mergeCell ref="M826:M828"/>
    <mergeCell ref="N826:N828"/>
    <mergeCell ref="AE826:AE828"/>
    <mergeCell ref="AF826:AF828"/>
    <mergeCell ref="A829:A831"/>
    <mergeCell ref="B829:B831"/>
    <mergeCell ref="C829:C831"/>
    <mergeCell ref="D829:D831"/>
    <mergeCell ref="E829:E831"/>
    <mergeCell ref="F829:F831"/>
    <mergeCell ref="G829:G831"/>
    <mergeCell ref="H829:H831"/>
    <mergeCell ref="I829:I831"/>
    <mergeCell ref="J829:J831"/>
    <mergeCell ref="K829:K831"/>
    <mergeCell ref="L829:L831"/>
    <mergeCell ref="M829:M831"/>
    <mergeCell ref="N829:N831"/>
    <mergeCell ref="AE829:AE831"/>
    <mergeCell ref="AF829:AF831"/>
    <mergeCell ref="A820:A822"/>
    <mergeCell ref="B820:B822"/>
    <mergeCell ref="C820:C822"/>
    <mergeCell ref="D820:D822"/>
    <mergeCell ref="E820:E822"/>
    <mergeCell ref="F820:F822"/>
    <mergeCell ref="G820:G822"/>
    <mergeCell ref="H820:H822"/>
    <mergeCell ref="I820:I822"/>
    <mergeCell ref="J820:J822"/>
    <mergeCell ref="K820:K822"/>
    <mergeCell ref="L820:L822"/>
    <mergeCell ref="M820:M822"/>
    <mergeCell ref="N820:N822"/>
    <mergeCell ref="AE820:AE822"/>
    <mergeCell ref="AF820:AF822"/>
    <mergeCell ref="A823:A825"/>
    <mergeCell ref="B823:B825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3:L825"/>
    <mergeCell ref="M823:M825"/>
    <mergeCell ref="N823:N825"/>
    <mergeCell ref="AE823:AE825"/>
    <mergeCell ref="AF823:AF825"/>
    <mergeCell ref="A814:A816"/>
    <mergeCell ref="B814:B816"/>
    <mergeCell ref="C814:C816"/>
    <mergeCell ref="D814:D816"/>
    <mergeCell ref="E814:E816"/>
    <mergeCell ref="F814:F816"/>
    <mergeCell ref="G814:G816"/>
    <mergeCell ref="H814:H816"/>
    <mergeCell ref="I814:I816"/>
    <mergeCell ref="J814:J816"/>
    <mergeCell ref="K814:K816"/>
    <mergeCell ref="L814:L816"/>
    <mergeCell ref="M814:M816"/>
    <mergeCell ref="N814:N816"/>
    <mergeCell ref="AE814:AE816"/>
    <mergeCell ref="AF814:AF816"/>
    <mergeCell ref="A817:A819"/>
    <mergeCell ref="B817:B819"/>
    <mergeCell ref="C817:C819"/>
    <mergeCell ref="D817:D819"/>
    <mergeCell ref="E817:E819"/>
    <mergeCell ref="F817:F819"/>
    <mergeCell ref="G817:G819"/>
    <mergeCell ref="H817:H819"/>
    <mergeCell ref="I817:I819"/>
    <mergeCell ref="J817:J819"/>
    <mergeCell ref="K817:K819"/>
    <mergeCell ref="L817:L819"/>
    <mergeCell ref="M817:M819"/>
    <mergeCell ref="N817:N819"/>
    <mergeCell ref="AE817:AE819"/>
    <mergeCell ref="AF817:AF819"/>
    <mergeCell ref="A808:A810"/>
    <mergeCell ref="B808:B810"/>
    <mergeCell ref="C808:C810"/>
    <mergeCell ref="D808:D810"/>
    <mergeCell ref="E808:E810"/>
    <mergeCell ref="F808:F810"/>
    <mergeCell ref="G808:G810"/>
    <mergeCell ref="H808:H810"/>
    <mergeCell ref="I808:I810"/>
    <mergeCell ref="J808:J810"/>
    <mergeCell ref="K808:K810"/>
    <mergeCell ref="L808:L810"/>
    <mergeCell ref="M808:M810"/>
    <mergeCell ref="N808:N810"/>
    <mergeCell ref="AE808:AE810"/>
    <mergeCell ref="AF808:AF810"/>
    <mergeCell ref="A811:A813"/>
    <mergeCell ref="B811:B813"/>
    <mergeCell ref="C811:C813"/>
    <mergeCell ref="D811:D813"/>
    <mergeCell ref="E811:E813"/>
    <mergeCell ref="F811:F813"/>
    <mergeCell ref="G811:G813"/>
    <mergeCell ref="H811:H813"/>
    <mergeCell ref="I811:I813"/>
    <mergeCell ref="J811:J813"/>
    <mergeCell ref="K811:K813"/>
    <mergeCell ref="L811:L813"/>
    <mergeCell ref="M811:M813"/>
    <mergeCell ref="N811:N813"/>
    <mergeCell ref="AE811:AE813"/>
    <mergeCell ref="AF811:AF813"/>
    <mergeCell ref="A802:A804"/>
    <mergeCell ref="B802:B804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K802:K804"/>
    <mergeCell ref="L802:L804"/>
    <mergeCell ref="M802:M804"/>
    <mergeCell ref="N802:N804"/>
    <mergeCell ref="AE802:AE804"/>
    <mergeCell ref="AF802:AF804"/>
    <mergeCell ref="A805:A807"/>
    <mergeCell ref="B805:B807"/>
    <mergeCell ref="C805:C807"/>
    <mergeCell ref="D805:D807"/>
    <mergeCell ref="E805:E807"/>
    <mergeCell ref="F805:F807"/>
    <mergeCell ref="G805:G807"/>
    <mergeCell ref="H805:H807"/>
    <mergeCell ref="I805:I807"/>
    <mergeCell ref="J805:J807"/>
    <mergeCell ref="K805:K807"/>
    <mergeCell ref="L805:L807"/>
    <mergeCell ref="M805:M807"/>
    <mergeCell ref="N805:N807"/>
    <mergeCell ref="AE805:AE807"/>
    <mergeCell ref="AF805:AF807"/>
    <mergeCell ref="A796:A798"/>
    <mergeCell ref="B796:B798"/>
    <mergeCell ref="C796:C798"/>
    <mergeCell ref="D796:D798"/>
    <mergeCell ref="E796:E798"/>
    <mergeCell ref="F796:F798"/>
    <mergeCell ref="G796:G798"/>
    <mergeCell ref="H796:H798"/>
    <mergeCell ref="I796:I798"/>
    <mergeCell ref="J796:J798"/>
    <mergeCell ref="K796:K798"/>
    <mergeCell ref="L796:L798"/>
    <mergeCell ref="M796:M798"/>
    <mergeCell ref="N796:N798"/>
    <mergeCell ref="AE796:AE798"/>
    <mergeCell ref="AF796:AF798"/>
    <mergeCell ref="A799:A801"/>
    <mergeCell ref="B799:B801"/>
    <mergeCell ref="C799:C801"/>
    <mergeCell ref="D799:D801"/>
    <mergeCell ref="E799:E801"/>
    <mergeCell ref="F799:F801"/>
    <mergeCell ref="G799:G801"/>
    <mergeCell ref="H799:H801"/>
    <mergeCell ref="I799:I801"/>
    <mergeCell ref="J799:J801"/>
    <mergeCell ref="K799:K801"/>
    <mergeCell ref="L799:L801"/>
    <mergeCell ref="M799:M801"/>
    <mergeCell ref="N799:N801"/>
    <mergeCell ref="AE799:AE801"/>
    <mergeCell ref="AF799:AF801"/>
    <mergeCell ref="A790:A792"/>
    <mergeCell ref="B790:B792"/>
    <mergeCell ref="C790:C792"/>
    <mergeCell ref="D790:D792"/>
    <mergeCell ref="E790:E792"/>
    <mergeCell ref="F790:F792"/>
    <mergeCell ref="G790:G792"/>
    <mergeCell ref="H790:H792"/>
    <mergeCell ref="I790:I792"/>
    <mergeCell ref="J790:J792"/>
    <mergeCell ref="K790:K792"/>
    <mergeCell ref="L790:L792"/>
    <mergeCell ref="M790:M792"/>
    <mergeCell ref="N790:N792"/>
    <mergeCell ref="AE790:AE792"/>
    <mergeCell ref="AF790:AF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3:L795"/>
    <mergeCell ref="M793:M795"/>
    <mergeCell ref="N793:N795"/>
    <mergeCell ref="AE793:AE795"/>
    <mergeCell ref="AF793:AF795"/>
    <mergeCell ref="A784:A786"/>
    <mergeCell ref="B784:B786"/>
    <mergeCell ref="C784:C786"/>
    <mergeCell ref="D784:D786"/>
    <mergeCell ref="E784:E786"/>
    <mergeCell ref="F784:F786"/>
    <mergeCell ref="G784:G786"/>
    <mergeCell ref="H784:H786"/>
    <mergeCell ref="I784:I786"/>
    <mergeCell ref="J784:J786"/>
    <mergeCell ref="K784:K786"/>
    <mergeCell ref="L784:L786"/>
    <mergeCell ref="M784:M786"/>
    <mergeCell ref="N784:N786"/>
    <mergeCell ref="AE784:AE786"/>
    <mergeCell ref="AF784:AF786"/>
    <mergeCell ref="A787:A789"/>
    <mergeCell ref="B787:B789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7:L789"/>
    <mergeCell ref="M787:M789"/>
    <mergeCell ref="N787:N789"/>
    <mergeCell ref="AE787:AE789"/>
    <mergeCell ref="AF787:AF789"/>
    <mergeCell ref="A778:A780"/>
    <mergeCell ref="B778:B780"/>
    <mergeCell ref="C778:C780"/>
    <mergeCell ref="D778:D780"/>
    <mergeCell ref="E778:E780"/>
    <mergeCell ref="F778:F780"/>
    <mergeCell ref="G778:G780"/>
    <mergeCell ref="H778:H780"/>
    <mergeCell ref="I778:I780"/>
    <mergeCell ref="J778:J780"/>
    <mergeCell ref="K778:K780"/>
    <mergeCell ref="L778:L780"/>
    <mergeCell ref="M778:M780"/>
    <mergeCell ref="N778:N780"/>
    <mergeCell ref="AE778:AE780"/>
    <mergeCell ref="AF778:AF780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81:J783"/>
    <mergeCell ref="K781:K783"/>
    <mergeCell ref="L781:L783"/>
    <mergeCell ref="M781:M783"/>
    <mergeCell ref="N781:N783"/>
    <mergeCell ref="AE781:AE783"/>
    <mergeCell ref="AF781:AF783"/>
    <mergeCell ref="A772:A774"/>
    <mergeCell ref="B772:B774"/>
    <mergeCell ref="C772:C774"/>
    <mergeCell ref="D772:D774"/>
    <mergeCell ref="E772:E774"/>
    <mergeCell ref="F772:F774"/>
    <mergeCell ref="G772:G774"/>
    <mergeCell ref="H772:H774"/>
    <mergeCell ref="I772:I774"/>
    <mergeCell ref="J772:J774"/>
    <mergeCell ref="K772:K774"/>
    <mergeCell ref="L772:L774"/>
    <mergeCell ref="M772:M774"/>
    <mergeCell ref="N772:N774"/>
    <mergeCell ref="AE772:AE774"/>
    <mergeCell ref="AF772:AF774"/>
    <mergeCell ref="A775:A777"/>
    <mergeCell ref="B775:B777"/>
    <mergeCell ref="C775:C777"/>
    <mergeCell ref="D775:D777"/>
    <mergeCell ref="E775:E777"/>
    <mergeCell ref="F775:F777"/>
    <mergeCell ref="G775:G777"/>
    <mergeCell ref="H775:H777"/>
    <mergeCell ref="I775:I777"/>
    <mergeCell ref="J775:J777"/>
    <mergeCell ref="K775:K777"/>
    <mergeCell ref="L775:L777"/>
    <mergeCell ref="M775:M777"/>
    <mergeCell ref="N775:N777"/>
    <mergeCell ref="AE775:AE777"/>
    <mergeCell ref="AF775:AF777"/>
    <mergeCell ref="A766:A768"/>
    <mergeCell ref="B766:B768"/>
    <mergeCell ref="C766:C768"/>
    <mergeCell ref="D766:D768"/>
    <mergeCell ref="E766:E768"/>
    <mergeCell ref="F766:F768"/>
    <mergeCell ref="G766:G768"/>
    <mergeCell ref="H766:H768"/>
    <mergeCell ref="I766:I768"/>
    <mergeCell ref="J766:J768"/>
    <mergeCell ref="K766:K768"/>
    <mergeCell ref="L766:L768"/>
    <mergeCell ref="M766:M768"/>
    <mergeCell ref="N766:N768"/>
    <mergeCell ref="AE766:AE768"/>
    <mergeCell ref="AF766:AF768"/>
    <mergeCell ref="A769:A771"/>
    <mergeCell ref="B769:B771"/>
    <mergeCell ref="C769:C771"/>
    <mergeCell ref="D769:D771"/>
    <mergeCell ref="E769:E771"/>
    <mergeCell ref="F769:F771"/>
    <mergeCell ref="G769:G771"/>
    <mergeCell ref="H769:H771"/>
    <mergeCell ref="I769:I771"/>
    <mergeCell ref="J769:J771"/>
    <mergeCell ref="K769:K771"/>
    <mergeCell ref="L769:L771"/>
    <mergeCell ref="M769:M771"/>
    <mergeCell ref="N769:N771"/>
    <mergeCell ref="AE769:AE771"/>
    <mergeCell ref="AF769:AF771"/>
    <mergeCell ref="A760:A762"/>
    <mergeCell ref="B760:B762"/>
    <mergeCell ref="C760:C762"/>
    <mergeCell ref="D760:D762"/>
    <mergeCell ref="E760:E762"/>
    <mergeCell ref="F760:F762"/>
    <mergeCell ref="G760:G762"/>
    <mergeCell ref="H760:H762"/>
    <mergeCell ref="I760:I762"/>
    <mergeCell ref="J760:J762"/>
    <mergeCell ref="K760:K762"/>
    <mergeCell ref="L760:L762"/>
    <mergeCell ref="M760:M762"/>
    <mergeCell ref="N760:N762"/>
    <mergeCell ref="AE760:AE762"/>
    <mergeCell ref="AF760:AF762"/>
    <mergeCell ref="A763:A765"/>
    <mergeCell ref="B763:B765"/>
    <mergeCell ref="C763:C765"/>
    <mergeCell ref="D763:D765"/>
    <mergeCell ref="E763:E765"/>
    <mergeCell ref="F763:F765"/>
    <mergeCell ref="G763:G765"/>
    <mergeCell ref="H763:H765"/>
    <mergeCell ref="I763:I765"/>
    <mergeCell ref="J763:J765"/>
    <mergeCell ref="K763:K765"/>
    <mergeCell ref="L763:L765"/>
    <mergeCell ref="M763:M765"/>
    <mergeCell ref="N763:N765"/>
    <mergeCell ref="AE763:AE765"/>
    <mergeCell ref="AF763:AF765"/>
    <mergeCell ref="A754:A756"/>
    <mergeCell ref="B754:B756"/>
    <mergeCell ref="C754:C756"/>
    <mergeCell ref="D754:D756"/>
    <mergeCell ref="E754:E756"/>
    <mergeCell ref="F754:F756"/>
    <mergeCell ref="G754:G756"/>
    <mergeCell ref="H754:H756"/>
    <mergeCell ref="I754:I756"/>
    <mergeCell ref="J754:J756"/>
    <mergeCell ref="K754:K756"/>
    <mergeCell ref="L754:L756"/>
    <mergeCell ref="M754:M756"/>
    <mergeCell ref="N754:N756"/>
    <mergeCell ref="AE754:AE756"/>
    <mergeCell ref="AF754:AF756"/>
    <mergeCell ref="A757:A759"/>
    <mergeCell ref="B757:B759"/>
    <mergeCell ref="C757:C759"/>
    <mergeCell ref="D757:D759"/>
    <mergeCell ref="E757:E759"/>
    <mergeCell ref="F757:F759"/>
    <mergeCell ref="G757:G759"/>
    <mergeCell ref="H757:H759"/>
    <mergeCell ref="I757:I759"/>
    <mergeCell ref="J757:J759"/>
    <mergeCell ref="K757:K759"/>
    <mergeCell ref="L757:L759"/>
    <mergeCell ref="M757:M759"/>
    <mergeCell ref="N757:N759"/>
    <mergeCell ref="AE757:AE759"/>
    <mergeCell ref="AF757:AF759"/>
    <mergeCell ref="A748:A750"/>
    <mergeCell ref="B748:B750"/>
    <mergeCell ref="C748:C750"/>
    <mergeCell ref="D748:D750"/>
    <mergeCell ref="E748:E750"/>
    <mergeCell ref="F748:F750"/>
    <mergeCell ref="G748:G750"/>
    <mergeCell ref="H748:H750"/>
    <mergeCell ref="I748:I750"/>
    <mergeCell ref="J748:J750"/>
    <mergeCell ref="K748:K750"/>
    <mergeCell ref="L748:L750"/>
    <mergeCell ref="M748:M750"/>
    <mergeCell ref="N748:N750"/>
    <mergeCell ref="AE748:AE750"/>
    <mergeCell ref="AF748:AF750"/>
    <mergeCell ref="A751:A753"/>
    <mergeCell ref="B751:B753"/>
    <mergeCell ref="C751:C753"/>
    <mergeCell ref="D751:D753"/>
    <mergeCell ref="E751:E753"/>
    <mergeCell ref="F751:F753"/>
    <mergeCell ref="G751:G753"/>
    <mergeCell ref="H751:H753"/>
    <mergeCell ref="I751:I753"/>
    <mergeCell ref="J751:J753"/>
    <mergeCell ref="K751:K753"/>
    <mergeCell ref="L751:L753"/>
    <mergeCell ref="M751:M753"/>
    <mergeCell ref="N751:N753"/>
    <mergeCell ref="AE751:AE753"/>
    <mergeCell ref="AF751:AF753"/>
    <mergeCell ref="A742:A744"/>
    <mergeCell ref="B742:B744"/>
    <mergeCell ref="C742:C744"/>
    <mergeCell ref="D742:D744"/>
    <mergeCell ref="E742:E744"/>
    <mergeCell ref="F742:F744"/>
    <mergeCell ref="G742:G744"/>
    <mergeCell ref="H742:H744"/>
    <mergeCell ref="I742:I744"/>
    <mergeCell ref="J742:J744"/>
    <mergeCell ref="K742:K744"/>
    <mergeCell ref="L742:L744"/>
    <mergeCell ref="M742:M744"/>
    <mergeCell ref="N742:N744"/>
    <mergeCell ref="AE742:AE744"/>
    <mergeCell ref="AF742:AF744"/>
    <mergeCell ref="A745:A747"/>
    <mergeCell ref="B745:B747"/>
    <mergeCell ref="C745:C747"/>
    <mergeCell ref="D745:D747"/>
    <mergeCell ref="E745:E747"/>
    <mergeCell ref="F745:F747"/>
    <mergeCell ref="G745:G747"/>
    <mergeCell ref="H745:H747"/>
    <mergeCell ref="I745:I747"/>
    <mergeCell ref="J745:J747"/>
    <mergeCell ref="K745:K747"/>
    <mergeCell ref="L745:L747"/>
    <mergeCell ref="M745:M747"/>
    <mergeCell ref="N745:N747"/>
    <mergeCell ref="AE745:AE747"/>
    <mergeCell ref="AF745:AF747"/>
    <mergeCell ref="A736:A738"/>
    <mergeCell ref="B736:B738"/>
    <mergeCell ref="C736:C738"/>
    <mergeCell ref="D736:D738"/>
    <mergeCell ref="E736:E738"/>
    <mergeCell ref="F736:F738"/>
    <mergeCell ref="G736:G738"/>
    <mergeCell ref="H736:H738"/>
    <mergeCell ref="I736:I738"/>
    <mergeCell ref="J736:J738"/>
    <mergeCell ref="K736:K738"/>
    <mergeCell ref="L736:L738"/>
    <mergeCell ref="M736:M738"/>
    <mergeCell ref="N736:N738"/>
    <mergeCell ref="AE736:AE738"/>
    <mergeCell ref="AF736:AF738"/>
    <mergeCell ref="A739:A741"/>
    <mergeCell ref="B739:B741"/>
    <mergeCell ref="C739:C741"/>
    <mergeCell ref="D739:D741"/>
    <mergeCell ref="E739:E741"/>
    <mergeCell ref="F739:F741"/>
    <mergeCell ref="G739:G741"/>
    <mergeCell ref="H739:H741"/>
    <mergeCell ref="I739:I741"/>
    <mergeCell ref="J739:J741"/>
    <mergeCell ref="K739:K741"/>
    <mergeCell ref="L739:L741"/>
    <mergeCell ref="M739:M741"/>
    <mergeCell ref="N739:N741"/>
    <mergeCell ref="AE739:AE741"/>
    <mergeCell ref="AF739:AF741"/>
    <mergeCell ref="A730:A732"/>
    <mergeCell ref="B730:B732"/>
    <mergeCell ref="C730:C732"/>
    <mergeCell ref="D730:D732"/>
    <mergeCell ref="E730:E732"/>
    <mergeCell ref="F730:F732"/>
    <mergeCell ref="G730:G732"/>
    <mergeCell ref="H730:H732"/>
    <mergeCell ref="I730:I732"/>
    <mergeCell ref="J730:J732"/>
    <mergeCell ref="K730:K732"/>
    <mergeCell ref="L730:L732"/>
    <mergeCell ref="M730:M732"/>
    <mergeCell ref="N730:N732"/>
    <mergeCell ref="AE730:AE732"/>
    <mergeCell ref="AF730:AF732"/>
    <mergeCell ref="A733:A735"/>
    <mergeCell ref="B733:B735"/>
    <mergeCell ref="C733:C735"/>
    <mergeCell ref="D733:D735"/>
    <mergeCell ref="E733:E735"/>
    <mergeCell ref="F733:F735"/>
    <mergeCell ref="G733:G735"/>
    <mergeCell ref="H733:H735"/>
    <mergeCell ref="I733:I735"/>
    <mergeCell ref="J733:J735"/>
    <mergeCell ref="K733:K735"/>
    <mergeCell ref="L733:L735"/>
    <mergeCell ref="M733:M735"/>
    <mergeCell ref="N733:N735"/>
    <mergeCell ref="AE733:AE735"/>
    <mergeCell ref="AF733:AF735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24:J726"/>
    <mergeCell ref="K724:K726"/>
    <mergeCell ref="L724:L726"/>
    <mergeCell ref="M724:M726"/>
    <mergeCell ref="N724:N726"/>
    <mergeCell ref="AE724:AE726"/>
    <mergeCell ref="AF724:AF726"/>
    <mergeCell ref="A727:A729"/>
    <mergeCell ref="B727:B729"/>
    <mergeCell ref="C727:C729"/>
    <mergeCell ref="D727:D729"/>
    <mergeCell ref="E727:E729"/>
    <mergeCell ref="F727:F729"/>
    <mergeCell ref="G727:G729"/>
    <mergeCell ref="H727:H729"/>
    <mergeCell ref="I727:I729"/>
    <mergeCell ref="J727:J729"/>
    <mergeCell ref="K727:K729"/>
    <mergeCell ref="L727:L729"/>
    <mergeCell ref="M727:M729"/>
    <mergeCell ref="N727:N729"/>
    <mergeCell ref="AE727:AE729"/>
    <mergeCell ref="AF727:AF729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8:J720"/>
    <mergeCell ref="K718:K720"/>
    <mergeCell ref="L718:L720"/>
    <mergeCell ref="M718:M720"/>
    <mergeCell ref="N718:N720"/>
    <mergeCell ref="AE718:AE720"/>
    <mergeCell ref="AF718:AF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21:J723"/>
    <mergeCell ref="K721:K723"/>
    <mergeCell ref="L721:L723"/>
    <mergeCell ref="M721:M723"/>
    <mergeCell ref="N721:N723"/>
    <mergeCell ref="AE721:AE723"/>
    <mergeCell ref="AF721:AF723"/>
    <mergeCell ref="A712:A714"/>
    <mergeCell ref="B712:B714"/>
    <mergeCell ref="C712:C714"/>
    <mergeCell ref="D712:D714"/>
    <mergeCell ref="E712:E714"/>
    <mergeCell ref="F712:F714"/>
    <mergeCell ref="G712:G714"/>
    <mergeCell ref="H712:H714"/>
    <mergeCell ref="I712:I714"/>
    <mergeCell ref="J712:J714"/>
    <mergeCell ref="K712:K714"/>
    <mergeCell ref="L712:L714"/>
    <mergeCell ref="M712:M714"/>
    <mergeCell ref="N712:N714"/>
    <mergeCell ref="AE712:AE714"/>
    <mergeCell ref="AF712:AF714"/>
    <mergeCell ref="A715:A717"/>
    <mergeCell ref="B715:B717"/>
    <mergeCell ref="C715:C717"/>
    <mergeCell ref="D715:D717"/>
    <mergeCell ref="E715:E717"/>
    <mergeCell ref="F715:F717"/>
    <mergeCell ref="G715:G717"/>
    <mergeCell ref="H715:H717"/>
    <mergeCell ref="I715:I717"/>
    <mergeCell ref="J715:J717"/>
    <mergeCell ref="K715:K717"/>
    <mergeCell ref="L715:L717"/>
    <mergeCell ref="M715:M717"/>
    <mergeCell ref="N715:N717"/>
    <mergeCell ref="AE715:AE717"/>
    <mergeCell ref="AF715:AF717"/>
    <mergeCell ref="A706:A708"/>
    <mergeCell ref="B706:B708"/>
    <mergeCell ref="C706:C708"/>
    <mergeCell ref="D706:D708"/>
    <mergeCell ref="E706:E708"/>
    <mergeCell ref="F706:F708"/>
    <mergeCell ref="G706:G708"/>
    <mergeCell ref="H706:H708"/>
    <mergeCell ref="I706:I708"/>
    <mergeCell ref="J706:J708"/>
    <mergeCell ref="K706:K708"/>
    <mergeCell ref="L706:L708"/>
    <mergeCell ref="M706:M708"/>
    <mergeCell ref="N706:N708"/>
    <mergeCell ref="AE706:AE708"/>
    <mergeCell ref="AF706:AF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AE709:AE711"/>
    <mergeCell ref="AF709:AF711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700:J702"/>
    <mergeCell ref="K700:K702"/>
    <mergeCell ref="L700:L702"/>
    <mergeCell ref="M700:M702"/>
    <mergeCell ref="N700:N702"/>
    <mergeCell ref="AE700:AE702"/>
    <mergeCell ref="AF700:AF702"/>
    <mergeCell ref="A703:A705"/>
    <mergeCell ref="B703:B705"/>
    <mergeCell ref="C703:C705"/>
    <mergeCell ref="D703:D705"/>
    <mergeCell ref="E703:E705"/>
    <mergeCell ref="F703:F705"/>
    <mergeCell ref="G703:G705"/>
    <mergeCell ref="H703:H705"/>
    <mergeCell ref="I703:I705"/>
    <mergeCell ref="J703:J705"/>
    <mergeCell ref="K703:K705"/>
    <mergeCell ref="L703:L705"/>
    <mergeCell ref="M703:M705"/>
    <mergeCell ref="N703:N705"/>
    <mergeCell ref="AE703:AE705"/>
    <mergeCell ref="AF703:AF705"/>
    <mergeCell ref="A694:A696"/>
    <mergeCell ref="B694:B696"/>
    <mergeCell ref="C694:C696"/>
    <mergeCell ref="D694:D696"/>
    <mergeCell ref="E694:E696"/>
    <mergeCell ref="F694:F696"/>
    <mergeCell ref="G694:G696"/>
    <mergeCell ref="H694:H696"/>
    <mergeCell ref="I694:I696"/>
    <mergeCell ref="J694:J696"/>
    <mergeCell ref="K694:K696"/>
    <mergeCell ref="L694:L696"/>
    <mergeCell ref="M694:M696"/>
    <mergeCell ref="N694:N696"/>
    <mergeCell ref="AE694:AE696"/>
    <mergeCell ref="AF694:AF696"/>
    <mergeCell ref="A697:A699"/>
    <mergeCell ref="B697:B699"/>
    <mergeCell ref="C697:C699"/>
    <mergeCell ref="D697:D699"/>
    <mergeCell ref="E697:E699"/>
    <mergeCell ref="F697:F699"/>
    <mergeCell ref="G697:G699"/>
    <mergeCell ref="H697:H699"/>
    <mergeCell ref="I697:I699"/>
    <mergeCell ref="J697:J699"/>
    <mergeCell ref="K697:K699"/>
    <mergeCell ref="L697:L699"/>
    <mergeCell ref="M697:M699"/>
    <mergeCell ref="N697:N699"/>
    <mergeCell ref="AE697:AE699"/>
    <mergeCell ref="AF697:AF699"/>
    <mergeCell ref="A688:A690"/>
    <mergeCell ref="B688:B690"/>
    <mergeCell ref="C688:C690"/>
    <mergeCell ref="D688:D690"/>
    <mergeCell ref="E688:E690"/>
    <mergeCell ref="F688:F690"/>
    <mergeCell ref="G688:G690"/>
    <mergeCell ref="H688:H690"/>
    <mergeCell ref="I688:I690"/>
    <mergeCell ref="J688:J690"/>
    <mergeCell ref="K688:K690"/>
    <mergeCell ref="L688:L690"/>
    <mergeCell ref="M688:M690"/>
    <mergeCell ref="N688:N690"/>
    <mergeCell ref="AE688:AE690"/>
    <mergeCell ref="AF688:AF690"/>
    <mergeCell ref="A691:A693"/>
    <mergeCell ref="B691:B693"/>
    <mergeCell ref="C691:C693"/>
    <mergeCell ref="D691:D693"/>
    <mergeCell ref="E691:E693"/>
    <mergeCell ref="F691:F693"/>
    <mergeCell ref="G691:G693"/>
    <mergeCell ref="H691:H693"/>
    <mergeCell ref="I691:I693"/>
    <mergeCell ref="J691:J693"/>
    <mergeCell ref="K691:K693"/>
    <mergeCell ref="L691:L693"/>
    <mergeCell ref="M691:M693"/>
    <mergeCell ref="N691:N693"/>
    <mergeCell ref="AE691:AE693"/>
    <mergeCell ref="AF691:AF693"/>
    <mergeCell ref="A682:A684"/>
    <mergeCell ref="B682:B684"/>
    <mergeCell ref="C682:C684"/>
    <mergeCell ref="D682:D684"/>
    <mergeCell ref="E682:E684"/>
    <mergeCell ref="F682:F684"/>
    <mergeCell ref="G682:G684"/>
    <mergeCell ref="H682:H684"/>
    <mergeCell ref="I682:I684"/>
    <mergeCell ref="J682:J684"/>
    <mergeCell ref="K682:K684"/>
    <mergeCell ref="L682:L684"/>
    <mergeCell ref="M682:M684"/>
    <mergeCell ref="N682:N684"/>
    <mergeCell ref="AE682:AE684"/>
    <mergeCell ref="AF682:AF684"/>
    <mergeCell ref="A685:A687"/>
    <mergeCell ref="B685:B687"/>
    <mergeCell ref="C685:C687"/>
    <mergeCell ref="D685:D687"/>
    <mergeCell ref="E685:E687"/>
    <mergeCell ref="F685:F687"/>
    <mergeCell ref="G685:G687"/>
    <mergeCell ref="H685:H687"/>
    <mergeCell ref="I685:I687"/>
    <mergeCell ref="J685:J687"/>
    <mergeCell ref="K685:K687"/>
    <mergeCell ref="L685:L687"/>
    <mergeCell ref="M685:M687"/>
    <mergeCell ref="N685:N687"/>
    <mergeCell ref="AE685:AE687"/>
    <mergeCell ref="AF685:AF687"/>
    <mergeCell ref="A676:A678"/>
    <mergeCell ref="B676:B678"/>
    <mergeCell ref="C676:C678"/>
    <mergeCell ref="D676:D678"/>
    <mergeCell ref="E676:E678"/>
    <mergeCell ref="F676:F678"/>
    <mergeCell ref="G676:G678"/>
    <mergeCell ref="H676:H678"/>
    <mergeCell ref="I676:I678"/>
    <mergeCell ref="J676:J678"/>
    <mergeCell ref="K676:K678"/>
    <mergeCell ref="L676:L678"/>
    <mergeCell ref="M676:M678"/>
    <mergeCell ref="N676:N678"/>
    <mergeCell ref="AE676:AE678"/>
    <mergeCell ref="AF676:AF678"/>
    <mergeCell ref="A679:A681"/>
    <mergeCell ref="B679:B681"/>
    <mergeCell ref="C679:C681"/>
    <mergeCell ref="D679:D681"/>
    <mergeCell ref="E679:E681"/>
    <mergeCell ref="F679:F681"/>
    <mergeCell ref="G679:G681"/>
    <mergeCell ref="H679:H681"/>
    <mergeCell ref="I679:I681"/>
    <mergeCell ref="J679:J681"/>
    <mergeCell ref="K679:K681"/>
    <mergeCell ref="L679:L681"/>
    <mergeCell ref="M679:M681"/>
    <mergeCell ref="N679:N681"/>
    <mergeCell ref="AE679:AE681"/>
    <mergeCell ref="AF679:AF681"/>
    <mergeCell ref="A670:A672"/>
    <mergeCell ref="B670:B672"/>
    <mergeCell ref="C670:C672"/>
    <mergeCell ref="D670:D672"/>
    <mergeCell ref="E670:E672"/>
    <mergeCell ref="F670:F672"/>
    <mergeCell ref="G670:G672"/>
    <mergeCell ref="H670:H672"/>
    <mergeCell ref="I670:I672"/>
    <mergeCell ref="J670:J672"/>
    <mergeCell ref="K670:K672"/>
    <mergeCell ref="L670:L672"/>
    <mergeCell ref="M670:M672"/>
    <mergeCell ref="N670:N672"/>
    <mergeCell ref="AE670:AE672"/>
    <mergeCell ref="AF670:AF672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73:J675"/>
    <mergeCell ref="K673:K675"/>
    <mergeCell ref="L673:L675"/>
    <mergeCell ref="M673:M675"/>
    <mergeCell ref="N673:N675"/>
    <mergeCell ref="AE673:AE675"/>
    <mergeCell ref="AF673:AF675"/>
    <mergeCell ref="A664:A666"/>
    <mergeCell ref="B664:B666"/>
    <mergeCell ref="C664:C666"/>
    <mergeCell ref="D664:D666"/>
    <mergeCell ref="E664:E666"/>
    <mergeCell ref="F664:F666"/>
    <mergeCell ref="G664:G666"/>
    <mergeCell ref="H664:H666"/>
    <mergeCell ref="I664:I666"/>
    <mergeCell ref="J664:J666"/>
    <mergeCell ref="K664:K666"/>
    <mergeCell ref="L664:L666"/>
    <mergeCell ref="M664:M666"/>
    <mergeCell ref="N664:N666"/>
    <mergeCell ref="AE664:AE666"/>
    <mergeCell ref="AF664:AF666"/>
    <mergeCell ref="A667:A669"/>
    <mergeCell ref="B667:B669"/>
    <mergeCell ref="C667:C669"/>
    <mergeCell ref="D667:D669"/>
    <mergeCell ref="E667:E669"/>
    <mergeCell ref="F667:F669"/>
    <mergeCell ref="G667:G669"/>
    <mergeCell ref="H667:H669"/>
    <mergeCell ref="I667:I669"/>
    <mergeCell ref="J667:J669"/>
    <mergeCell ref="K667:K669"/>
    <mergeCell ref="L667:L669"/>
    <mergeCell ref="M667:M669"/>
    <mergeCell ref="N667:N669"/>
    <mergeCell ref="AE667:AE669"/>
    <mergeCell ref="AF667:AF669"/>
    <mergeCell ref="A658:A660"/>
    <mergeCell ref="B658:B660"/>
    <mergeCell ref="C658:C660"/>
    <mergeCell ref="D658:D660"/>
    <mergeCell ref="E658:E660"/>
    <mergeCell ref="F658:F660"/>
    <mergeCell ref="G658:G660"/>
    <mergeCell ref="H658:H660"/>
    <mergeCell ref="I658:I660"/>
    <mergeCell ref="J658:J660"/>
    <mergeCell ref="K658:K660"/>
    <mergeCell ref="L658:L660"/>
    <mergeCell ref="M658:M660"/>
    <mergeCell ref="N658:N660"/>
    <mergeCell ref="AE658:AE660"/>
    <mergeCell ref="AF658:AF660"/>
    <mergeCell ref="A661:A663"/>
    <mergeCell ref="B661:B663"/>
    <mergeCell ref="C661:C663"/>
    <mergeCell ref="D661:D663"/>
    <mergeCell ref="E661:E663"/>
    <mergeCell ref="F661:F663"/>
    <mergeCell ref="G661:G663"/>
    <mergeCell ref="H661:H663"/>
    <mergeCell ref="I661:I663"/>
    <mergeCell ref="J661:J663"/>
    <mergeCell ref="K661:K663"/>
    <mergeCell ref="L661:L663"/>
    <mergeCell ref="M661:M663"/>
    <mergeCell ref="N661:N663"/>
    <mergeCell ref="AE661:AE663"/>
    <mergeCell ref="AF661:AF663"/>
    <mergeCell ref="A652:A654"/>
    <mergeCell ref="B652:B654"/>
    <mergeCell ref="C652:C654"/>
    <mergeCell ref="D652:D654"/>
    <mergeCell ref="E652:E654"/>
    <mergeCell ref="F652:F654"/>
    <mergeCell ref="G652:G654"/>
    <mergeCell ref="H652:H654"/>
    <mergeCell ref="I652:I654"/>
    <mergeCell ref="J652:J654"/>
    <mergeCell ref="K652:K654"/>
    <mergeCell ref="L652:L654"/>
    <mergeCell ref="M652:M654"/>
    <mergeCell ref="N652:N654"/>
    <mergeCell ref="AE652:AE654"/>
    <mergeCell ref="AF652:AF654"/>
    <mergeCell ref="A655:A657"/>
    <mergeCell ref="B655:B657"/>
    <mergeCell ref="C655:C657"/>
    <mergeCell ref="D655:D657"/>
    <mergeCell ref="E655:E657"/>
    <mergeCell ref="F655:F657"/>
    <mergeCell ref="G655:G657"/>
    <mergeCell ref="H655:H657"/>
    <mergeCell ref="I655:I657"/>
    <mergeCell ref="J655:J657"/>
    <mergeCell ref="K655:K657"/>
    <mergeCell ref="L655:L657"/>
    <mergeCell ref="M655:M657"/>
    <mergeCell ref="N655:N657"/>
    <mergeCell ref="AE655:AE657"/>
    <mergeCell ref="AF655:AF657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46:J648"/>
    <mergeCell ref="K646:K648"/>
    <mergeCell ref="L646:L648"/>
    <mergeCell ref="M646:M648"/>
    <mergeCell ref="N646:N648"/>
    <mergeCell ref="AE646:AE648"/>
    <mergeCell ref="AF646:AF648"/>
    <mergeCell ref="A649:A651"/>
    <mergeCell ref="B649:B651"/>
    <mergeCell ref="C649:C651"/>
    <mergeCell ref="D649:D651"/>
    <mergeCell ref="E649:E651"/>
    <mergeCell ref="F649:F651"/>
    <mergeCell ref="G649:G651"/>
    <mergeCell ref="H649:H651"/>
    <mergeCell ref="I649:I651"/>
    <mergeCell ref="J649:J651"/>
    <mergeCell ref="K649:K651"/>
    <mergeCell ref="L649:L651"/>
    <mergeCell ref="M649:M651"/>
    <mergeCell ref="N649:N651"/>
    <mergeCell ref="AE649:AE651"/>
    <mergeCell ref="AF649:AF651"/>
    <mergeCell ref="A640:A642"/>
    <mergeCell ref="B640:B642"/>
    <mergeCell ref="C640:C642"/>
    <mergeCell ref="D640:D642"/>
    <mergeCell ref="E640:E642"/>
    <mergeCell ref="F640:F642"/>
    <mergeCell ref="G640:G642"/>
    <mergeCell ref="H640:H642"/>
    <mergeCell ref="I640:I642"/>
    <mergeCell ref="J640:J642"/>
    <mergeCell ref="K640:K642"/>
    <mergeCell ref="L640:L642"/>
    <mergeCell ref="M640:M642"/>
    <mergeCell ref="N640:N642"/>
    <mergeCell ref="AE640:AE642"/>
    <mergeCell ref="AF640:AF642"/>
    <mergeCell ref="A643:A645"/>
    <mergeCell ref="B643:B645"/>
    <mergeCell ref="C643:C645"/>
    <mergeCell ref="D643:D645"/>
    <mergeCell ref="E643:E645"/>
    <mergeCell ref="F643:F645"/>
    <mergeCell ref="G643:G645"/>
    <mergeCell ref="H643:H645"/>
    <mergeCell ref="I643:I645"/>
    <mergeCell ref="J643:J645"/>
    <mergeCell ref="K643:K645"/>
    <mergeCell ref="L643:L645"/>
    <mergeCell ref="M643:M645"/>
    <mergeCell ref="N643:N645"/>
    <mergeCell ref="AE643:AE645"/>
    <mergeCell ref="AF643:AF645"/>
    <mergeCell ref="A634:A636"/>
    <mergeCell ref="B634:B636"/>
    <mergeCell ref="C634:C636"/>
    <mergeCell ref="D634:D636"/>
    <mergeCell ref="E634:E636"/>
    <mergeCell ref="F634:F636"/>
    <mergeCell ref="G634:G636"/>
    <mergeCell ref="H634:H636"/>
    <mergeCell ref="I634:I636"/>
    <mergeCell ref="J634:J636"/>
    <mergeCell ref="K634:K636"/>
    <mergeCell ref="L634:L636"/>
    <mergeCell ref="M634:M636"/>
    <mergeCell ref="N634:N636"/>
    <mergeCell ref="AE634:AE636"/>
    <mergeCell ref="AF634:AF636"/>
    <mergeCell ref="A637:A639"/>
    <mergeCell ref="B637:B639"/>
    <mergeCell ref="C637:C639"/>
    <mergeCell ref="D637:D639"/>
    <mergeCell ref="E637:E639"/>
    <mergeCell ref="F637:F639"/>
    <mergeCell ref="G637:G639"/>
    <mergeCell ref="H637:H639"/>
    <mergeCell ref="I637:I639"/>
    <mergeCell ref="J637:J639"/>
    <mergeCell ref="K637:K639"/>
    <mergeCell ref="L637:L639"/>
    <mergeCell ref="M637:M639"/>
    <mergeCell ref="N637:N639"/>
    <mergeCell ref="AE637:AE639"/>
    <mergeCell ref="AF637:AF639"/>
    <mergeCell ref="A628:A630"/>
    <mergeCell ref="B628:B630"/>
    <mergeCell ref="C628:C630"/>
    <mergeCell ref="D628:D630"/>
    <mergeCell ref="E628:E630"/>
    <mergeCell ref="F628:F630"/>
    <mergeCell ref="G628:G630"/>
    <mergeCell ref="H628:H630"/>
    <mergeCell ref="I628:I630"/>
    <mergeCell ref="J628:J630"/>
    <mergeCell ref="K628:K630"/>
    <mergeCell ref="L628:L630"/>
    <mergeCell ref="M628:M630"/>
    <mergeCell ref="N628:N630"/>
    <mergeCell ref="AE628:AE630"/>
    <mergeCell ref="AF628:AF630"/>
    <mergeCell ref="A631:A633"/>
    <mergeCell ref="B631:B633"/>
    <mergeCell ref="C631:C633"/>
    <mergeCell ref="D631:D633"/>
    <mergeCell ref="E631:E633"/>
    <mergeCell ref="F631:F633"/>
    <mergeCell ref="G631:G633"/>
    <mergeCell ref="H631:H633"/>
    <mergeCell ref="I631:I633"/>
    <mergeCell ref="J631:J633"/>
    <mergeCell ref="K631:K633"/>
    <mergeCell ref="L631:L633"/>
    <mergeCell ref="M631:M633"/>
    <mergeCell ref="N631:N633"/>
    <mergeCell ref="AE631:AE633"/>
    <mergeCell ref="AF631:AF633"/>
    <mergeCell ref="A622:A624"/>
    <mergeCell ref="B622:B624"/>
    <mergeCell ref="C622:C624"/>
    <mergeCell ref="D622:D624"/>
    <mergeCell ref="E622:E624"/>
    <mergeCell ref="F622:F624"/>
    <mergeCell ref="G622:G624"/>
    <mergeCell ref="H622:H624"/>
    <mergeCell ref="I622:I624"/>
    <mergeCell ref="J622:J624"/>
    <mergeCell ref="K622:K624"/>
    <mergeCell ref="L622:L624"/>
    <mergeCell ref="M622:M624"/>
    <mergeCell ref="N622:N624"/>
    <mergeCell ref="AE622:AE624"/>
    <mergeCell ref="AF622:AF624"/>
    <mergeCell ref="A625:A627"/>
    <mergeCell ref="B625:B627"/>
    <mergeCell ref="C625:C627"/>
    <mergeCell ref="D625:D627"/>
    <mergeCell ref="E625:E627"/>
    <mergeCell ref="F625:F627"/>
    <mergeCell ref="G625:G627"/>
    <mergeCell ref="H625:H627"/>
    <mergeCell ref="I625:I627"/>
    <mergeCell ref="J625:J627"/>
    <mergeCell ref="K625:K627"/>
    <mergeCell ref="L625:L627"/>
    <mergeCell ref="M625:M627"/>
    <mergeCell ref="N625:N627"/>
    <mergeCell ref="AE625:AE627"/>
    <mergeCell ref="AF625:AF627"/>
    <mergeCell ref="A616:A618"/>
    <mergeCell ref="B616:B618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K616:K618"/>
    <mergeCell ref="L616:L618"/>
    <mergeCell ref="M616:M618"/>
    <mergeCell ref="N616:N618"/>
    <mergeCell ref="AE616:AE618"/>
    <mergeCell ref="AF616:AF618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9:L621"/>
    <mergeCell ref="M619:M621"/>
    <mergeCell ref="N619:N621"/>
    <mergeCell ref="AE619:AE621"/>
    <mergeCell ref="AF619:AF621"/>
    <mergeCell ref="A610:A612"/>
    <mergeCell ref="B610:B612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K610:K612"/>
    <mergeCell ref="L610:L612"/>
    <mergeCell ref="M610:M612"/>
    <mergeCell ref="N610:N612"/>
    <mergeCell ref="AE610:AE612"/>
    <mergeCell ref="AF610:AF612"/>
    <mergeCell ref="A613:A615"/>
    <mergeCell ref="B613:B615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K613:K615"/>
    <mergeCell ref="L613:L615"/>
    <mergeCell ref="M613:M615"/>
    <mergeCell ref="N613:N615"/>
    <mergeCell ref="AE613:AE615"/>
    <mergeCell ref="AF613:AF615"/>
    <mergeCell ref="A604:A606"/>
    <mergeCell ref="B604:B606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L604:L606"/>
    <mergeCell ref="M604:M606"/>
    <mergeCell ref="N604:N606"/>
    <mergeCell ref="AE604:AE606"/>
    <mergeCell ref="AF604:AF606"/>
    <mergeCell ref="A607:A609"/>
    <mergeCell ref="B607:B609"/>
    <mergeCell ref="C607:C609"/>
    <mergeCell ref="D607:D609"/>
    <mergeCell ref="E607:E609"/>
    <mergeCell ref="F607:F609"/>
    <mergeCell ref="G607:G609"/>
    <mergeCell ref="H607:H609"/>
    <mergeCell ref="I607:I609"/>
    <mergeCell ref="J607:J609"/>
    <mergeCell ref="K607:K609"/>
    <mergeCell ref="L607:L609"/>
    <mergeCell ref="M607:M609"/>
    <mergeCell ref="N607:N609"/>
    <mergeCell ref="AE607:AE609"/>
    <mergeCell ref="AF607:AF609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AE598:AE600"/>
    <mergeCell ref="AF598:AF600"/>
    <mergeCell ref="A601:A603"/>
    <mergeCell ref="B601:B603"/>
    <mergeCell ref="C601:C603"/>
    <mergeCell ref="D601:D603"/>
    <mergeCell ref="E601:E603"/>
    <mergeCell ref="F601:F603"/>
    <mergeCell ref="G601:G603"/>
    <mergeCell ref="H601:H603"/>
    <mergeCell ref="I601:I603"/>
    <mergeCell ref="J601:J603"/>
    <mergeCell ref="K601:K603"/>
    <mergeCell ref="L601:L603"/>
    <mergeCell ref="M601:M603"/>
    <mergeCell ref="N601:N603"/>
    <mergeCell ref="AE601:AE603"/>
    <mergeCell ref="AF601:AF603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92:L594"/>
    <mergeCell ref="M592:M594"/>
    <mergeCell ref="N592:N594"/>
    <mergeCell ref="AE592:AE594"/>
    <mergeCell ref="AF592:AF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5:L597"/>
    <mergeCell ref="M595:M597"/>
    <mergeCell ref="N595:N597"/>
    <mergeCell ref="AE595:AE597"/>
    <mergeCell ref="AF595:AF597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K586:K588"/>
    <mergeCell ref="L586:L588"/>
    <mergeCell ref="M586:M588"/>
    <mergeCell ref="N586:N588"/>
    <mergeCell ref="AE586:AE588"/>
    <mergeCell ref="AF586:AF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AE589:AE591"/>
    <mergeCell ref="AF589:AF591"/>
    <mergeCell ref="A580:A582"/>
    <mergeCell ref="B580:B582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L580:L582"/>
    <mergeCell ref="M580:M582"/>
    <mergeCell ref="N580:N582"/>
    <mergeCell ref="AE580:AE582"/>
    <mergeCell ref="AF580:AF582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  <mergeCell ref="L583:L585"/>
    <mergeCell ref="M583:M585"/>
    <mergeCell ref="N583:N585"/>
    <mergeCell ref="AE583:AE585"/>
    <mergeCell ref="AF583:AF585"/>
    <mergeCell ref="A574:A576"/>
    <mergeCell ref="B574:B576"/>
    <mergeCell ref="C574:C576"/>
    <mergeCell ref="D574:D576"/>
    <mergeCell ref="E574:E576"/>
    <mergeCell ref="F574:F576"/>
    <mergeCell ref="G574:G576"/>
    <mergeCell ref="H574:H576"/>
    <mergeCell ref="I574:I576"/>
    <mergeCell ref="J574:J576"/>
    <mergeCell ref="K574:K576"/>
    <mergeCell ref="L574:L576"/>
    <mergeCell ref="M574:M576"/>
    <mergeCell ref="N574:N576"/>
    <mergeCell ref="AE574:AE576"/>
    <mergeCell ref="AF574:AF576"/>
    <mergeCell ref="A577:A579"/>
    <mergeCell ref="B577:B579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K577:K579"/>
    <mergeCell ref="L577:L579"/>
    <mergeCell ref="M577:M579"/>
    <mergeCell ref="N577:N579"/>
    <mergeCell ref="AE577:AE579"/>
    <mergeCell ref="AF577:AF579"/>
    <mergeCell ref="A568:A570"/>
    <mergeCell ref="B568:B570"/>
    <mergeCell ref="C568:C570"/>
    <mergeCell ref="D568:D570"/>
    <mergeCell ref="E568:E570"/>
    <mergeCell ref="F568:F570"/>
    <mergeCell ref="G568:G570"/>
    <mergeCell ref="H568:H570"/>
    <mergeCell ref="I568:I570"/>
    <mergeCell ref="J568:J570"/>
    <mergeCell ref="K568:K570"/>
    <mergeCell ref="L568:L570"/>
    <mergeCell ref="M568:M570"/>
    <mergeCell ref="N568:N570"/>
    <mergeCell ref="AE568:AE570"/>
    <mergeCell ref="AF568:AF570"/>
    <mergeCell ref="A571:A573"/>
    <mergeCell ref="B571:B573"/>
    <mergeCell ref="C571:C573"/>
    <mergeCell ref="D571:D573"/>
    <mergeCell ref="E571:E573"/>
    <mergeCell ref="F571:F573"/>
    <mergeCell ref="G571:G573"/>
    <mergeCell ref="H571:H573"/>
    <mergeCell ref="I571:I573"/>
    <mergeCell ref="J571:J573"/>
    <mergeCell ref="K571:K573"/>
    <mergeCell ref="L571:L573"/>
    <mergeCell ref="M571:M573"/>
    <mergeCell ref="N571:N573"/>
    <mergeCell ref="AE571:AE573"/>
    <mergeCell ref="AF571:AF573"/>
    <mergeCell ref="A562:A564"/>
    <mergeCell ref="B562:B564"/>
    <mergeCell ref="C562:C564"/>
    <mergeCell ref="D562:D564"/>
    <mergeCell ref="E562:E564"/>
    <mergeCell ref="F562:F564"/>
    <mergeCell ref="G562:G564"/>
    <mergeCell ref="H562:H564"/>
    <mergeCell ref="I562:I564"/>
    <mergeCell ref="J562:J564"/>
    <mergeCell ref="K562:K564"/>
    <mergeCell ref="L562:L564"/>
    <mergeCell ref="M562:M564"/>
    <mergeCell ref="N562:N564"/>
    <mergeCell ref="AE562:AE564"/>
    <mergeCell ref="AF562:AF564"/>
    <mergeCell ref="A565:A567"/>
    <mergeCell ref="B565:B567"/>
    <mergeCell ref="C565:C567"/>
    <mergeCell ref="D565:D567"/>
    <mergeCell ref="E565:E567"/>
    <mergeCell ref="F565:F567"/>
    <mergeCell ref="G565:G567"/>
    <mergeCell ref="H565:H567"/>
    <mergeCell ref="I565:I567"/>
    <mergeCell ref="J565:J567"/>
    <mergeCell ref="K565:K567"/>
    <mergeCell ref="L565:L567"/>
    <mergeCell ref="M565:M567"/>
    <mergeCell ref="N565:N567"/>
    <mergeCell ref="AE565:AE567"/>
    <mergeCell ref="AF565:AF567"/>
    <mergeCell ref="A556:A558"/>
    <mergeCell ref="B556:B558"/>
    <mergeCell ref="C556:C558"/>
    <mergeCell ref="D556:D558"/>
    <mergeCell ref="E556:E558"/>
    <mergeCell ref="F556:F558"/>
    <mergeCell ref="G556:G558"/>
    <mergeCell ref="H556:H558"/>
    <mergeCell ref="I556:I558"/>
    <mergeCell ref="J556:J558"/>
    <mergeCell ref="K556:K558"/>
    <mergeCell ref="L556:L558"/>
    <mergeCell ref="M556:M558"/>
    <mergeCell ref="N556:N558"/>
    <mergeCell ref="AE556:AE558"/>
    <mergeCell ref="AF556:AF558"/>
    <mergeCell ref="A559:A561"/>
    <mergeCell ref="B559:B561"/>
    <mergeCell ref="C559:C561"/>
    <mergeCell ref="D559:D561"/>
    <mergeCell ref="E559:E561"/>
    <mergeCell ref="F559:F561"/>
    <mergeCell ref="G559:G561"/>
    <mergeCell ref="H559:H561"/>
    <mergeCell ref="I559:I561"/>
    <mergeCell ref="J559:J561"/>
    <mergeCell ref="K559:K561"/>
    <mergeCell ref="L559:L561"/>
    <mergeCell ref="M559:M561"/>
    <mergeCell ref="N559:N561"/>
    <mergeCell ref="AE559:AE561"/>
    <mergeCell ref="AF559:AF561"/>
    <mergeCell ref="A550:A552"/>
    <mergeCell ref="B550:B552"/>
    <mergeCell ref="C550:C552"/>
    <mergeCell ref="D550:D552"/>
    <mergeCell ref="E550:E552"/>
    <mergeCell ref="F550:F552"/>
    <mergeCell ref="G550:G552"/>
    <mergeCell ref="H550:H552"/>
    <mergeCell ref="I550:I552"/>
    <mergeCell ref="J550:J552"/>
    <mergeCell ref="K550:K552"/>
    <mergeCell ref="L550:L552"/>
    <mergeCell ref="M550:M552"/>
    <mergeCell ref="N550:N552"/>
    <mergeCell ref="AE550:AE552"/>
    <mergeCell ref="AF550:AF552"/>
    <mergeCell ref="A553:A555"/>
    <mergeCell ref="B553:B555"/>
    <mergeCell ref="C553:C555"/>
    <mergeCell ref="D553:D555"/>
    <mergeCell ref="E553:E555"/>
    <mergeCell ref="F553:F555"/>
    <mergeCell ref="G553:G555"/>
    <mergeCell ref="H553:H555"/>
    <mergeCell ref="I553:I555"/>
    <mergeCell ref="J553:J555"/>
    <mergeCell ref="K553:K555"/>
    <mergeCell ref="L553:L555"/>
    <mergeCell ref="M553:M555"/>
    <mergeCell ref="N553:N555"/>
    <mergeCell ref="AE553:AE555"/>
    <mergeCell ref="AF553:AF555"/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AE544:AE546"/>
    <mergeCell ref="AF544:AF546"/>
    <mergeCell ref="A547:A549"/>
    <mergeCell ref="B547:B549"/>
    <mergeCell ref="C547:C549"/>
    <mergeCell ref="D547:D549"/>
    <mergeCell ref="E547:E549"/>
    <mergeCell ref="F547:F549"/>
    <mergeCell ref="G547:G549"/>
    <mergeCell ref="H547:H549"/>
    <mergeCell ref="I547:I549"/>
    <mergeCell ref="J547:J549"/>
    <mergeCell ref="K547:K549"/>
    <mergeCell ref="L547:L549"/>
    <mergeCell ref="M547:M549"/>
    <mergeCell ref="N547:N549"/>
    <mergeCell ref="AE547:AE549"/>
    <mergeCell ref="AF547:AF549"/>
    <mergeCell ref="A538:A540"/>
    <mergeCell ref="B538:B540"/>
    <mergeCell ref="C538:C540"/>
    <mergeCell ref="D538:D540"/>
    <mergeCell ref="E538:E540"/>
    <mergeCell ref="F538:F540"/>
    <mergeCell ref="G538:G540"/>
    <mergeCell ref="H538:H540"/>
    <mergeCell ref="I538:I540"/>
    <mergeCell ref="J538:J540"/>
    <mergeCell ref="K538:K540"/>
    <mergeCell ref="L538:L540"/>
    <mergeCell ref="M538:M540"/>
    <mergeCell ref="N538:N540"/>
    <mergeCell ref="AE538:AE540"/>
    <mergeCell ref="AF538:AF540"/>
    <mergeCell ref="A541:A543"/>
    <mergeCell ref="B541:B543"/>
    <mergeCell ref="C541:C543"/>
    <mergeCell ref="D541:D543"/>
    <mergeCell ref="E541:E543"/>
    <mergeCell ref="F541:F543"/>
    <mergeCell ref="G541:G543"/>
    <mergeCell ref="H541:H543"/>
    <mergeCell ref="I541:I543"/>
    <mergeCell ref="J541:J543"/>
    <mergeCell ref="K541:K543"/>
    <mergeCell ref="L541:L543"/>
    <mergeCell ref="M541:M543"/>
    <mergeCell ref="N541:N543"/>
    <mergeCell ref="AE541:AE543"/>
    <mergeCell ref="AF541:AF543"/>
    <mergeCell ref="A532:A534"/>
    <mergeCell ref="B532:B534"/>
    <mergeCell ref="C532:C534"/>
    <mergeCell ref="D532:D534"/>
    <mergeCell ref="E532:E534"/>
    <mergeCell ref="F532:F534"/>
    <mergeCell ref="G532:G534"/>
    <mergeCell ref="H532:H534"/>
    <mergeCell ref="I532:I534"/>
    <mergeCell ref="J532:J534"/>
    <mergeCell ref="K532:K534"/>
    <mergeCell ref="L532:L534"/>
    <mergeCell ref="M532:M534"/>
    <mergeCell ref="N532:N534"/>
    <mergeCell ref="AE532:AE534"/>
    <mergeCell ref="AF532:AF534"/>
    <mergeCell ref="A535:A537"/>
    <mergeCell ref="B535:B537"/>
    <mergeCell ref="C535:C537"/>
    <mergeCell ref="D535:D537"/>
    <mergeCell ref="E535:E537"/>
    <mergeCell ref="F535:F537"/>
    <mergeCell ref="G535:G537"/>
    <mergeCell ref="H535:H537"/>
    <mergeCell ref="I535:I537"/>
    <mergeCell ref="J535:J537"/>
    <mergeCell ref="K535:K537"/>
    <mergeCell ref="L535:L537"/>
    <mergeCell ref="M535:M537"/>
    <mergeCell ref="N535:N537"/>
    <mergeCell ref="AE535:AE537"/>
    <mergeCell ref="AF535:AF537"/>
    <mergeCell ref="A526:A528"/>
    <mergeCell ref="B526:B528"/>
    <mergeCell ref="C526:C528"/>
    <mergeCell ref="D526:D528"/>
    <mergeCell ref="E526:E528"/>
    <mergeCell ref="F526:F528"/>
    <mergeCell ref="G526:G528"/>
    <mergeCell ref="H526:H528"/>
    <mergeCell ref="I526:I528"/>
    <mergeCell ref="J526:J528"/>
    <mergeCell ref="K526:K528"/>
    <mergeCell ref="L526:L528"/>
    <mergeCell ref="M526:M528"/>
    <mergeCell ref="N526:N528"/>
    <mergeCell ref="AE526:AE528"/>
    <mergeCell ref="AF526:AF528"/>
    <mergeCell ref="A529:A531"/>
    <mergeCell ref="B529:B531"/>
    <mergeCell ref="C529:C531"/>
    <mergeCell ref="D529:D531"/>
    <mergeCell ref="E529:E531"/>
    <mergeCell ref="F529:F531"/>
    <mergeCell ref="G529:G531"/>
    <mergeCell ref="H529:H531"/>
    <mergeCell ref="I529:I531"/>
    <mergeCell ref="J529:J531"/>
    <mergeCell ref="K529:K531"/>
    <mergeCell ref="L529:L531"/>
    <mergeCell ref="M529:M531"/>
    <mergeCell ref="N529:N531"/>
    <mergeCell ref="AE529:AE531"/>
    <mergeCell ref="AF529:AF531"/>
    <mergeCell ref="A520:A522"/>
    <mergeCell ref="B520:B522"/>
    <mergeCell ref="C520:C522"/>
    <mergeCell ref="D520:D522"/>
    <mergeCell ref="E520:E522"/>
    <mergeCell ref="F520:F522"/>
    <mergeCell ref="G520:G522"/>
    <mergeCell ref="H520:H522"/>
    <mergeCell ref="I520:I522"/>
    <mergeCell ref="J520:J522"/>
    <mergeCell ref="K520:K522"/>
    <mergeCell ref="L520:L522"/>
    <mergeCell ref="M520:M522"/>
    <mergeCell ref="N520:N522"/>
    <mergeCell ref="AE520:AE522"/>
    <mergeCell ref="AF520:AF522"/>
    <mergeCell ref="A523:A525"/>
    <mergeCell ref="B523:B525"/>
    <mergeCell ref="C523:C525"/>
    <mergeCell ref="D523:D525"/>
    <mergeCell ref="E523:E525"/>
    <mergeCell ref="F523:F525"/>
    <mergeCell ref="G523:G525"/>
    <mergeCell ref="H523:H525"/>
    <mergeCell ref="I523:I525"/>
    <mergeCell ref="J523:J525"/>
    <mergeCell ref="K523:K525"/>
    <mergeCell ref="L523:L525"/>
    <mergeCell ref="M523:M525"/>
    <mergeCell ref="N523:N525"/>
    <mergeCell ref="AE523:AE525"/>
    <mergeCell ref="AF523:AF525"/>
    <mergeCell ref="A514:A516"/>
    <mergeCell ref="B514:B516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4:L516"/>
    <mergeCell ref="M514:M516"/>
    <mergeCell ref="N514:N516"/>
    <mergeCell ref="AE514:AE516"/>
    <mergeCell ref="AF514:AF516"/>
    <mergeCell ref="A517:A519"/>
    <mergeCell ref="B517:B519"/>
    <mergeCell ref="C517:C519"/>
    <mergeCell ref="D517:D519"/>
    <mergeCell ref="E517:E519"/>
    <mergeCell ref="F517:F519"/>
    <mergeCell ref="G517:G519"/>
    <mergeCell ref="H517:H519"/>
    <mergeCell ref="I517:I519"/>
    <mergeCell ref="J517:J519"/>
    <mergeCell ref="K517:K519"/>
    <mergeCell ref="L517:L519"/>
    <mergeCell ref="M517:M519"/>
    <mergeCell ref="N517:N519"/>
    <mergeCell ref="AE517:AE519"/>
    <mergeCell ref="AF517:AF519"/>
    <mergeCell ref="A508:A510"/>
    <mergeCell ref="B508:B510"/>
    <mergeCell ref="C508:C510"/>
    <mergeCell ref="D508:D510"/>
    <mergeCell ref="E508:E510"/>
    <mergeCell ref="F508:F510"/>
    <mergeCell ref="G508:G510"/>
    <mergeCell ref="H508:H510"/>
    <mergeCell ref="I508:I510"/>
    <mergeCell ref="J508:J510"/>
    <mergeCell ref="K508:K510"/>
    <mergeCell ref="L508:L510"/>
    <mergeCell ref="M508:M510"/>
    <mergeCell ref="N508:N510"/>
    <mergeCell ref="AE508:AE510"/>
    <mergeCell ref="AF508:AF510"/>
    <mergeCell ref="A511:A513"/>
    <mergeCell ref="B511:B513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K511:K513"/>
    <mergeCell ref="L511:L513"/>
    <mergeCell ref="M511:M513"/>
    <mergeCell ref="N511:N513"/>
    <mergeCell ref="AE511:AE513"/>
    <mergeCell ref="AF511:AF513"/>
    <mergeCell ref="A502:A504"/>
    <mergeCell ref="B502:B504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502:L504"/>
    <mergeCell ref="M502:M504"/>
    <mergeCell ref="N502:N504"/>
    <mergeCell ref="AE502:AE504"/>
    <mergeCell ref="AF502:AF504"/>
    <mergeCell ref="A505:A507"/>
    <mergeCell ref="B505:B507"/>
    <mergeCell ref="C505:C507"/>
    <mergeCell ref="D505:D507"/>
    <mergeCell ref="E505:E507"/>
    <mergeCell ref="F505:F507"/>
    <mergeCell ref="G505:G507"/>
    <mergeCell ref="H505:H507"/>
    <mergeCell ref="I505:I507"/>
    <mergeCell ref="J505:J507"/>
    <mergeCell ref="K505:K507"/>
    <mergeCell ref="L505:L507"/>
    <mergeCell ref="M505:M507"/>
    <mergeCell ref="N505:N507"/>
    <mergeCell ref="AE505:AE507"/>
    <mergeCell ref="AF505:AF507"/>
    <mergeCell ref="A496:A498"/>
    <mergeCell ref="B496:B498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6:L498"/>
    <mergeCell ref="M496:M498"/>
    <mergeCell ref="N496:N498"/>
    <mergeCell ref="AE496:AE498"/>
    <mergeCell ref="AF496:AF498"/>
    <mergeCell ref="A499:A501"/>
    <mergeCell ref="B499:B501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9:L501"/>
    <mergeCell ref="M499:M501"/>
    <mergeCell ref="N499:N501"/>
    <mergeCell ref="AE499:AE501"/>
    <mergeCell ref="AF499:AF501"/>
    <mergeCell ref="A490:A492"/>
    <mergeCell ref="B490:B492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90:L492"/>
    <mergeCell ref="M490:M492"/>
    <mergeCell ref="N490:N492"/>
    <mergeCell ref="AE490:AE492"/>
    <mergeCell ref="AF490:AF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AE493:AE495"/>
    <mergeCell ref="AF493:AF495"/>
    <mergeCell ref="A484:A486"/>
    <mergeCell ref="B484:B486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4:L486"/>
    <mergeCell ref="M484:M486"/>
    <mergeCell ref="N484:N486"/>
    <mergeCell ref="AE484:AE486"/>
    <mergeCell ref="AF484:AF486"/>
    <mergeCell ref="A487:A489"/>
    <mergeCell ref="B487:B489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7:L489"/>
    <mergeCell ref="M487:M489"/>
    <mergeCell ref="N487:N489"/>
    <mergeCell ref="AE487:AE489"/>
    <mergeCell ref="AF487:AF489"/>
    <mergeCell ref="A478:A480"/>
    <mergeCell ref="B478:B480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8:L480"/>
    <mergeCell ref="M478:M480"/>
    <mergeCell ref="N478:N480"/>
    <mergeCell ref="AE478:AE480"/>
    <mergeCell ref="AF478:AF480"/>
    <mergeCell ref="A481:A483"/>
    <mergeCell ref="B481:B483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81:L483"/>
    <mergeCell ref="M481:M483"/>
    <mergeCell ref="N481:N483"/>
    <mergeCell ref="AE481:AE483"/>
    <mergeCell ref="AF481:AF483"/>
    <mergeCell ref="A472:A474"/>
    <mergeCell ref="B472:B474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72:L474"/>
    <mergeCell ref="M472:M474"/>
    <mergeCell ref="N472:N474"/>
    <mergeCell ref="AE472:AE474"/>
    <mergeCell ref="AF472:AF474"/>
    <mergeCell ref="A475:A477"/>
    <mergeCell ref="B475:B477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5:L477"/>
    <mergeCell ref="M475:M477"/>
    <mergeCell ref="N475:N477"/>
    <mergeCell ref="AE475:AE477"/>
    <mergeCell ref="AF475:AF477"/>
    <mergeCell ref="A466:A468"/>
    <mergeCell ref="B466:B468"/>
    <mergeCell ref="C466:C468"/>
    <mergeCell ref="D466:D468"/>
    <mergeCell ref="E466:E468"/>
    <mergeCell ref="F466:F468"/>
    <mergeCell ref="G466:G468"/>
    <mergeCell ref="H466:H468"/>
    <mergeCell ref="I466:I468"/>
    <mergeCell ref="J466:J468"/>
    <mergeCell ref="K466:K468"/>
    <mergeCell ref="L466:L468"/>
    <mergeCell ref="M466:M468"/>
    <mergeCell ref="N466:N468"/>
    <mergeCell ref="AE466:AE468"/>
    <mergeCell ref="AF466:AF468"/>
    <mergeCell ref="A469:A471"/>
    <mergeCell ref="B469:B471"/>
    <mergeCell ref="C469:C471"/>
    <mergeCell ref="D469:D471"/>
    <mergeCell ref="E469:E471"/>
    <mergeCell ref="F469:F471"/>
    <mergeCell ref="G469:G471"/>
    <mergeCell ref="H469:H471"/>
    <mergeCell ref="I469:I471"/>
    <mergeCell ref="J469:J471"/>
    <mergeCell ref="K469:K471"/>
    <mergeCell ref="L469:L471"/>
    <mergeCell ref="M469:M471"/>
    <mergeCell ref="N469:N471"/>
    <mergeCell ref="AE469:AE471"/>
    <mergeCell ref="AF469:AF471"/>
    <mergeCell ref="A460:A462"/>
    <mergeCell ref="B460:B462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K460:K462"/>
    <mergeCell ref="L460:L462"/>
    <mergeCell ref="M460:M462"/>
    <mergeCell ref="N460:N462"/>
    <mergeCell ref="AE460:AE462"/>
    <mergeCell ref="AF460:AF462"/>
    <mergeCell ref="A463:A465"/>
    <mergeCell ref="B463:B465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K463:K465"/>
    <mergeCell ref="L463:L465"/>
    <mergeCell ref="M463:M465"/>
    <mergeCell ref="N463:N465"/>
    <mergeCell ref="AE463:AE465"/>
    <mergeCell ref="AF463:AF465"/>
    <mergeCell ref="A454:A456"/>
    <mergeCell ref="B454:B456"/>
    <mergeCell ref="C454:C456"/>
    <mergeCell ref="D454:D456"/>
    <mergeCell ref="E454:E456"/>
    <mergeCell ref="F454:F456"/>
    <mergeCell ref="G454:G456"/>
    <mergeCell ref="H454:H456"/>
    <mergeCell ref="I454:I456"/>
    <mergeCell ref="J454:J456"/>
    <mergeCell ref="K454:K456"/>
    <mergeCell ref="L454:L456"/>
    <mergeCell ref="M454:M456"/>
    <mergeCell ref="N454:N456"/>
    <mergeCell ref="AE454:AE456"/>
    <mergeCell ref="AF454:AF456"/>
    <mergeCell ref="A457:A459"/>
    <mergeCell ref="B457:B459"/>
    <mergeCell ref="C457:C459"/>
    <mergeCell ref="D457:D459"/>
    <mergeCell ref="E457:E459"/>
    <mergeCell ref="F457:F459"/>
    <mergeCell ref="G457:G459"/>
    <mergeCell ref="H457:H459"/>
    <mergeCell ref="I457:I459"/>
    <mergeCell ref="J457:J459"/>
    <mergeCell ref="K457:K459"/>
    <mergeCell ref="L457:L459"/>
    <mergeCell ref="M457:M459"/>
    <mergeCell ref="N457:N459"/>
    <mergeCell ref="AE457:AE459"/>
    <mergeCell ref="AF457:AF459"/>
    <mergeCell ref="A448:A450"/>
    <mergeCell ref="B448:B450"/>
    <mergeCell ref="C448:C450"/>
    <mergeCell ref="D448:D450"/>
    <mergeCell ref="E448:E450"/>
    <mergeCell ref="F448:F450"/>
    <mergeCell ref="G448:G450"/>
    <mergeCell ref="H448:H450"/>
    <mergeCell ref="I448:I450"/>
    <mergeCell ref="J448:J450"/>
    <mergeCell ref="K448:K450"/>
    <mergeCell ref="L448:L450"/>
    <mergeCell ref="M448:M450"/>
    <mergeCell ref="N448:N450"/>
    <mergeCell ref="AE448:AE450"/>
    <mergeCell ref="AF448:AF450"/>
    <mergeCell ref="A451:A453"/>
    <mergeCell ref="B451:B453"/>
    <mergeCell ref="C451:C453"/>
    <mergeCell ref="D451:D453"/>
    <mergeCell ref="E451:E453"/>
    <mergeCell ref="F451:F453"/>
    <mergeCell ref="G451:G453"/>
    <mergeCell ref="H451:H453"/>
    <mergeCell ref="I451:I453"/>
    <mergeCell ref="J451:J453"/>
    <mergeCell ref="K451:K453"/>
    <mergeCell ref="L451:L453"/>
    <mergeCell ref="M451:M453"/>
    <mergeCell ref="N451:N453"/>
    <mergeCell ref="AE451:AE453"/>
    <mergeCell ref="AF451:AF453"/>
    <mergeCell ref="A442:A444"/>
    <mergeCell ref="B442:B444"/>
    <mergeCell ref="C442:C444"/>
    <mergeCell ref="D442:D444"/>
    <mergeCell ref="E442:E444"/>
    <mergeCell ref="F442:F444"/>
    <mergeCell ref="G442:G444"/>
    <mergeCell ref="H442:H444"/>
    <mergeCell ref="I442:I444"/>
    <mergeCell ref="J442:J444"/>
    <mergeCell ref="K442:K444"/>
    <mergeCell ref="L442:L444"/>
    <mergeCell ref="M442:M444"/>
    <mergeCell ref="N442:N444"/>
    <mergeCell ref="AE442:AE444"/>
    <mergeCell ref="AF442:AF444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45:J447"/>
    <mergeCell ref="K445:K447"/>
    <mergeCell ref="L445:L447"/>
    <mergeCell ref="M445:M447"/>
    <mergeCell ref="N445:N447"/>
    <mergeCell ref="AE445:AE447"/>
    <mergeCell ref="AF445:AF447"/>
    <mergeCell ref="A436:A438"/>
    <mergeCell ref="B436:B438"/>
    <mergeCell ref="C436:C438"/>
    <mergeCell ref="D436:D438"/>
    <mergeCell ref="E436:E438"/>
    <mergeCell ref="F436:F438"/>
    <mergeCell ref="G436:G438"/>
    <mergeCell ref="H436:H438"/>
    <mergeCell ref="I436:I438"/>
    <mergeCell ref="J436:J438"/>
    <mergeCell ref="K436:K438"/>
    <mergeCell ref="L436:L438"/>
    <mergeCell ref="M436:M438"/>
    <mergeCell ref="N436:N438"/>
    <mergeCell ref="AE436:AE438"/>
    <mergeCell ref="AF436:AF438"/>
    <mergeCell ref="A439:A441"/>
    <mergeCell ref="B439:B441"/>
    <mergeCell ref="C439:C441"/>
    <mergeCell ref="D439:D441"/>
    <mergeCell ref="E439:E441"/>
    <mergeCell ref="F439:F441"/>
    <mergeCell ref="G439:G441"/>
    <mergeCell ref="H439:H441"/>
    <mergeCell ref="I439:I441"/>
    <mergeCell ref="J439:J441"/>
    <mergeCell ref="K439:K441"/>
    <mergeCell ref="L439:L441"/>
    <mergeCell ref="M439:M441"/>
    <mergeCell ref="N439:N441"/>
    <mergeCell ref="AE439:AE441"/>
    <mergeCell ref="AF439:AF441"/>
    <mergeCell ref="A430:A432"/>
    <mergeCell ref="B430:B432"/>
    <mergeCell ref="C430:C432"/>
    <mergeCell ref="D430:D432"/>
    <mergeCell ref="E430:E432"/>
    <mergeCell ref="F430:F432"/>
    <mergeCell ref="G430:G432"/>
    <mergeCell ref="H430:H432"/>
    <mergeCell ref="I430:I432"/>
    <mergeCell ref="J430:J432"/>
    <mergeCell ref="K430:K432"/>
    <mergeCell ref="L430:L432"/>
    <mergeCell ref="M430:M432"/>
    <mergeCell ref="N430:N432"/>
    <mergeCell ref="AE430:AE432"/>
    <mergeCell ref="AF430:AF432"/>
    <mergeCell ref="A433:A435"/>
    <mergeCell ref="B433:B435"/>
    <mergeCell ref="C433:C435"/>
    <mergeCell ref="D433:D435"/>
    <mergeCell ref="E433:E435"/>
    <mergeCell ref="F433:F435"/>
    <mergeCell ref="G433:G435"/>
    <mergeCell ref="H433:H435"/>
    <mergeCell ref="I433:I435"/>
    <mergeCell ref="J433:J435"/>
    <mergeCell ref="K433:K435"/>
    <mergeCell ref="L433:L435"/>
    <mergeCell ref="M433:M435"/>
    <mergeCell ref="N433:N435"/>
    <mergeCell ref="AE433:AE435"/>
    <mergeCell ref="AF433:AF435"/>
    <mergeCell ref="A424:A426"/>
    <mergeCell ref="B424:B426"/>
    <mergeCell ref="C424:C426"/>
    <mergeCell ref="D424:D426"/>
    <mergeCell ref="E424:E426"/>
    <mergeCell ref="F424:F426"/>
    <mergeCell ref="G424:G426"/>
    <mergeCell ref="H424:H426"/>
    <mergeCell ref="I424:I426"/>
    <mergeCell ref="J424:J426"/>
    <mergeCell ref="K424:K426"/>
    <mergeCell ref="L424:L426"/>
    <mergeCell ref="M424:M426"/>
    <mergeCell ref="N424:N426"/>
    <mergeCell ref="AE424:AE426"/>
    <mergeCell ref="AF424:AF426"/>
    <mergeCell ref="A427:A429"/>
    <mergeCell ref="B427:B429"/>
    <mergeCell ref="C427:C429"/>
    <mergeCell ref="D427:D429"/>
    <mergeCell ref="E427:E429"/>
    <mergeCell ref="F427:F429"/>
    <mergeCell ref="G427:G429"/>
    <mergeCell ref="H427:H429"/>
    <mergeCell ref="I427:I429"/>
    <mergeCell ref="J427:J429"/>
    <mergeCell ref="K427:K429"/>
    <mergeCell ref="L427:L429"/>
    <mergeCell ref="M427:M429"/>
    <mergeCell ref="N427:N429"/>
    <mergeCell ref="AE427:AE429"/>
    <mergeCell ref="AF427:AF429"/>
    <mergeCell ref="A418:A420"/>
    <mergeCell ref="B418:B420"/>
    <mergeCell ref="C418:C420"/>
    <mergeCell ref="D418:D420"/>
    <mergeCell ref="E418:E420"/>
    <mergeCell ref="F418:F420"/>
    <mergeCell ref="G418:G420"/>
    <mergeCell ref="H418:H420"/>
    <mergeCell ref="I418:I420"/>
    <mergeCell ref="J418:J420"/>
    <mergeCell ref="K418:K420"/>
    <mergeCell ref="L418:L420"/>
    <mergeCell ref="M418:M420"/>
    <mergeCell ref="N418:N420"/>
    <mergeCell ref="AE418:AE420"/>
    <mergeCell ref="AF418:AF420"/>
    <mergeCell ref="A421:A423"/>
    <mergeCell ref="B421:B423"/>
    <mergeCell ref="C421:C423"/>
    <mergeCell ref="D421:D423"/>
    <mergeCell ref="E421:E423"/>
    <mergeCell ref="F421:F423"/>
    <mergeCell ref="G421:G423"/>
    <mergeCell ref="H421:H423"/>
    <mergeCell ref="I421:I423"/>
    <mergeCell ref="J421:J423"/>
    <mergeCell ref="K421:K423"/>
    <mergeCell ref="L421:L423"/>
    <mergeCell ref="M421:M423"/>
    <mergeCell ref="N421:N423"/>
    <mergeCell ref="AE421:AE423"/>
    <mergeCell ref="AF421:AF423"/>
    <mergeCell ref="A412:A414"/>
    <mergeCell ref="B412:B414"/>
    <mergeCell ref="C412:C414"/>
    <mergeCell ref="D412:D414"/>
    <mergeCell ref="E412:E414"/>
    <mergeCell ref="F412:F414"/>
    <mergeCell ref="G412:G414"/>
    <mergeCell ref="H412:H414"/>
    <mergeCell ref="I412:I414"/>
    <mergeCell ref="J412:J414"/>
    <mergeCell ref="K412:K414"/>
    <mergeCell ref="L412:L414"/>
    <mergeCell ref="M412:M414"/>
    <mergeCell ref="N412:N414"/>
    <mergeCell ref="AE412:AE414"/>
    <mergeCell ref="AF412:AF414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15:J417"/>
    <mergeCell ref="K415:K417"/>
    <mergeCell ref="L415:L417"/>
    <mergeCell ref="M415:M417"/>
    <mergeCell ref="N415:N417"/>
    <mergeCell ref="AE415:AE417"/>
    <mergeCell ref="AF415:AF417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L406:L408"/>
    <mergeCell ref="M406:M408"/>
    <mergeCell ref="N406:N408"/>
    <mergeCell ref="AE406:AE408"/>
    <mergeCell ref="AF406:AF408"/>
    <mergeCell ref="A409:A411"/>
    <mergeCell ref="B409:B411"/>
    <mergeCell ref="C409:C411"/>
    <mergeCell ref="D409:D411"/>
    <mergeCell ref="E409:E411"/>
    <mergeCell ref="F409:F411"/>
    <mergeCell ref="G409:G411"/>
    <mergeCell ref="H409:H411"/>
    <mergeCell ref="I409:I411"/>
    <mergeCell ref="J409:J411"/>
    <mergeCell ref="K409:K411"/>
    <mergeCell ref="L409:L411"/>
    <mergeCell ref="M409:M411"/>
    <mergeCell ref="N409:N411"/>
    <mergeCell ref="AE409:AE411"/>
    <mergeCell ref="AF409:AF411"/>
    <mergeCell ref="A400:A402"/>
    <mergeCell ref="B400:B402"/>
    <mergeCell ref="C400:C402"/>
    <mergeCell ref="D400:D402"/>
    <mergeCell ref="E400:E402"/>
    <mergeCell ref="F400:F402"/>
    <mergeCell ref="G400:G402"/>
    <mergeCell ref="H400:H402"/>
    <mergeCell ref="I400:I402"/>
    <mergeCell ref="J400:J402"/>
    <mergeCell ref="K400:K402"/>
    <mergeCell ref="L400:L402"/>
    <mergeCell ref="M400:M402"/>
    <mergeCell ref="N400:N402"/>
    <mergeCell ref="AE400:AE402"/>
    <mergeCell ref="AF400:AF402"/>
    <mergeCell ref="A403:A405"/>
    <mergeCell ref="B403:B405"/>
    <mergeCell ref="C403:C405"/>
    <mergeCell ref="D403:D405"/>
    <mergeCell ref="E403:E405"/>
    <mergeCell ref="F403:F405"/>
    <mergeCell ref="G403:G405"/>
    <mergeCell ref="H403:H405"/>
    <mergeCell ref="I403:I405"/>
    <mergeCell ref="J403:J405"/>
    <mergeCell ref="K403:K405"/>
    <mergeCell ref="L403:L405"/>
    <mergeCell ref="M403:M405"/>
    <mergeCell ref="N403:N405"/>
    <mergeCell ref="AE403:AE405"/>
    <mergeCell ref="AF403:AF405"/>
    <mergeCell ref="A394:A396"/>
    <mergeCell ref="B394:B396"/>
    <mergeCell ref="C394:C396"/>
    <mergeCell ref="D394:D396"/>
    <mergeCell ref="E394:E396"/>
    <mergeCell ref="F394:F396"/>
    <mergeCell ref="G394:G396"/>
    <mergeCell ref="H394:H396"/>
    <mergeCell ref="I394:I396"/>
    <mergeCell ref="J394:J396"/>
    <mergeCell ref="K394:K396"/>
    <mergeCell ref="L394:L396"/>
    <mergeCell ref="M394:M396"/>
    <mergeCell ref="N394:N396"/>
    <mergeCell ref="AE394:AE396"/>
    <mergeCell ref="AF394:AF396"/>
    <mergeCell ref="A397:A399"/>
    <mergeCell ref="B397:B399"/>
    <mergeCell ref="C397:C399"/>
    <mergeCell ref="D397:D399"/>
    <mergeCell ref="E397:E399"/>
    <mergeCell ref="F397:F399"/>
    <mergeCell ref="G397:G399"/>
    <mergeCell ref="H397:H399"/>
    <mergeCell ref="I397:I399"/>
    <mergeCell ref="J397:J399"/>
    <mergeCell ref="K397:K399"/>
    <mergeCell ref="L397:L399"/>
    <mergeCell ref="M397:M399"/>
    <mergeCell ref="N397:N399"/>
    <mergeCell ref="AE397:AE399"/>
    <mergeCell ref="AF397:AF399"/>
    <mergeCell ref="A388:A390"/>
    <mergeCell ref="B388:B390"/>
    <mergeCell ref="C388:C390"/>
    <mergeCell ref="D388:D390"/>
    <mergeCell ref="E388:E390"/>
    <mergeCell ref="F388:F390"/>
    <mergeCell ref="G388:G390"/>
    <mergeCell ref="H388:H390"/>
    <mergeCell ref="I388:I390"/>
    <mergeCell ref="J388:J390"/>
    <mergeCell ref="K388:K390"/>
    <mergeCell ref="L388:L390"/>
    <mergeCell ref="M388:M390"/>
    <mergeCell ref="N388:N390"/>
    <mergeCell ref="AE388:AE390"/>
    <mergeCell ref="AF388:AF390"/>
    <mergeCell ref="A391:A393"/>
    <mergeCell ref="B391:B393"/>
    <mergeCell ref="C391:C393"/>
    <mergeCell ref="D391:D393"/>
    <mergeCell ref="E391:E393"/>
    <mergeCell ref="F391:F393"/>
    <mergeCell ref="G391:G393"/>
    <mergeCell ref="H391:H393"/>
    <mergeCell ref="I391:I393"/>
    <mergeCell ref="J391:J393"/>
    <mergeCell ref="K391:K393"/>
    <mergeCell ref="L391:L393"/>
    <mergeCell ref="M391:M393"/>
    <mergeCell ref="N391:N393"/>
    <mergeCell ref="AE391:AE393"/>
    <mergeCell ref="AF391:AF393"/>
    <mergeCell ref="A382:A384"/>
    <mergeCell ref="B382:B384"/>
    <mergeCell ref="C382:C384"/>
    <mergeCell ref="D382:D384"/>
    <mergeCell ref="E382:E384"/>
    <mergeCell ref="F382:F384"/>
    <mergeCell ref="G382:G384"/>
    <mergeCell ref="H382:H384"/>
    <mergeCell ref="I382:I384"/>
    <mergeCell ref="J382:J384"/>
    <mergeCell ref="K382:K384"/>
    <mergeCell ref="L382:L384"/>
    <mergeCell ref="M382:M384"/>
    <mergeCell ref="N382:N384"/>
    <mergeCell ref="AE382:AE384"/>
    <mergeCell ref="AF382:AF384"/>
    <mergeCell ref="A385:A387"/>
    <mergeCell ref="B385:B387"/>
    <mergeCell ref="C385:C387"/>
    <mergeCell ref="D385:D387"/>
    <mergeCell ref="E385:E387"/>
    <mergeCell ref="F385:F387"/>
    <mergeCell ref="G385:G387"/>
    <mergeCell ref="H385:H387"/>
    <mergeCell ref="I385:I387"/>
    <mergeCell ref="J385:J387"/>
    <mergeCell ref="K385:K387"/>
    <mergeCell ref="L385:L387"/>
    <mergeCell ref="M385:M387"/>
    <mergeCell ref="N385:N387"/>
    <mergeCell ref="AE385:AE387"/>
    <mergeCell ref="AF385:AF387"/>
    <mergeCell ref="A376:A378"/>
    <mergeCell ref="B376:B378"/>
    <mergeCell ref="C376:C378"/>
    <mergeCell ref="D376:D378"/>
    <mergeCell ref="E376:E378"/>
    <mergeCell ref="F376:F378"/>
    <mergeCell ref="G376:G378"/>
    <mergeCell ref="H376:H378"/>
    <mergeCell ref="I376:I378"/>
    <mergeCell ref="J376:J378"/>
    <mergeCell ref="K376:K378"/>
    <mergeCell ref="L376:L378"/>
    <mergeCell ref="M376:M378"/>
    <mergeCell ref="N376:N378"/>
    <mergeCell ref="AE376:AE378"/>
    <mergeCell ref="AF376:AF378"/>
    <mergeCell ref="A379:A381"/>
    <mergeCell ref="B379:B381"/>
    <mergeCell ref="C379:C381"/>
    <mergeCell ref="D379:D381"/>
    <mergeCell ref="E379:E381"/>
    <mergeCell ref="F379:F381"/>
    <mergeCell ref="G379:G381"/>
    <mergeCell ref="H379:H381"/>
    <mergeCell ref="I379:I381"/>
    <mergeCell ref="J379:J381"/>
    <mergeCell ref="K379:K381"/>
    <mergeCell ref="L379:L381"/>
    <mergeCell ref="M379:M381"/>
    <mergeCell ref="N379:N381"/>
    <mergeCell ref="AE379:AE381"/>
    <mergeCell ref="AF379:AF381"/>
    <mergeCell ref="A370:A372"/>
    <mergeCell ref="B370:B372"/>
    <mergeCell ref="C370:C372"/>
    <mergeCell ref="D370:D372"/>
    <mergeCell ref="E370:E372"/>
    <mergeCell ref="F370:F372"/>
    <mergeCell ref="G370:G372"/>
    <mergeCell ref="H370:H372"/>
    <mergeCell ref="I370:I372"/>
    <mergeCell ref="J370:J372"/>
    <mergeCell ref="K370:K372"/>
    <mergeCell ref="L370:L372"/>
    <mergeCell ref="M370:M372"/>
    <mergeCell ref="N370:N372"/>
    <mergeCell ref="AE370:AE372"/>
    <mergeCell ref="AF370:AF372"/>
    <mergeCell ref="A373:A375"/>
    <mergeCell ref="B373:B375"/>
    <mergeCell ref="C373:C375"/>
    <mergeCell ref="D373:D375"/>
    <mergeCell ref="E373:E375"/>
    <mergeCell ref="F373:F375"/>
    <mergeCell ref="G373:G375"/>
    <mergeCell ref="H373:H375"/>
    <mergeCell ref="I373:I375"/>
    <mergeCell ref="J373:J375"/>
    <mergeCell ref="K373:K375"/>
    <mergeCell ref="L373:L375"/>
    <mergeCell ref="M373:M375"/>
    <mergeCell ref="N373:N375"/>
    <mergeCell ref="AE373:AE375"/>
    <mergeCell ref="AF373:AF375"/>
    <mergeCell ref="A364:A366"/>
    <mergeCell ref="B364:B366"/>
    <mergeCell ref="C364:C366"/>
    <mergeCell ref="D364:D366"/>
    <mergeCell ref="E364:E366"/>
    <mergeCell ref="F364:F366"/>
    <mergeCell ref="G364:G366"/>
    <mergeCell ref="H364:H366"/>
    <mergeCell ref="I364:I366"/>
    <mergeCell ref="J364:J366"/>
    <mergeCell ref="K364:K366"/>
    <mergeCell ref="L364:L366"/>
    <mergeCell ref="M364:M366"/>
    <mergeCell ref="N364:N366"/>
    <mergeCell ref="AE364:AE366"/>
    <mergeCell ref="AF364:AF366"/>
    <mergeCell ref="A367:A369"/>
    <mergeCell ref="B367:B369"/>
    <mergeCell ref="C367:C369"/>
    <mergeCell ref="D367:D369"/>
    <mergeCell ref="E367:E369"/>
    <mergeCell ref="F367:F369"/>
    <mergeCell ref="G367:G369"/>
    <mergeCell ref="H367:H369"/>
    <mergeCell ref="I367:I369"/>
    <mergeCell ref="J367:J369"/>
    <mergeCell ref="K367:K369"/>
    <mergeCell ref="L367:L369"/>
    <mergeCell ref="M367:M369"/>
    <mergeCell ref="N367:N369"/>
    <mergeCell ref="AE367:AE369"/>
    <mergeCell ref="AF367:AF369"/>
    <mergeCell ref="A358:A360"/>
    <mergeCell ref="B358:B360"/>
    <mergeCell ref="C358:C360"/>
    <mergeCell ref="D358:D360"/>
    <mergeCell ref="E358:E360"/>
    <mergeCell ref="F358:F360"/>
    <mergeCell ref="G358:G360"/>
    <mergeCell ref="H358:H360"/>
    <mergeCell ref="I358:I360"/>
    <mergeCell ref="J358:J360"/>
    <mergeCell ref="K358:K360"/>
    <mergeCell ref="L358:L360"/>
    <mergeCell ref="M358:M360"/>
    <mergeCell ref="N358:N360"/>
    <mergeCell ref="AE358:AE360"/>
    <mergeCell ref="AF358:AF360"/>
    <mergeCell ref="A361:A363"/>
    <mergeCell ref="B361:B363"/>
    <mergeCell ref="C361:C363"/>
    <mergeCell ref="D361:D363"/>
    <mergeCell ref="E361:E363"/>
    <mergeCell ref="F361:F363"/>
    <mergeCell ref="G361:G363"/>
    <mergeCell ref="H361:H363"/>
    <mergeCell ref="I361:I363"/>
    <mergeCell ref="J361:J363"/>
    <mergeCell ref="K361:K363"/>
    <mergeCell ref="L361:L363"/>
    <mergeCell ref="M361:M363"/>
    <mergeCell ref="N361:N363"/>
    <mergeCell ref="AE361:AE363"/>
    <mergeCell ref="AF361:AF363"/>
    <mergeCell ref="A352:A354"/>
    <mergeCell ref="B352:B354"/>
    <mergeCell ref="C352:C354"/>
    <mergeCell ref="D352:D354"/>
    <mergeCell ref="E352:E354"/>
    <mergeCell ref="F352:F354"/>
    <mergeCell ref="G352:G354"/>
    <mergeCell ref="H352:H354"/>
    <mergeCell ref="I352:I354"/>
    <mergeCell ref="J352:J354"/>
    <mergeCell ref="K352:K354"/>
    <mergeCell ref="L352:L354"/>
    <mergeCell ref="M352:M354"/>
    <mergeCell ref="N352:N354"/>
    <mergeCell ref="AE352:AE354"/>
    <mergeCell ref="AF352:AF354"/>
    <mergeCell ref="A355:A357"/>
    <mergeCell ref="B355:B357"/>
    <mergeCell ref="C355:C357"/>
    <mergeCell ref="D355:D357"/>
    <mergeCell ref="E355:E357"/>
    <mergeCell ref="F355:F357"/>
    <mergeCell ref="G355:G357"/>
    <mergeCell ref="H355:H357"/>
    <mergeCell ref="I355:I357"/>
    <mergeCell ref="J355:J357"/>
    <mergeCell ref="K355:K357"/>
    <mergeCell ref="L355:L357"/>
    <mergeCell ref="M355:M357"/>
    <mergeCell ref="N355:N357"/>
    <mergeCell ref="AE355:AE357"/>
    <mergeCell ref="AF355:AF357"/>
    <mergeCell ref="A346:A348"/>
    <mergeCell ref="B346:B348"/>
    <mergeCell ref="C346:C348"/>
    <mergeCell ref="D346:D348"/>
    <mergeCell ref="E346:E348"/>
    <mergeCell ref="F346:F348"/>
    <mergeCell ref="G346:G348"/>
    <mergeCell ref="H346:H348"/>
    <mergeCell ref="I346:I348"/>
    <mergeCell ref="J346:J348"/>
    <mergeCell ref="K346:K348"/>
    <mergeCell ref="L346:L348"/>
    <mergeCell ref="M346:M348"/>
    <mergeCell ref="N346:N348"/>
    <mergeCell ref="AE346:AE348"/>
    <mergeCell ref="AF346:AF348"/>
    <mergeCell ref="A349:A351"/>
    <mergeCell ref="B349:B351"/>
    <mergeCell ref="C349:C351"/>
    <mergeCell ref="D349:D351"/>
    <mergeCell ref="E349:E351"/>
    <mergeCell ref="F349:F351"/>
    <mergeCell ref="G349:G351"/>
    <mergeCell ref="H349:H351"/>
    <mergeCell ref="I349:I351"/>
    <mergeCell ref="J349:J351"/>
    <mergeCell ref="K349:K351"/>
    <mergeCell ref="L349:L351"/>
    <mergeCell ref="M349:M351"/>
    <mergeCell ref="N349:N351"/>
    <mergeCell ref="AE349:AE351"/>
    <mergeCell ref="AF349:AF351"/>
    <mergeCell ref="A340:A342"/>
    <mergeCell ref="B340:B342"/>
    <mergeCell ref="C340:C342"/>
    <mergeCell ref="D340:D342"/>
    <mergeCell ref="E340:E342"/>
    <mergeCell ref="F340:F342"/>
    <mergeCell ref="G340:G342"/>
    <mergeCell ref="H340:H342"/>
    <mergeCell ref="I340:I342"/>
    <mergeCell ref="J340:J342"/>
    <mergeCell ref="K340:K342"/>
    <mergeCell ref="L340:L342"/>
    <mergeCell ref="M340:M342"/>
    <mergeCell ref="N340:N342"/>
    <mergeCell ref="AE340:AE342"/>
    <mergeCell ref="AF340:AF342"/>
    <mergeCell ref="A343:A345"/>
    <mergeCell ref="B343:B345"/>
    <mergeCell ref="C343:C345"/>
    <mergeCell ref="D343:D345"/>
    <mergeCell ref="E343:E345"/>
    <mergeCell ref="F343:F345"/>
    <mergeCell ref="G343:G345"/>
    <mergeCell ref="H343:H345"/>
    <mergeCell ref="I343:I345"/>
    <mergeCell ref="J343:J345"/>
    <mergeCell ref="K343:K345"/>
    <mergeCell ref="L343:L345"/>
    <mergeCell ref="M343:M345"/>
    <mergeCell ref="N343:N345"/>
    <mergeCell ref="AE343:AE345"/>
    <mergeCell ref="AF343:AF345"/>
    <mergeCell ref="A334:A336"/>
    <mergeCell ref="B334:B336"/>
    <mergeCell ref="C334:C336"/>
    <mergeCell ref="D334:D336"/>
    <mergeCell ref="E334:E336"/>
    <mergeCell ref="F334:F336"/>
    <mergeCell ref="G334:G336"/>
    <mergeCell ref="H334:H336"/>
    <mergeCell ref="I334:I336"/>
    <mergeCell ref="J334:J336"/>
    <mergeCell ref="K334:K336"/>
    <mergeCell ref="L334:L336"/>
    <mergeCell ref="M334:M336"/>
    <mergeCell ref="N334:N336"/>
    <mergeCell ref="AE334:AE336"/>
    <mergeCell ref="AF334:AF336"/>
    <mergeCell ref="A337:A339"/>
    <mergeCell ref="B337:B339"/>
    <mergeCell ref="C337:C339"/>
    <mergeCell ref="D337:D339"/>
    <mergeCell ref="E337:E339"/>
    <mergeCell ref="F337:F339"/>
    <mergeCell ref="G337:G339"/>
    <mergeCell ref="H337:H339"/>
    <mergeCell ref="I337:I339"/>
    <mergeCell ref="J337:J339"/>
    <mergeCell ref="K337:K339"/>
    <mergeCell ref="L337:L339"/>
    <mergeCell ref="M337:M339"/>
    <mergeCell ref="N337:N339"/>
    <mergeCell ref="AE337:AE339"/>
    <mergeCell ref="AF337:AF339"/>
    <mergeCell ref="A328:A330"/>
    <mergeCell ref="B328:B330"/>
    <mergeCell ref="C328:C330"/>
    <mergeCell ref="D328:D330"/>
    <mergeCell ref="E328:E330"/>
    <mergeCell ref="F328:F330"/>
    <mergeCell ref="G328:G330"/>
    <mergeCell ref="H328:H330"/>
    <mergeCell ref="I328:I330"/>
    <mergeCell ref="J328:J330"/>
    <mergeCell ref="K328:K330"/>
    <mergeCell ref="L328:L330"/>
    <mergeCell ref="M328:M330"/>
    <mergeCell ref="N328:N330"/>
    <mergeCell ref="AE328:AE330"/>
    <mergeCell ref="AF328:AF330"/>
    <mergeCell ref="A331:A333"/>
    <mergeCell ref="B331:B333"/>
    <mergeCell ref="C331:C333"/>
    <mergeCell ref="D331:D333"/>
    <mergeCell ref="E331:E333"/>
    <mergeCell ref="F331:F333"/>
    <mergeCell ref="G331:G333"/>
    <mergeCell ref="H331:H333"/>
    <mergeCell ref="I331:I333"/>
    <mergeCell ref="J331:J333"/>
    <mergeCell ref="K331:K333"/>
    <mergeCell ref="L331:L333"/>
    <mergeCell ref="M331:M333"/>
    <mergeCell ref="N331:N333"/>
    <mergeCell ref="AE331:AE333"/>
    <mergeCell ref="AF331:AF333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K322:K324"/>
    <mergeCell ref="L322:L324"/>
    <mergeCell ref="M322:M324"/>
    <mergeCell ref="N322:N324"/>
    <mergeCell ref="AE322:AE324"/>
    <mergeCell ref="AF322:AF324"/>
    <mergeCell ref="A325:A327"/>
    <mergeCell ref="B325:B327"/>
    <mergeCell ref="C325:C327"/>
    <mergeCell ref="D325:D327"/>
    <mergeCell ref="E325:E327"/>
    <mergeCell ref="F325:F327"/>
    <mergeCell ref="G325:G327"/>
    <mergeCell ref="H325:H327"/>
    <mergeCell ref="I325:I327"/>
    <mergeCell ref="J325:J327"/>
    <mergeCell ref="K325:K327"/>
    <mergeCell ref="L325:L327"/>
    <mergeCell ref="M325:M327"/>
    <mergeCell ref="N325:N327"/>
    <mergeCell ref="AE325:AE327"/>
    <mergeCell ref="AF325:AF327"/>
    <mergeCell ref="A316:A318"/>
    <mergeCell ref="B316:B318"/>
    <mergeCell ref="C316:C318"/>
    <mergeCell ref="D316:D318"/>
    <mergeCell ref="E316:E318"/>
    <mergeCell ref="F316:F318"/>
    <mergeCell ref="G316:G318"/>
    <mergeCell ref="H316:H318"/>
    <mergeCell ref="I316:I318"/>
    <mergeCell ref="J316:J318"/>
    <mergeCell ref="K316:K318"/>
    <mergeCell ref="L316:L318"/>
    <mergeCell ref="M316:M318"/>
    <mergeCell ref="N316:N318"/>
    <mergeCell ref="AE316:AE318"/>
    <mergeCell ref="AF316:AF318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K319:K321"/>
    <mergeCell ref="L319:L321"/>
    <mergeCell ref="M319:M321"/>
    <mergeCell ref="N319:N321"/>
    <mergeCell ref="AE319:AE321"/>
    <mergeCell ref="AF319:AF321"/>
    <mergeCell ref="A310:A312"/>
    <mergeCell ref="B310:B312"/>
    <mergeCell ref="C310:C312"/>
    <mergeCell ref="D310:D312"/>
    <mergeCell ref="E310:E312"/>
    <mergeCell ref="F310:F312"/>
    <mergeCell ref="G310:G312"/>
    <mergeCell ref="H310:H312"/>
    <mergeCell ref="I310:I312"/>
    <mergeCell ref="J310:J312"/>
    <mergeCell ref="K310:K312"/>
    <mergeCell ref="L310:L312"/>
    <mergeCell ref="M310:M312"/>
    <mergeCell ref="N310:N312"/>
    <mergeCell ref="AE310:AE312"/>
    <mergeCell ref="AF310:AF312"/>
    <mergeCell ref="A313:A315"/>
    <mergeCell ref="B313:B315"/>
    <mergeCell ref="C313:C315"/>
    <mergeCell ref="D313:D315"/>
    <mergeCell ref="E313:E315"/>
    <mergeCell ref="F313:F315"/>
    <mergeCell ref="G313:G315"/>
    <mergeCell ref="H313:H315"/>
    <mergeCell ref="I313:I315"/>
    <mergeCell ref="J313:J315"/>
    <mergeCell ref="K313:K315"/>
    <mergeCell ref="L313:L315"/>
    <mergeCell ref="M313:M315"/>
    <mergeCell ref="N313:N315"/>
    <mergeCell ref="AE313:AE315"/>
    <mergeCell ref="AF313:AF315"/>
    <mergeCell ref="A304:A306"/>
    <mergeCell ref="B304:B306"/>
    <mergeCell ref="C304:C306"/>
    <mergeCell ref="D304:D306"/>
    <mergeCell ref="E304:E306"/>
    <mergeCell ref="F304:F306"/>
    <mergeCell ref="G304:G306"/>
    <mergeCell ref="H304:H306"/>
    <mergeCell ref="I304:I306"/>
    <mergeCell ref="J304:J306"/>
    <mergeCell ref="K304:K306"/>
    <mergeCell ref="L304:L306"/>
    <mergeCell ref="M304:M306"/>
    <mergeCell ref="N304:N306"/>
    <mergeCell ref="AE304:AE306"/>
    <mergeCell ref="AF304:AF306"/>
    <mergeCell ref="A307:A309"/>
    <mergeCell ref="B307:B309"/>
    <mergeCell ref="C307:C309"/>
    <mergeCell ref="D307:D309"/>
    <mergeCell ref="E307:E309"/>
    <mergeCell ref="F307:F309"/>
    <mergeCell ref="G307:G309"/>
    <mergeCell ref="H307:H309"/>
    <mergeCell ref="I307:I309"/>
    <mergeCell ref="J307:J309"/>
    <mergeCell ref="K307:K309"/>
    <mergeCell ref="L307:L309"/>
    <mergeCell ref="M307:M309"/>
    <mergeCell ref="N307:N309"/>
    <mergeCell ref="AE307:AE309"/>
    <mergeCell ref="AF307:AF309"/>
    <mergeCell ref="A298:A300"/>
    <mergeCell ref="B298:B300"/>
    <mergeCell ref="C298:C300"/>
    <mergeCell ref="D298:D300"/>
    <mergeCell ref="E298:E300"/>
    <mergeCell ref="F298:F300"/>
    <mergeCell ref="G298:G300"/>
    <mergeCell ref="H298:H300"/>
    <mergeCell ref="I298:I300"/>
    <mergeCell ref="J298:J300"/>
    <mergeCell ref="K298:K300"/>
    <mergeCell ref="L298:L300"/>
    <mergeCell ref="M298:M300"/>
    <mergeCell ref="N298:N300"/>
    <mergeCell ref="AE298:AE300"/>
    <mergeCell ref="AF298:AF300"/>
    <mergeCell ref="A301:A303"/>
    <mergeCell ref="B301:B303"/>
    <mergeCell ref="C301:C303"/>
    <mergeCell ref="D301:D303"/>
    <mergeCell ref="E301:E303"/>
    <mergeCell ref="F301:F303"/>
    <mergeCell ref="G301:G303"/>
    <mergeCell ref="H301:H303"/>
    <mergeCell ref="I301:I303"/>
    <mergeCell ref="J301:J303"/>
    <mergeCell ref="K301:K303"/>
    <mergeCell ref="L301:L303"/>
    <mergeCell ref="M301:M303"/>
    <mergeCell ref="N301:N303"/>
    <mergeCell ref="AE301:AE303"/>
    <mergeCell ref="AF301:AF303"/>
    <mergeCell ref="A292:A294"/>
    <mergeCell ref="B292:B294"/>
    <mergeCell ref="C292:C294"/>
    <mergeCell ref="D292:D294"/>
    <mergeCell ref="E292:E294"/>
    <mergeCell ref="F292:F294"/>
    <mergeCell ref="G292:G294"/>
    <mergeCell ref="H292:H294"/>
    <mergeCell ref="I292:I294"/>
    <mergeCell ref="J292:J294"/>
    <mergeCell ref="K292:K294"/>
    <mergeCell ref="L292:L294"/>
    <mergeCell ref="M292:M294"/>
    <mergeCell ref="N292:N294"/>
    <mergeCell ref="AE292:AE294"/>
    <mergeCell ref="AF292:AF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K295:K297"/>
    <mergeCell ref="L295:L297"/>
    <mergeCell ref="M295:M297"/>
    <mergeCell ref="N295:N297"/>
    <mergeCell ref="AE295:AE297"/>
    <mergeCell ref="AF295:AF297"/>
    <mergeCell ref="A286:A288"/>
    <mergeCell ref="B286:B288"/>
    <mergeCell ref="C286:C288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L286:L288"/>
    <mergeCell ref="M286:M288"/>
    <mergeCell ref="N286:N288"/>
    <mergeCell ref="AE286:AE288"/>
    <mergeCell ref="AF286:AF288"/>
    <mergeCell ref="A289:A291"/>
    <mergeCell ref="B289:B291"/>
    <mergeCell ref="C289:C291"/>
    <mergeCell ref="D289:D291"/>
    <mergeCell ref="E289:E291"/>
    <mergeCell ref="F289:F291"/>
    <mergeCell ref="G289:G291"/>
    <mergeCell ref="H289:H291"/>
    <mergeCell ref="I289:I291"/>
    <mergeCell ref="J289:J291"/>
    <mergeCell ref="K289:K291"/>
    <mergeCell ref="L289:L291"/>
    <mergeCell ref="M289:M291"/>
    <mergeCell ref="N289:N291"/>
    <mergeCell ref="AE289:AE291"/>
    <mergeCell ref="AF289:AF291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K280:K282"/>
    <mergeCell ref="L280:L282"/>
    <mergeCell ref="M280:M282"/>
    <mergeCell ref="N280:N282"/>
    <mergeCell ref="AE280:AE282"/>
    <mergeCell ref="AF280:AF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K283:K285"/>
    <mergeCell ref="L283:L285"/>
    <mergeCell ref="M283:M285"/>
    <mergeCell ref="N283:N285"/>
    <mergeCell ref="AE283:AE285"/>
    <mergeCell ref="AF283:AF285"/>
    <mergeCell ref="A274:A276"/>
    <mergeCell ref="B274:B276"/>
    <mergeCell ref="C274:C276"/>
    <mergeCell ref="D274:D276"/>
    <mergeCell ref="E274:E276"/>
    <mergeCell ref="F274:F276"/>
    <mergeCell ref="G274:G276"/>
    <mergeCell ref="H274:H276"/>
    <mergeCell ref="I274:I276"/>
    <mergeCell ref="J274:J276"/>
    <mergeCell ref="K274:K276"/>
    <mergeCell ref="L274:L276"/>
    <mergeCell ref="M274:M276"/>
    <mergeCell ref="N274:N276"/>
    <mergeCell ref="AE274:AE276"/>
    <mergeCell ref="AF274:AF276"/>
    <mergeCell ref="A277:A279"/>
    <mergeCell ref="B277:B279"/>
    <mergeCell ref="C277:C279"/>
    <mergeCell ref="D277:D279"/>
    <mergeCell ref="E277:E279"/>
    <mergeCell ref="F277:F279"/>
    <mergeCell ref="G277:G279"/>
    <mergeCell ref="H277:H279"/>
    <mergeCell ref="I277:I279"/>
    <mergeCell ref="J277:J279"/>
    <mergeCell ref="K277:K279"/>
    <mergeCell ref="L277:L279"/>
    <mergeCell ref="M277:M279"/>
    <mergeCell ref="N277:N279"/>
    <mergeCell ref="AE277:AE279"/>
    <mergeCell ref="AF277:AF279"/>
    <mergeCell ref="A268:A270"/>
    <mergeCell ref="B268:B270"/>
    <mergeCell ref="C268:C270"/>
    <mergeCell ref="D268:D270"/>
    <mergeCell ref="E268:E270"/>
    <mergeCell ref="F268:F270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AE268:AE270"/>
    <mergeCell ref="AF268:AF270"/>
    <mergeCell ref="A271:A273"/>
    <mergeCell ref="B271:B273"/>
    <mergeCell ref="C271:C273"/>
    <mergeCell ref="D271:D273"/>
    <mergeCell ref="E271:E273"/>
    <mergeCell ref="F271:F273"/>
    <mergeCell ref="G271:G273"/>
    <mergeCell ref="H271:H273"/>
    <mergeCell ref="I271:I273"/>
    <mergeCell ref="J271:J273"/>
    <mergeCell ref="K271:K273"/>
    <mergeCell ref="L271:L273"/>
    <mergeCell ref="M271:M273"/>
    <mergeCell ref="N271:N273"/>
    <mergeCell ref="AE271:AE273"/>
    <mergeCell ref="AF271:AF273"/>
    <mergeCell ref="A262:A264"/>
    <mergeCell ref="B262:B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AE262:AE264"/>
    <mergeCell ref="AF262:AF264"/>
    <mergeCell ref="A265:A267"/>
    <mergeCell ref="B265:B267"/>
    <mergeCell ref="C265:C267"/>
    <mergeCell ref="D265:D267"/>
    <mergeCell ref="E265:E267"/>
    <mergeCell ref="F265:F267"/>
    <mergeCell ref="G265:G267"/>
    <mergeCell ref="H265:H267"/>
    <mergeCell ref="I265:I267"/>
    <mergeCell ref="J265:J267"/>
    <mergeCell ref="K265:K267"/>
    <mergeCell ref="L265:L267"/>
    <mergeCell ref="M265:M267"/>
    <mergeCell ref="N265:N267"/>
    <mergeCell ref="AE265:AE267"/>
    <mergeCell ref="AF265:AF267"/>
    <mergeCell ref="A256:A258"/>
    <mergeCell ref="B256:B258"/>
    <mergeCell ref="C256:C258"/>
    <mergeCell ref="D256:D258"/>
    <mergeCell ref="E256:E258"/>
    <mergeCell ref="F256:F258"/>
    <mergeCell ref="G256:G258"/>
    <mergeCell ref="H256:H258"/>
    <mergeCell ref="I256:I258"/>
    <mergeCell ref="J256:J258"/>
    <mergeCell ref="K256:K258"/>
    <mergeCell ref="L256:L258"/>
    <mergeCell ref="M256:M258"/>
    <mergeCell ref="N256:N258"/>
    <mergeCell ref="AE256:AE258"/>
    <mergeCell ref="AF256:AF258"/>
    <mergeCell ref="A259:A261"/>
    <mergeCell ref="B259:B261"/>
    <mergeCell ref="C259:C261"/>
    <mergeCell ref="D259:D261"/>
    <mergeCell ref="E259:E261"/>
    <mergeCell ref="F259:F261"/>
    <mergeCell ref="G259:G261"/>
    <mergeCell ref="H259:H261"/>
    <mergeCell ref="I259:I261"/>
    <mergeCell ref="J259:J261"/>
    <mergeCell ref="K259:K261"/>
    <mergeCell ref="L259:L261"/>
    <mergeCell ref="M259:M261"/>
    <mergeCell ref="N259:N261"/>
    <mergeCell ref="AE259:AE261"/>
    <mergeCell ref="AF259:AF261"/>
    <mergeCell ref="A250:A252"/>
    <mergeCell ref="B250:B252"/>
    <mergeCell ref="C250:C252"/>
    <mergeCell ref="D250:D252"/>
    <mergeCell ref="E250:E252"/>
    <mergeCell ref="F250:F252"/>
    <mergeCell ref="G250:G252"/>
    <mergeCell ref="H250:H252"/>
    <mergeCell ref="I250:I252"/>
    <mergeCell ref="J250:J252"/>
    <mergeCell ref="K250:K252"/>
    <mergeCell ref="L250:L252"/>
    <mergeCell ref="M250:M252"/>
    <mergeCell ref="N250:N252"/>
    <mergeCell ref="AE250:AE252"/>
    <mergeCell ref="AF250:AF252"/>
    <mergeCell ref="A253:A255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L253:L255"/>
    <mergeCell ref="M253:M255"/>
    <mergeCell ref="N253:N255"/>
    <mergeCell ref="AE253:AE255"/>
    <mergeCell ref="AF253:AF255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I244:I246"/>
    <mergeCell ref="J244:J246"/>
    <mergeCell ref="K244:K246"/>
    <mergeCell ref="L244:L246"/>
    <mergeCell ref="M244:M246"/>
    <mergeCell ref="N244:N246"/>
    <mergeCell ref="AE244:AE246"/>
    <mergeCell ref="AF244:AF246"/>
    <mergeCell ref="A247:A249"/>
    <mergeCell ref="B247:B249"/>
    <mergeCell ref="C247:C249"/>
    <mergeCell ref="D247:D249"/>
    <mergeCell ref="E247:E249"/>
    <mergeCell ref="F247:F249"/>
    <mergeCell ref="G247:G249"/>
    <mergeCell ref="H247:H249"/>
    <mergeCell ref="I247:I249"/>
    <mergeCell ref="J247:J249"/>
    <mergeCell ref="K247:K249"/>
    <mergeCell ref="L247:L249"/>
    <mergeCell ref="M247:M249"/>
    <mergeCell ref="N247:N249"/>
    <mergeCell ref="AE247:AE249"/>
    <mergeCell ref="AF247:AF249"/>
    <mergeCell ref="A238:A240"/>
    <mergeCell ref="B238:B240"/>
    <mergeCell ref="C238:C240"/>
    <mergeCell ref="D238:D240"/>
    <mergeCell ref="E238:E240"/>
    <mergeCell ref="F238:F240"/>
    <mergeCell ref="G238:G240"/>
    <mergeCell ref="H238:H240"/>
    <mergeCell ref="I238:I240"/>
    <mergeCell ref="J238:J240"/>
    <mergeCell ref="K238:K240"/>
    <mergeCell ref="L238:L240"/>
    <mergeCell ref="M238:M240"/>
    <mergeCell ref="N238:N240"/>
    <mergeCell ref="AE238:AE240"/>
    <mergeCell ref="AF238:AF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K241:K243"/>
    <mergeCell ref="L241:L243"/>
    <mergeCell ref="M241:M243"/>
    <mergeCell ref="N241:N243"/>
    <mergeCell ref="AE241:AE243"/>
    <mergeCell ref="AF241:AF243"/>
    <mergeCell ref="A232:A234"/>
    <mergeCell ref="B232:B234"/>
    <mergeCell ref="C232:C234"/>
    <mergeCell ref="D232:D234"/>
    <mergeCell ref="E232:E234"/>
    <mergeCell ref="F232:F234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AE232:AE234"/>
    <mergeCell ref="AF232:AF234"/>
    <mergeCell ref="A235:A237"/>
    <mergeCell ref="B235:B237"/>
    <mergeCell ref="C235:C237"/>
    <mergeCell ref="D235:D237"/>
    <mergeCell ref="E235:E237"/>
    <mergeCell ref="F235:F237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AE235:AE237"/>
    <mergeCell ref="AF235:AF237"/>
    <mergeCell ref="A226:A228"/>
    <mergeCell ref="B226:B228"/>
    <mergeCell ref="C226:C228"/>
    <mergeCell ref="D226:D228"/>
    <mergeCell ref="E226:E228"/>
    <mergeCell ref="F226:F228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AE226:AE228"/>
    <mergeCell ref="AF226:AF228"/>
    <mergeCell ref="A229:A231"/>
    <mergeCell ref="B229:B231"/>
    <mergeCell ref="C229:C231"/>
    <mergeCell ref="D229:D231"/>
    <mergeCell ref="E229:E231"/>
    <mergeCell ref="F229:F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AE229:AE231"/>
    <mergeCell ref="AF229:AF231"/>
    <mergeCell ref="A220:A222"/>
    <mergeCell ref="B220:B222"/>
    <mergeCell ref="C220:C222"/>
    <mergeCell ref="D220:D222"/>
    <mergeCell ref="E220:E222"/>
    <mergeCell ref="F220:F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AE220:AE222"/>
    <mergeCell ref="AF220:AF222"/>
    <mergeCell ref="A223:A225"/>
    <mergeCell ref="B223:B225"/>
    <mergeCell ref="C223:C225"/>
    <mergeCell ref="D223:D225"/>
    <mergeCell ref="E223:E225"/>
    <mergeCell ref="F223:F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AE223:AE225"/>
    <mergeCell ref="AF223:AF225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AE214:AE216"/>
    <mergeCell ref="AF214:AF216"/>
    <mergeCell ref="A217:A219"/>
    <mergeCell ref="B217:B219"/>
    <mergeCell ref="C217:C219"/>
    <mergeCell ref="D217:D219"/>
    <mergeCell ref="E217:E219"/>
    <mergeCell ref="F217:F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AE217:AE219"/>
    <mergeCell ref="AF217:AF219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J208:J210"/>
    <mergeCell ref="K208:K210"/>
    <mergeCell ref="L208:L210"/>
    <mergeCell ref="M208:M210"/>
    <mergeCell ref="N208:N210"/>
    <mergeCell ref="AE208:AE210"/>
    <mergeCell ref="AF208:AF210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AE211:AE213"/>
    <mergeCell ref="AF211:AF213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K202:K204"/>
    <mergeCell ref="L202:L204"/>
    <mergeCell ref="M202:M204"/>
    <mergeCell ref="N202:N204"/>
    <mergeCell ref="AE202:AE204"/>
    <mergeCell ref="AF202:AF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K205:K207"/>
    <mergeCell ref="L205:L207"/>
    <mergeCell ref="M205:M207"/>
    <mergeCell ref="N205:N207"/>
    <mergeCell ref="AE205:AE207"/>
    <mergeCell ref="AF205:AF207"/>
    <mergeCell ref="A196:A198"/>
    <mergeCell ref="B196:B198"/>
    <mergeCell ref="C196:C198"/>
    <mergeCell ref="D196:D198"/>
    <mergeCell ref="E196:E198"/>
    <mergeCell ref="F196:F198"/>
    <mergeCell ref="G196:G198"/>
    <mergeCell ref="H196:H198"/>
    <mergeCell ref="I196:I198"/>
    <mergeCell ref="J196:J198"/>
    <mergeCell ref="K196:K198"/>
    <mergeCell ref="L196:L198"/>
    <mergeCell ref="M196:M198"/>
    <mergeCell ref="N196:N198"/>
    <mergeCell ref="AE196:AE198"/>
    <mergeCell ref="AF196:AF198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J199:J201"/>
    <mergeCell ref="K199:K201"/>
    <mergeCell ref="L199:L201"/>
    <mergeCell ref="M199:M201"/>
    <mergeCell ref="N199:N201"/>
    <mergeCell ref="AE199:AE201"/>
    <mergeCell ref="AF199:AF201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J190:J192"/>
    <mergeCell ref="K190:K192"/>
    <mergeCell ref="L190:L192"/>
    <mergeCell ref="M190:M192"/>
    <mergeCell ref="N190:N192"/>
    <mergeCell ref="AE190:AE192"/>
    <mergeCell ref="AF190:AF192"/>
    <mergeCell ref="A193:A195"/>
    <mergeCell ref="B193:B195"/>
    <mergeCell ref="C193:C195"/>
    <mergeCell ref="D193:D195"/>
    <mergeCell ref="E193:E195"/>
    <mergeCell ref="F193:F195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AE193:AE195"/>
    <mergeCell ref="AF193:AF195"/>
    <mergeCell ref="A184:A186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J184:J186"/>
    <mergeCell ref="K184:K186"/>
    <mergeCell ref="L184:L186"/>
    <mergeCell ref="M184:M186"/>
    <mergeCell ref="N184:N186"/>
    <mergeCell ref="AE184:AE186"/>
    <mergeCell ref="AF184:AF186"/>
    <mergeCell ref="A187:A189"/>
    <mergeCell ref="B187:B189"/>
    <mergeCell ref="C187:C189"/>
    <mergeCell ref="D187:D189"/>
    <mergeCell ref="E187:E189"/>
    <mergeCell ref="F187:F189"/>
    <mergeCell ref="G187:G189"/>
    <mergeCell ref="H187:H189"/>
    <mergeCell ref="I187:I189"/>
    <mergeCell ref="J187:J189"/>
    <mergeCell ref="K187:K189"/>
    <mergeCell ref="L187:L189"/>
    <mergeCell ref="M187:M189"/>
    <mergeCell ref="N187:N189"/>
    <mergeCell ref="AE187:AE189"/>
    <mergeCell ref="AF187:AF189"/>
    <mergeCell ref="A178:A180"/>
    <mergeCell ref="B178:B180"/>
    <mergeCell ref="C178:C180"/>
    <mergeCell ref="D178:D180"/>
    <mergeCell ref="E178:E180"/>
    <mergeCell ref="F178:F180"/>
    <mergeCell ref="G178:G180"/>
    <mergeCell ref="H178:H180"/>
    <mergeCell ref="I178:I180"/>
    <mergeCell ref="J178:J180"/>
    <mergeCell ref="K178:K180"/>
    <mergeCell ref="L178:L180"/>
    <mergeCell ref="M178:M180"/>
    <mergeCell ref="N178:N180"/>
    <mergeCell ref="AE178:AE180"/>
    <mergeCell ref="AF178:AF180"/>
    <mergeCell ref="A181:A183"/>
    <mergeCell ref="B181:B183"/>
    <mergeCell ref="C181:C183"/>
    <mergeCell ref="D181:D183"/>
    <mergeCell ref="E181:E183"/>
    <mergeCell ref="F181:F183"/>
    <mergeCell ref="G181:G183"/>
    <mergeCell ref="H181:H183"/>
    <mergeCell ref="I181:I183"/>
    <mergeCell ref="J181:J183"/>
    <mergeCell ref="K181:K183"/>
    <mergeCell ref="L181:L183"/>
    <mergeCell ref="M181:M183"/>
    <mergeCell ref="N181:N183"/>
    <mergeCell ref="AE181:AE183"/>
    <mergeCell ref="AF181:AF183"/>
    <mergeCell ref="A172:A174"/>
    <mergeCell ref="B172:B174"/>
    <mergeCell ref="C172:C174"/>
    <mergeCell ref="D172:D174"/>
    <mergeCell ref="E172:E174"/>
    <mergeCell ref="F172:F174"/>
    <mergeCell ref="G172:G174"/>
    <mergeCell ref="H172:H174"/>
    <mergeCell ref="I172:I174"/>
    <mergeCell ref="J172:J174"/>
    <mergeCell ref="K172:K174"/>
    <mergeCell ref="L172:L174"/>
    <mergeCell ref="M172:M174"/>
    <mergeCell ref="N172:N174"/>
    <mergeCell ref="AE172:AE174"/>
    <mergeCell ref="AF172:AF174"/>
    <mergeCell ref="A175:A177"/>
    <mergeCell ref="B175:B177"/>
    <mergeCell ref="C175:C177"/>
    <mergeCell ref="D175:D177"/>
    <mergeCell ref="E175:E177"/>
    <mergeCell ref="F175:F177"/>
    <mergeCell ref="G175:G177"/>
    <mergeCell ref="H175:H177"/>
    <mergeCell ref="I175:I177"/>
    <mergeCell ref="J175:J177"/>
    <mergeCell ref="K175:K177"/>
    <mergeCell ref="L175:L177"/>
    <mergeCell ref="M175:M177"/>
    <mergeCell ref="N175:N177"/>
    <mergeCell ref="AE175:AE177"/>
    <mergeCell ref="AF175:AF177"/>
    <mergeCell ref="A166:A168"/>
    <mergeCell ref="B166:B168"/>
    <mergeCell ref="C166:C168"/>
    <mergeCell ref="D166:D168"/>
    <mergeCell ref="E166:E168"/>
    <mergeCell ref="F166:F168"/>
    <mergeCell ref="G166:G168"/>
    <mergeCell ref="H166:H168"/>
    <mergeCell ref="I166:I168"/>
    <mergeCell ref="J166:J168"/>
    <mergeCell ref="K166:K168"/>
    <mergeCell ref="L166:L168"/>
    <mergeCell ref="M166:M168"/>
    <mergeCell ref="N166:N168"/>
    <mergeCell ref="AE166:AE168"/>
    <mergeCell ref="AF166:AF168"/>
    <mergeCell ref="A169:A171"/>
    <mergeCell ref="B169:B171"/>
    <mergeCell ref="C169:C171"/>
    <mergeCell ref="D169:D171"/>
    <mergeCell ref="E169:E171"/>
    <mergeCell ref="F169:F171"/>
    <mergeCell ref="G169:G171"/>
    <mergeCell ref="H169:H171"/>
    <mergeCell ref="I169:I171"/>
    <mergeCell ref="J169:J171"/>
    <mergeCell ref="K169:K171"/>
    <mergeCell ref="L169:L171"/>
    <mergeCell ref="M169:M171"/>
    <mergeCell ref="N169:N171"/>
    <mergeCell ref="AE169:AE171"/>
    <mergeCell ref="AF169:AF171"/>
    <mergeCell ref="A160:A162"/>
    <mergeCell ref="B160:B162"/>
    <mergeCell ref="C160:C162"/>
    <mergeCell ref="D160:D162"/>
    <mergeCell ref="E160:E162"/>
    <mergeCell ref="F160:F162"/>
    <mergeCell ref="G160:G162"/>
    <mergeCell ref="H160:H162"/>
    <mergeCell ref="I160:I162"/>
    <mergeCell ref="J160:J162"/>
    <mergeCell ref="K160:K162"/>
    <mergeCell ref="L160:L162"/>
    <mergeCell ref="M160:M162"/>
    <mergeCell ref="N160:N162"/>
    <mergeCell ref="AE160:AE162"/>
    <mergeCell ref="AF160:AF162"/>
    <mergeCell ref="A163:A165"/>
    <mergeCell ref="B163:B165"/>
    <mergeCell ref="C163:C165"/>
    <mergeCell ref="D163:D165"/>
    <mergeCell ref="E163:E165"/>
    <mergeCell ref="F163:F165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AE163:AE165"/>
    <mergeCell ref="AF163:AF165"/>
    <mergeCell ref="A154:A156"/>
    <mergeCell ref="B154:B156"/>
    <mergeCell ref="C154:C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54:L156"/>
    <mergeCell ref="M154:M156"/>
    <mergeCell ref="N154:N156"/>
    <mergeCell ref="AE154:AE156"/>
    <mergeCell ref="AF154:AF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AE157:AE159"/>
    <mergeCell ref="AF157:AF159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J148:J150"/>
    <mergeCell ref="K148:K150"/>
    <mergeCell ref="L148:L150"/>
    <mergeCell ref="M148:M150"/>
    <mergeCell ref="N148:N150"/>
    <mergeCell ref="AE148:AE150"/>
    <mergeCell ref="AF148:AF150"/>
    <mergeCell ref="A151:A153"/>
    <mergeCell ref="B151:B153"/>
    <mergeCell ref="C151:C153"/>
    <mergeCell ref="D151:D153"/>
    <mergeCell ref="E151:E153"/>
    <mergeCell ref="F151:F153"/>
    <mergeCell ref="G151:G153"/>
    <mergeCell ref="H151:H153"/>
    <mergeCell ref="I151:I153"/>
    <mergeCell ref="J151:J153"/>
    <mergeCell ref="K151:K153"/>
    <mergeCell ref="L151:L153"/>
    <mergeCell ref="M151:M153"/>
    <mergeCell ref="N151:N153"/>
    <mergeCell ref="AE151:AE153"/>
    <mergeCell ref="AF151:AF153"/>
    <mergeCell ref="A142:A144"/>
    <mergeCell ref="B142:B144"/>
    <mergeCell ref="C142:C144"/>
    <mergeCell ref="D142:D144"/>
    <mergeCell ref="E142:E144"/>
    <mergeCell ref="F142:F144"/>
    <mergeCell ref="G142:G144"/>
    <mergeCell ref="H142:H144"/>
    <mergeCell ref="I142:I144"/>
    <mergeCell ref="J142:J144"/>
    <mergeCell ref="K142:K144"/>
    <mergeCell ref="L142:L144"/>
    <mergeCell ref="M142:M144"/>
    <mergeCell ref="N142:N144"/>
    <mergeCell ref="AE142:AE144"/>
    <mergeCell ref="AF142:AF144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J145:J147"/>
    <mergeCell ref="K145:K147"/>
    <mergeCell ref="L145:L147"/>
    <mergeCell ref="M145:M147"/>
    <mergeCell ref="N145:N147"/>
    <mergeCell ref="AE145:AE147"/>
    <mergeCell ref="AF145:AF147"/>
    <mergeCell ref="A136:A138"/>
    <mergeCell ref="B136:B138"/>
    <mergeCell ref="C136:C138"/>
    <mergeCell ref="D136:D138"/>
    <mergeCell ref="E136:E138"/>
    <mergeCell ref="F136:F138"/>
    <mergeCell ref="G136:G138"/>
    <mergeCell ref="H136:H138"/>
    <mergeCell ref="I136:I138"/>
    <mergeCell ref="J136:J138"/>
    <mergeCell ref="K136:K138"/>
    <mergeCell ref="L136:L138"/>
    <mergeCell ref="M136:M138"/>
    <mergeCell ref="N136:N138"/>
    <mergeCell ref="AE136:AE138"/>
    <mergeCell ref="AF136:AF138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AE139:AE141"/>
    <mergeCell ref="AF139:AF141"/>
    <mergeCell ref="A130:A132"/>
    <mergeCell ref="B130:B132"/>
    <mergeCell ref="C130:C132"/>
    <mergeCell ref="D130:D132"/>
    <mergeCell ref="E130:E132"/>
    <mergeCell ref="F130:F132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AE130:AE132"/>
    <mergeCell ref="AF130:AF132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AE133:AE135"/>
    <mergeCell ref="AF133:AF135"/>
    <mergeCell ref="A124:A126"/>
    <mergeCell ref="B124:B126"/>
    <mergeCell ref="C124:C126"/>
    <mergeCell ref="D124:D126"/>
    <mergeCell ref="E124:E126"/>
    <mergeCell ref="F124:F126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AE124:AE126"/>
    <mergeCell ref="AF124:AF126"/>
    <mergeCell ref="A127:A129"/>
    <mergeCell ref="B127:B129"/>
    <mergeCell ref="C127:C129"/>
    <mergeCell ref="D127:D129"/>
    <mergeCell ref="E127:E129"/>
    <mergeCell ref="F127:F129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AE127:AE129"/>
    <mergeCell ref="AF127:AF129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J118:J120"/>
    <mergeCell ref="K118:K120"/>
    <mergeCell ref="L118:L120"/>
    <mergeCell ref="M118:M120"/>
    <mergeCell ref="N118:N120"/>
    <mergeCell ref="AE118:AE120"/>
    <mergeCell ref="AF118:AF120"/>
    <mergeCell ref="A121:A123"/>
    <mergeCell ref="B121:B123"/>
    <mergeCell ref="C121:C123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AE121:AE123"/>
    <mergeCell ref="AF121:AF123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AE112:AE114"/>
    <mergeCell ref="AF112:AF114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AE115:AE117"/>
    <mergeCell ref="AF115:AF117"/>
    <mergeCell ref="A106:A108"/>
    <mergeCell ref="B106:B108"/>
    <mergeCell ref="C106:C108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AE106:AE108"/>
    <mergeCell ref="AF106:AF108"/>
    <mergeCell ref="A109:A111"/>
    <mergeCell ref="B109:B111"/>
    <mergeCell ref="C109:C111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AE109:AE111"/>
    <mergeCell ref="AF109:AF111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AE100:AE102"/>
    <mergeCell ref="AF100:AF102"/>
    <mergeCell ref="A103:A105"/>
    <mergeCell ref="B103:B105"/>
    <mergeCell ref="C103:C105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AE103:AE105"/>
    <mergeCell ref="AF103:AF105"/>
    <mergeCell ref="A94:A96"/>
    <mergeCell ref="B94:B96"/>
    <mergeCell ref="C94:C96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AE94:AE96"/>
    <mergeCell ref="AF94:AF96"/>
    <mergeCell ref="A97:A99"/>
    <mergeCell ref="B97:B99"/>
    <mergeCell ref="C97:C99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N97:N99"/>
    <mergeCell ref="AE97:AE99"/>
    <mergeCell ref="AF97:AF99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AE88:AE90"/>
    <mergeCell ref="AF88:AF90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AE91:AE93"/>
    <mergeCell ref="AF91:AF93"/>
    <mergeCell ref="A82:A84"/>
    <mergeCell ref="B82:B84"/>
    <mergeCell ref="C82:C84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AE82:AE84"/>
    <mergeCell ref="AF82:AF84"/>
    <mergeCell ref="A85:A87"/>
    <mergeCell ref="B85:B87"/>
    <mergeCell ref="C85:C87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AE85:AE87"/>
    <mergeCell ref="AF85:AF87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AE76:AE78"/>
    <mergeCell ref="AF76:AF78"/>
    <mergeCell ref="A79:A81"/>
    <mergeCell ref="B79:B81"/>
    <mergeCell ref="C79:C81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AE79:AE81"/>
    <mergeCell ref="AF79:AF81"/>
    <mergeCell ref="A70:A72"/>
    <mergeCell ref="B70:B72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AE70:AE72"/>
    <mergeCell ref="AF70:AF72"/>
    <mergeCell ref="A73:A75"/>
    <mergeCell ref="B73:B75"/>
    <mergeCell ref="C73:C75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AE73:AE75"/>
    <mergeCell ref="AF73:AF75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AE64:AE66"/>
    <mergeCell ref="AF64:AF66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AE67:AE69"/>
    <mergeCell ref="AF67:AF69"/>
    <mergeCell ref="A58:A60"/>
    <mergeCell ref="B58:B60"/>
    <mergeCell ref="C58:C60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AE58:AE60"/>
    <mergeCell ref="AF58:AF60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AE61:AE63"/>
    <mergeCell ref="AF61:AF63"/>
    <mergeCell ref="A52:A54"/>
    <mergeCell ref="B52:B54"/>
    <mergeCell ref="C52:C54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AE52:AE54"/>
    <mergeCell ref="AF52:AF54"/>
    <mergeCell ref="A55:A57"/>
    <mergeCell ref="B55:B57"/>
    <mergeCell ref="C55:C57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AE55:AE57"/>
    <mergeCell ref="AF55:AF57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AE46:AE48"/>
    <mergeCell ref="AF46:AF48"/>
    <mergeCell ref="A49:A51"/>
    <mergeCell ref="B49:B51"/>
    <mergeCell ref="C49:C51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AE49:AE51"/>
    <mergeCell ref="AF49:AF51"/>
    <mergeCell ref="A40:A42"/>
    <mergeCell ref="B40:B42"/>
    <mergeCell ref="C40:C42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AE40:AE42"/>
    <mergeCell ref="AF40:AF42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AE43:AE45"/>
    <mergeCell ref="AF43:AF45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AE34:AE36"/>
    <mergeCell ref="AF34:AF36"/>
    <mergeCell ref="A37:A39"/>
    <mergeCell ref="B37:B39"/>
    <mergeCell ref="C37:C39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AE37:AE39"/>
    <mergeCell ref="AF37:AF39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AE28:AE30"/>
    <mergeCell ref="AF28:AF30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AE31:AE33"/>
    <mergeCell ref="AF31:AF33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AE22:AE24"/>
    <mergeCell ref="AF22:AF24"/>
    <mergeCell ref="A25:A27"/>
    <mergeCell ref="B25:B27"/>
    <mergeCell ref="C25:C27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AE25:AE27"/>
    <mergeCell ref="AF25:AF27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AE16:AE18"/>
    <mergeCell ref="AF16:AF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AE19:AE21"/>
    <mergeCell ref="AF19:AF21"/>
    <mergeCell ref="A10:A12"/>
    <mergeCell ref="B10:B12"/>
    <mergeCell ref="C10:C12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AE10:AE12"/>
    <mergeCell ref="AF10:AF12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AE13:AE15"/>
    <mergeCell ref="AF13:AF15"/>
    <mergeCell ref="A1:AF1"/>
    <mergeCell ref="A2:AF2"/>
    <mergeCell ref="A3:AF3"/>
    <mergeCell ref="A4:AF4"/>
    <mergeCell ref="A5:AF5"/>
    <mergeCell ref="A6:A8"/>
    <mergeCell ref="B6:B8"/>
    <mergeCell ref="C6:C8"/>
    <mergeCell ref="D6:D8"/>
    <mergeCell ref="E6:E8"/>
    <mergeCell ref="F6:F8"/>
    <mergeCell ref="G6:G8"/>
    <mergeCell ref="H6:N6"/>
    <mergeCell ref="O6:V6"/>
    <mergeCell ref="W6:AD6"/>
    <mergeCell ref="AE6:AE8"/>
    <mergeCell ref="AF6:AF8"/>
    <mergeCell ref="H7:K7"/>
    <mergeCell ref="L7:N7"/>
    <mergeCell ref="O7:S7"/>
    <mergeCell ref="T7:V7"/>
    <mergeCell ref="W7:AA7"/>
    <mergeCell ref="AB7:AD7"/>
  </mergeCells>
  <conditionalFormatting sqref="H427:H429">
    <cfRule type="colorScale" priority="27">
      <colorScale>
        <cfvo type="min"/>
        <cfvo type="max"/>
        <color rgb="FFFFEF9C"/>
        <color rgb="FFFF7128"/>
      </colorScale>
    </cfRule>
  </conditionalFormatting>
  <conditionalFormatting sqref="H427:H429">
    <cfRule type="iconSet" priority="26">
      <iconSet iconSet="3TrafficLights2">
        <cfvo type="percent" val="0"/>
        <cfvo type="percent" val="33"/>
        <cfvo type="percent" val="67"/>
      </iconSet>
    </cfRule>
  </conditionalFormatting>
  <conditionalFormatting sqref="H6:H8">
    <cfRule type="colorScale" priority="25">
      <colorScale>
        <cfvo type="min"/>
        <cfvo type="max"/>
        <color rgb="FFFFEF9C"/>
        <color rgb="FFFF7128"/>
      </colorScale>
    </cfRule>
  </conditionalFormatting>
  <conditionalFormatting sqref="H6:H8">
    <cfRule type="iconSet" priority="24">
      <iconSet iconSet="3TrafficLights2">
        <cfvo type="percent" val="0"/>
        <cfvo type="percent" val="33"/>
        <cfvo type="percent" val="67"/>
      </iconSet>
    </cfRule>
  </conditionalFormatting>
  <conditionalFormatting sqref="H13:H261 H265:H276 H280:H306 H310:H369 H373:H402 H430:H438 H442:H471 H475:H669 H673:H1128 H406:H426">
    <cfRule type="colorScale" priority="23">
      <colorScale>
        <cfvo type="min"/>
        <cfvo type="max"/>
        <color rgb="FFFFEF9C"/>
        <color rgb="FFFF7128"/>
      </colorScale>
    </cfRule>
  </conditionalFormatting>
  <conditionalFormatting sqref="H412:H414">
    <cfRule type="colorScale" priority="28">
      <colorScale>
        <cfvo type="min"/>
        <cfvo type="max"/>
        <color rgb="FFFFEF9C"/>
        <color rgb="FFFF7128"/>
      </colorScale>
    </cfRule>
  </conditionalFormatting>
  <conditionalFormatting sqref="H292:H294">
    <cfRule type="colorScale" priority="29">
      <colorScale>
        <cfvo type="min"/>
        <cfvo type="max"/>
        <color rgb="FFFFEF9C"/>
        <color rgb="FFFF7128"/>
      </colorScale>
    </cfRule>
  </conditionalFormatting>
  <conditionalFormatting sqref="H13:H15">
    <cfRule type="colorScale" priority="30">
      <colorScale>
        <cfvo type="min"/>
        <cfvo type="max"/>
        <color rgb="FFFFEF9C"/>
        <color rgb="FFFF7128"/>
      </colorScale>
    </cfRule>
  </conditionalFormatting>
  <conditionalFormatting sqref="H10:H12">
    <cfRule type="colorScale" priority="31">
      <colorScale>
        <cfvo type="min"/>
        <cfvo type="max"/>
        <color rgb="FFFFEF9C"/>
        <color rgb="FFFF7128"/>
      </colorScale>
    </cfRule>
  </conditionalFormatting>
  <conditionalFormatting sqref="H10:H12">
    <cfRule type="colorScale" priority="32">
      <colorScale>
        <cfvo type="min"/>
        <cfvo type="max"/>
        <color rgb="FFFFEF9C"/>
        <color rgb="FFFF7128"/>
      </colorScale>
    </cfRule>
  </conditionalFormatting>
  <conditionalFormatting sqref="H88:H90">
    <cfRule type="colorScale" priority="33">
      <colorScale>
        <cfvo type="min"/>
        <cfvo type="max"/>
        <color rgb="FFFFEF9C"/>
        <color rgb="FFFF7128"/>
      </colorScale>
    </cfRule>
  </conditionalFormatting>
  <conditionalFormatting sqref="H121:H123">
    <cfRule type="colorScale" priority="34">
      <colorScale>
        <cfvo type="min"/>
        <cfvo type="max"/>
        <color rgb="FFFFEF9C"/>
        <color rgb="FFFF7128"/>
      </colorScale>
    </cfRule>
  </conditionalFormatting>
  <conditionalFormatting sqref="H682:H684">
    <cfRule type="colorScale" priority="35">
      <colorScale>
        <cfvo type="min"/>
        <cfvo type="max"/>
        <color rgb="FFFFEF9C"/>
        <color rgb="FFFF7128"/>
      </colorScale>
    </cfRule>
  </conditionalFormatting>
  <conditionalFormatting sqref="H658:H660">
    <cfRule type="colorScale" priority="36">
      <colorScale>
        <cfvo type="min"/>
        <cfvo type="max"/>
        <color rgb="FFFFEF9C"/>
        <color rgb="FFFF7128"/>
      </colorScale>
    </cfRule>
  </conditionalFormatting>
  <conditionalFormatting sqref="H625:H627">
    <cfRule type="colorScale" priority="37">
      <colorScale>
        <cfvo type="min"/>
        <cfvo type="max"/>
        <color rgb="FFFFEF9C"/>
        <color rgb="FFFF7128"/>
      </colorScale>
    </cfRule>
  </conditionalFormatting>
  <conditionalFormatting sqref="H13:H261 H265:H276 H280:H306 H310:H369 H373:H402 H430:H438 H442:H471 H475:H669 H673:H1128 H406:H426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412:H414">
    <cfRule type="iconSet" priority="38">
      <iconSet iconSet="3TrafficLights2">
        <cfvo type="percent" val="0"/>
        <cfvo type="percent" val="33"/>
        <cfvo type="percent" val="67"/>
      </iconSet>
    </cfRule>
  </conditionalFormatting>
  <conditionalFormatting sqref="H292:H294">
    <cfRule type="iconSet" priority="39">
      <iconSet iconSet="3TrafficLights2">
        <cfvo type="percent" val="0"/>
        <cfvo type="percent" val="33"/>
        <cfvo type="percent" val="67"/>
      </iconSet>
    </cfRule>
  </conditionalFormatting>
  <conditionalFormatting sqref="H13:H15">
    <cfRule type="iconSet" priority="40">
      <iconSet iconSet="3TrafficLights2">
        <cfvo type="percent" val="0"/>
        <cfvo type="percent" val="33"/>
        <cfvo type="percent" val="67"/>
      </iconSet>
    </cfRule>
  </conditionalFormatting>
  <conditionalFormatting sqref="H10:H12">
    <cfRule type="iconSet" priority="41">
      <iconSet iconSet="3TrafficLights2">
        <cfvo type="percent" val="0"/>
        <cfvo type="percent" val="33"/>
        <cfvo type="percent" val="67"/>
      </iconSet>
    </cfRule>
  </conditionalFormatting>
  <conditionalFormatting sqref="H10:H12">
    <cfRule type="iconSet" priority="42">
      <iconSet iconSet="3TrafficLights2">
        <cfvo type="percent" val="0"/>
        <cfvo type="percent" val="33"/>
        <cfvo type="percent" val="67"/>
      </iconSet>
    </cfRule>
  </conditionalFormatting>
  <conditionalFormatting sqref="H88:H90">
    <cfRule type="iconSet" priority="43">
      <iconSet iconSet="3TrafficLights2">
        <cfvo type="percent" val="0"/>
        <cfvo type="percent" val="33"/>
        <cfvo type="percent" val="67"/>
      </iconSet>
    </cfRule>
  </conditionalFormatting>
  <conditionalFormatting sqref="H121:H123">
    <cfRule type="iconSet" priority="44">
      <iconSet iconSet="3TrafficLights2">
        <cfvo type="percent" val="0"/>
        <cfvo type="percent" val="33"/>
        <cfvo type="percent" val="67"/>
      </iconSet>
    </cfRule>
  </conditionalFormatting>
  <conditionalFormatting sqref="H682:H684">
    <cfRule type="iconSet" priority="45">
      <iconSet iconSet="3TrafficLights2">
        <cfvo type="percent" val="0"/>
        <cfvo type="percent" val="33"/>
        <cfvo type="percent" val="67"/>
      </iconSet>
    </cfRule>
  </conditionalFormatting>
  <conditionalFormatting sqref="H658:H660">
    <cfRule type="iconSet" priority="46">
      <iconSet iconSet="3TrafficLights2">
        <cfvo type="percent" val="0"/>
        <cfvo type="percent" val="33"/>
        <cfvo type="percent" val="67"/>
      </iconSet>
    </cfRule>
  </conditionalFormatting>
  <conditionalFormatting sqref="H625:H627">
    <cfRule type="iconSet" priority="47">
      <iconSet iconSet="3TrafficLights2">
        <cfvo type="percent" val="0"/>
        <cfvo type="percent" val="33"/>
        <cfvo type="percent" val="67"/>
      </iconSet>
    </cfRule>
  </conditionalFormatting>
  <conditionalFormatting sqref="H262:H264">
    <cfRule type="colorScale" priority="17">
      <colorScale>
        <cfvo type="min"/>
        <cfvo type="max"/>
        <color rgb="FFFFEF9C"/>
        <color rgb="FFFF7128"/>
      </colorScale>
    </cfRule>
  </conditionalFormatting>
  <conditionalFormatting sqref="H262:H264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H277:H279">
    <cfRule type="colorScale" priority="15">
      <colorScale>
        <cfvo type="min"/>
        <cfvo type="max"/>
        <color rgb="FFFFEF9C"/>
        <color rgb="FFFF7128"/>
      </colorScale>
    </cfRule>
  </conditionalFormatting>
  <conditionalFormatting sqref="H277:H279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H307:H309">
    <cfRule type="colorScale" priority="13">
      <colorScale>
        <cfvo type="min"/>
        <cfvo type="max"/>
        <color rgb="FFFFEF9C"/>
        <color rgb="FFFF7128"/>
      </colorScale>
    </cfRule>
  </conditionalFormatting>
  <conditionalFormatting sqref="H307:H309"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H370:H372">
    <cfRule type="colorScale" priority="11">
      <colorScale>
        <cfvo type="min"/>
        <cfvo type="max"/>
        <color rgb="FFFFEF9C"/>
        <color rgb="FFFF7128"/>
      </colorScale>
    </cfRule>
  </conditionalFormatting>
  <conditionalFormatting sqref="H370:H372">
    <cfRule type="iconSet" priority="10">
      <iconSet iconSet="3TrafficLights2">
        <cfvo type="percent" val="0"/>
        <cfvo type="percent" val="33"/>
        <cfvo type="percent" val="67"/>
      </iconSet>
    </cfRule>
  </conditionalFormatting>
  <conditionalFormatting sqref="H403:H405">
    <cfRule type="colorScale" priority="9">
      <colorScale>
        <cfvo type="min"/>
        <cfvo type="max"/>
        <color rgb="FFFFEF9C"/>
        <color rgb="FFFF7128"/>
      </colorScale>
    </cfRule>
  </conditionalFormatting>
  <conditionalFormatting sqref="H403:H405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H439:H441">
    <cfRule type="colorScale" priority="7">
      <colorScale>
        <cfvo type="min"/>
        <cfvo type="max"/>
        <color rgb="FFFFEF9C"/>
        <color rgb="FFFF7128"/>
      </colorScale>
    </cfRule>
  </conditionalFormatting>
  <conditionalFormatting sqref="H439:H441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H472:H474">
    <cfRule type="colorScale" priority="5">
      <colorScale>
        <cfvo type="min"/>
        <cfvo type="max"/>
        <color rgb="FFFFEF9C"/>
        <color rgb="FFFF7128"/>
      </colorScale>
    </cfRule>
  </conditionalFormatting>
  <conditionalFormatting sqref="H472:H474">
    <cfRule type="iconSet" priority="4">
      <iconSet iconSet="3TrafficLights2">
        <cfvo type="percent" val="0"/>
        <cfvo type="percent" val="33"/>
        <cfvo type="percent" val="67"/>
      </iconSet>
    </cfRule>
  </conditionalFormatting>
  <conditionalFormatting sqref="H670:H672">
    <cfRule type="colorScale" priority="3">
      <colorScale>
        <cfvo type="min"/>
        <cfvo type="max"/>
        <color rgb="FFFFEF9C"/>
        <color rgb="FFFF7128"/>
      </colorScale>
    </cfRule>
  </conditionalFormatting>
  <conditionalFormatting sqref="H670:H672">
    <cfRule type="iconSet" priority="2">
      <iconSet iconSet="3TrafficLights2">
        <cfvo type="percent" val="0"/>
        <cfvo type="percent" val="33"/>
        <cfvo type="percent" val="67"/>
      </iconSet>
    </cfRule>
  </conditionalFormatting>
  <hyperlinks>
    <hyperlink ref="N10" r:id="rId1"/>
    <hyperlink ref="V10" r:id="rId2"/>
    <hyperlink ref="AD10" r:id="rId3"/>
    <hyperlink ref="V11" r:id="rId4"/>
    <hyperlink ref="AD11" r:id="rId5"/>
    <hyperlink ref="V12" r:id="rId6"/>
    <hyperlink ref="AD12" r:id="rId7"/>
    <hyperlink ref="N13" r:id="rId8"/>
    <hyperlink ref="V13" r:id="rId9"/>
    <hyperlink ref="AD13" r:id="rId10"/>
    <hyperlink ref="V14" r:id="rId11"/>
    <hyperlink ref="AD14" r:id="rId12"/>
    <hyperlink ref="V15" r:id="rId13"/>
    <hyperlink ref="AD15" r:id="rId14"/>
    <hyperlink ref="N16" r:id="rId15"/>
    <hyperlink ref="V16" r:id="rId16"/>
    <hyperlink ref="AD16" r:id="rId17"/>
    <hyperlink ref="AD17" r:id="rId18"/>
    <hyperlink ref="V18" r:id="rId19"/>
    <hyperlink ref="AD18" r:id="rId20"/>
    <hyperlink ref="N19" r:id="rId21"/>
    <hyperlink ref="V19" r:id="rId22"/>
    <hyperlink ref="AD19" r:id="rId23"/>
    <hyperlink ref="AD20" r:id="rId24"/>
    <hyperlink ref="V21" r:id="rId25"/>
    <hyperlink ref="AD21" r:id="rId26"/>
    <hyperlink ref="V22" r:id="rId27"/>
    <hyperlink ref="AD22" r:id="rId28"/>
    <hyperlink ref="AD23" r:id="rId29"/>
    <hyperlink ref="V24" r:id="rId30"/>
    <hyperlink ref="AD24" r:id="rId31"/>
    <hyperlink ref="V25" r:id="rId32"/>
    <hyperlink ref="AD25" r:id="rId33"/>
    <hyperlink ref="V26" r:id="rId34"/>
    <hyperlink ref="AD26" r:id="rId35"/>
    <hyperlink ref="V27" r:id="rId36"/>
    <hyperlink ref="AD27" r:id="rId37"/>
    <hyperlink ref="V28" r:id="rId38"/>
    <hyperlink ref="AD28" r:id="rId39"/>
    <hyperlink ref="AD29" r:id="rId40"/>
    <hyperlink ref="V30" r:id="rId41"/>
    <hyperlink ref="AD30" r:id="rId42"/>
    <hyperlink ref="N31" r:id="rId43"/>
    <hyperlink ref="V31" r:id="rId44"/>
    <hyperlink ref="AD31" r:id="rId45"/>
    <hyperlink ref="AD32" r:id="rId46"/>
    <hyperlink ref="V33" r:id="rId47"/>
    <hyperlink ref="AD33" r:id="rId48"/>
    <hyperlink ref="V34" r:id="rId49"/>
    <hyperlink ref="AD34" r:id="rId50"/>
    <hyperlink ref="AD35" r:id="rId51"/>
    <hyperlink ref="V36" r:id="rId52"/>
    <hyperlink ref="AD36" r:id="rId53"/>
    <hyperlink ref="N37" r:id="rId54"/>
    <hyperlink ref="V37" r:id="rId55"/>
    <hyperlink ref="AD37" r:id="rId56"/>
    <hyperlink ref="V38" r:id="rId57"/>
    <hyperlink ref="AD38" r:id="rId58"/>
    <hyperlink ref="V39" r:id="rId59"/>
    <hyperlink ref="AD39" r:id="rId60"/>
    <hyperlink ref="N40" r:id="rId61"/>
    <hyperlink ref="V40" r:id="rId62"/>
    <hyperlink ref="AD40" r:id="rId63"/>
    <hyperlink ref="AD41" r:id="rId64"/>
    <hyperlink ref="V42" r:id="rId65"/>
    <hyperlink ref="AD42" r:id="rId66"/>
    <hyperlink ref="V43" r:id="rId67"/>
    <hyperlink ref="AD43" r:id="rId68"/>
    <hyperlink ref="AD44" r:id="rId69"/>
    <hyperlink ref="V45" r:id="rId70"/>
    <hyperlink ref="AD45" r:id="rId71"/>
    <hyperlink ref="V46" r:id="rId72"/>
    <hyperlink ref="AD46" r:id="rId73"/>
    <hyperlink ref="AD47" r:id="rId74"/>
    <hyperlink ref="V48" r:id="rId75"/>
    <hyperlink ref="AD48" r:id="rId76"/>
    <hyperlink ref="V49" r:id="rId77"/>
    <hyperlink ref="AD49" r:id="rId78"/>
    <hyperlink ref="AD50" r:id="rId79"/>
    <hyperlink ref="V51" r:id="rId80"/>
    <hyperlink ref="AD51" r:id="rId81"/>
    <hyperlink ref="N52" r:id="rId82"/>
    <hyperlink ref="V52" r:id="rId83"/>
    <hyperlink ref="AD52" r:id="rId84"/>
    <hyperlink ref="V53" r:id="rId85"/>
    <hyperlink ref="AD53" r:id="rId86"/>
    <hyperlink ref="V54" r:id="rId87"/>
    <hyperlink ref="AD54" r:id="rId88"/>
    <hyperlink ref="N55" r:id="rId89"/>
    <hyperlink ref="V55" r:id="rId90"/>
    <hyperlink ref="AD55" r:id="rId91"/>
    <hyperlink ref="V56" r:id="rId92"/>
    <hyperlink ref="AD56" r:id="rId93"/>
    <hyperlink ref="V57" r:id="rId94"/>
    <hyperlink ref="AD57" r:id="rId95"/>
    <hyperlink ref="N58" r:id="rId96"/>
    <hyperlink ref="V58" r:id="rId97"/>
    <hyperlink ref="AD58" r:id="rId98"/>
    <hyperlink ref="AD59" r:id="rId99"/>
    <hyperlink ref="V60" r:id="rId100"/>
    <hyperlink ref="AD60" r:id="rId101"/>
    <hyperlink ref="N61" r:id="rId102"/>
    <hyperlink ref="V61" r:id="rId103"/>
    <hyperlink ref="AD61" r:id="rId104"/>
    <hyperlink ref="AD62" r:id="rId105"/>
    <hyperlink ref="V63" r:id="rId106"/>
    <hyperlink ref="AD63" r:id="rId107"/>
    <hyperlink ref="V64" r:id="rId108"/>
    <hyperlink ref="AD64" r:id="rId109"/>
    <hyperlink ref="AD65" r:id="rId110"/>
    <hyperlink ref="V66" r:id="rId111"/>
    <hyperlink ref="AD66" r:id="rId112"/>
    <hyperlink ref="V67" r:id="rId113"/>
    <hyperlink ref="AD67" r:id="rId114"/>
    <hyperlink ref="V68" r:id="rId115"/>
    <hyperlink ref="AD68" r:id="rId116"/>
    <hyperlink ref="V69" r:id="rId117"/>
    <hyperlink ref="AD69" r:id="rId118"/>
    <hyperlink ref="V70" r:id="rId119"/>
    <hyperlink ref="AD70" r:id="rId120"/>
    <hyperlink ref="AD71" r:id="rId121"/>
    <hyperlink ref="V72" r:id="rId122"/>
    <hyperlink ref="AD72" r:id="rId123"/>
    <hyperlink ref="N73" r:id="rId124"/>
    <hyperlink ref="V73" r:id="rId125"/>
    <hyperlink ref="AD73" r:id="rId126"/>
    <hyperlink ref="V74" r:id="rId127"/>
    <hyperlink ref="AD74" r:id="rId128"/>
    <hyperlink ref="V75" r:id="rId129"/>
    <hyperlink ref="AD75" r:id="rId130"/>
    <hyperlink ref="N76" r:id="rId131"/>
    <hyperlink ref="V76" r:id="rId132"/>
    <hyperlink ref="AD76" r:id="rId133"/>
    <hyperlink ref="V77" r:id="rId134"/>
    <hyperlink ref="AD77" r:id="rId135"/>
    <hyperlink ref="V78" r:id="rId136"/>
    <hyperlink ref="AD78" r:id="rId137"/>
    <hyperlink ref="V79" r:id="rId138"/>
    <hyperlink ref="AD79" r:id="rId139"/>
    <hyperlink ref="AD80" r:id="rId140"/>
    <hyperlink ref="V81" r:id="rId141"/>
    <hyperlink ref="AD81" r:id="rId142"/>
    <hyperlink ref="V82" r:id="rId143"/>
    <hyperlink ref="AD82" r:id="rId144"/>
    <hyperlink ref="AD83" r:id="rId145"/>
    <hyperlink ref="V84" r:id="rId146"/>
    <hyperlink ref="AD84" r:id="rId147"/>
    <hyperlink ref="V85" r:id="rId148"/>
    <hyperlink ref="AD85" r:id="rId149"/>
    <hyperlink ref="AD86" r:id="rId150"/>
    <hyperlink ref="V87" r:id="rId151"/>
    <hyperlink ref="AD87" r:id="rId152"/>
    <hyperlink ref="N91" r:id="rId153"/>
    <hyperlink ref="V94" r:id="rId154"/>
    <hyperlink ref="V96" r:id="rId155"/>
    <hyperlink ref="V97" r:id="rId156"/>
    <hyperlink ref="V99" r:id="rId157"/>
    <hyperlink ref="V100" r:id="rId158"/>
    <hyperlink ref="V102" r:id="rId159"/>
    <hyperlink ref="V106" r:id="rId160"/>
    <hyperlink ref="V108" r:id="rId161"/>
    <hyperlink ref="V109" r:id="rId162"/>
    <hyperlink ref="V111" r:id="rId163"/>
    <hyperlink ref="N115" r:id="rId164"/>
    <hyperlink ref="V115" r:id="rId165"/>
    <hyperlink ref="V117" r:id="rId166"/>
    <hyperlink ref="N118" r:id="rId167"/>
    <hyperlink ref="V121" r:id="rId168"/>
    <hyperlink ref="V123" r:id="rId169"/>
    <hyperlink ref="V124" r:id="rId170"/>
    <hyperlink ref="V126" r:id="rId171"/>
    <hyperlink ref="V127" r:id="rId172"/>
    <hyperlink ref="V129" r:id="rId173"/>
    <hyperlink ref="V130" r:id="rId174"/>
    <hyperlink ref="V132" r:id="rId175"/>
    <hyperlink ref="V133" r:id="rId176"/>
    <hyperlink ref="V135" r:id="rId177"/>
    <hyperlink ref="V136" r:id="rId178"/>
    <hyperlink ref="V138" r:id="rId179"/>
    <hyperlink ref="V139" r:id="rId180"/>
    <hyperlink ref="V141" r:id="rId181"/>
    <hyperlink ref="N142" r:id="rId182"/>
    <hyperlink ref="V142" r:id="rId183"/>
    <hyperlink ref="V144" r:id="rId184"/>
    <hyperlink ref="N145" r:id="rId185"/>
    <hyperlink ref="V148" r:id="rId186"/>
    <hyperlink ref="AD148" r:id="rId187"/>
    <hyperlink ref="V149" r:id="rId188"/>
    <hyperlink ref="AD149" r:id="rId189"/>
    <hyperlink ref="V150" r:id="rId190"/>
    <hyperlink ref="AD150" r:id="rId191"/>
    <hyperlink ref="V151" r:id="rId192"/>
    <hyperlink ref="AD151" r:id="rId193"/>
    <hyperlink ref="AD152" r:id="rId194"/>
    <hyperlink ref="V153" r:id="rId195"/>
    <hyperlink ref="AD153" r:id="rId196"/>
    <hyperlink ref="V154" r:id="rId197"/>
    <hyperlink ref="AD154" r:id="rId198"/>
    <hyperlink ref="AD155" r:id="rId199"/>
    <hyperlink ref="V156" r:id="rId200"/>
    <hyperlink ref="AD156" r:id="rId201"/>
    <hyperlink ref="V157" r:id="rId202"/>
    <hyperlink ref="AD157" r:id="rId203"/>
    <hyperlink ref="AD158" r:id="rId204"/>
    <hyperlink ref="V159" r:id="rId205"/>
    <hyperlink ref="AD159" r:id="rId206"/>
    <hyperlink ref="V160" r:id="rId207"/>
    <hyperlink ref="AD160" r:id="rId208"/>
    <hyperlink ref="AD161" r:id="rId209"/>
    <hyperlink ref="V162" r:id="rId210"/>
    <hyperlink ref="AD162" r:id="rId211"/>
    <hyperlink ref="V163" r:id="rId212"/>
    <hyperlink ref="AD163" r:id="rId213"/>
    <hyperlink ref="AD164" r:id="rId214"/>
    <hyperlink ref="V165" r:id="rId215"/>
    <hyperlink ref="AD165" r:id="rId216"/>
    <hyperlink ref="V166" r:id="rId217"/>
    <hyperlink ref="AD166" r:id="rId218"/>
    <hyperlink ref="AD167" r:id="rId219"/>
    <hyperlink ref="V168" r:id="rId220"/>
    <hyperlink ref="AD168" r:id="rId221"/>
    <hyperlink ref="V169" r:id="rId222"/>
    <hyperlink ref="AD169" r:id="rId223"/>
    <hyperlink ref="AD170" r:id="rId224"/>
    <hyperlink ref="V171" r:id="rId225"/>
    <hyperlink ref="AD171" r:id="rId226"/>
    <hyperlink ref="V172" r:id="rId227"/>
    <hyperlink ref="AD172" r:id="rId228"/>
    <hyperlink ref="AD173" r:id="rId229"/>
    <hyperlink ref="V174" r:id="rId230"/>
    <hyperlink ref="AD174" r:id="rId231"/>
    <hyperlink ref="V175" r:id="rId232"/>
    <hyperlink ref="AD175" r:id="rId233"/>
    <hyperlink ref="AD176" r:id="rId234"/>
    <hyperlink ref="V177" r:id="rId235"/>
    <hyperlink ref="AD177" r:id="rId236"/>
    <hyperlink ref="V178" r:id="rId237"/>
    <hyperlink ref="AD178" r:id="rId238"/>
    <hyperlink ref="AD179" r:id="rId239"/>
    <hyperlink ref="V180" r:id="rId240"/>
    <hyperlink ref="AD180" r:id="rId241"/>
    <hyperlink ref="V181" r:id="rId242"/>
    <hyperlink ref="AD181" r:id="rId243"/>
    <hyperlink ref="AD182" r:id="rId244"/>
    <hyperlink ref="V183" r:id="rId245"/>
    <hyperlink ref="AD183" r:id="rId246"/>
    <hyperlink ref="V184" r:id="rId247"/>
    <hyperlink ref="AD184" r:id="rId248"/>
    <hyperlink ref="AD185" r:id="rId249"/>
    <hyperlink ref="V186" r:id="rId250"/>
    <hyperlink ref="AD186" r:id="rId251"/>
    <hyperlink ref="V187" r:id="rId252"/>
    <hyperlink ref="AD187" r:id="rId253"/>
    <hyperlink ref="AD188" r:id="rId254"/>
    <hyperlink ref="V189" r:id="rId255"/>
    <hyperlink ref="AD189" r:id="rId256"/>
    <hyperlink ref="V190" r:id="rId257"/>
    <hyperlink ref="AD190" r:id="rId258"/>
    <hyperlink ref="AD191" r:id="rId259"/>
    <hyperlink ref="V192" r:id="rId260"/>
    <hyperlink ref="AD192" r:id="rId261"/>
    <hyperlink ref="V193" r:id="rId262"/>
    <hyperlink ref="AD193" r:id="rId263"/>
    <hyperlink ref="AD194" r:id="rId264"/>
    <hyperlink ref="V195" r:id="rId265"/>
    <hyperlink ref="AD195" r:id="rId266"/>
    <hyperlink ref="V196" r:id="rId267"/>
    <hyperlink ref="AD196" r:id="rId268"/>
    <hyperlink ref="AD197" r:id="rId269"/>
    <hyperlink ref="V198" r:id="rId270"/>
    <hyperlink ref="AD198" r:id="rId271"/>
    <hyperlink ref="N199" r:id="rId272"/>
    <hyperlink ref="V199" r:id="rId273"/>
    <hyperlink ref="AD199" r:id="rId274"/>
    <hyperlink ref="V200" r:id="rId275"/>
    <hyperlink ref="AD200" r:id="rId276"/>
    <hyperlink ref="V201" r:id="rId277"/>
    <hyperlink ref="AD201" r:id="rId278"/>
    <hyperlink ref="N202" r:id="rId279"/>
    <hyperlink ref="V202" r:id="rId280"/>
    <hyperlink ref="AD202" r:id="rId281"/>
    <hyperlink ref="V203" r:id="rId282"/>
    <hyperlink ref="AD203" r:id="rId283"/>
    <hyperlink ref="V204" r:id="rId284"/>
    <hyperlink ref="AD204" r:id="rId285"/>
    <hyperlink ref="V205" r:id="rId286"/>
    <hyperlink ref="AD205" r:id="rId287"/>
    <hyperlink ref="AD206" r:id="rId288"/>
    <hyperlink ref="V207" r:id="rId289"/>
    <hyperlink ref="AD207" r:id="rId290"/>
    <hyperlink ref="N208" r:id="rId291"/>
    <hyperlink ref="V208" r:id="rId292"/>
    <hyperlink ref="AD208" r:id="rId293"/>
    <hyperlink ref="AD209" r:id="rId294"/>
    <hyperlink ref="V210" r:id="rId295"/>
    <hyperlink ref="AD210" r:id="rId296"/>
    <hyperlink ref="V211" r:id="rId297"/>
    <hyperlink ref="AD211" r:id="rId298"/>
    <hyperlink ref="AD212" r:id="rId299"/>
    <hyperlink ref="V213" r:id="rId300"/>
    <hyperlink ref="AD213" r:id="rId301"/>
    <hyperlink ref="V214" r:id="rId302"/>
    <hyperlink ref="AD214" r:id="rId303"/>
    <hyperlink ref="AD215" r:id="rId304"/>
    <hyperlink ref="V216" r:id="rId305"/>
    <hyperlink ref="AD216" r:id="rId306"/>
    <hyperlink ref="V217" r:id="rId307"/>
    <hyperlink ref="AD217" r:id="rId308"/>
    <hyperlink ref="AD218" r:id="rId309"/>
    <hyperlink ref="V219" r:id="rId310"/>
    <hyperlink ref="AD219" r:id="rId311"/>
    <hyperlink ref="V220" r:id="rId312"/>
    <hyperlink ref="AD220" r:id="rId313"/>
    <hyperlink ref="AD221" r:id="rId314"/>
    <hyperlink ref="V222" r:id="rId315"/>
    <hyperlink ref="AD222" r:id="rId316"/>
    <hyperlink ref="V223" r:id="rId317"/>
    <hyperlink ref="AD223" r:id="rId318"/>
    <hyperlink ref="AD224" r:id="rId319"/>
    <hyperlink ref="V225" r:id="rId320"/>
    <hyperlink ref="AD225" r:id="rId321"/>
    <hyperlink ref="V226" r:id="rId322"/>
    <hyperlink ref="AD226" r:id="rId323"/>
    <hyperlink ref="AD227" r:id="rId324"/>
    <hyperlink ref="V228" r:id="rId325"/>
    <hyperlink ref="AD228" r:id="rId326"/>
    <hyperlink ref="V229" r:id="rId327"/>
    <hyperlink ref="AD229" r:id="rId328"/>
    <hyperlink ref="AD230" r:id="rId329"/>
    <hyperlink ref="V231" r:id="rId330"/>
    <hyperlink ref="AD231" r:id="rId331"/>
    <hyperlink ref="V232" r:id="rId332"/>
    <hyperlink ref="AD232" r:id="rId333"/>
    <hyperlink ref="AD233" r:id="rId334"/>
    <hyperlink ref="V234" r:id="rId335"/>
    <hyperlink ref="AD234" r:id="rId336"/>
    <hyperlink ref="V235" r:id="rId337"/>
    <hyperlink ref="AD235" r:id="rId338"/>
    <hyperlink ref="AD236" r:id="rId339"/>
    <hyperlink ref="V237" r:id="rId340"/>
    <hyperlink ref="AD237" r:id="rId341"/>
    <hyperlink ref="V238" r:id="rId342"/>
    <hyperlink ref="AD238" r:id="rId343"/>
    <hyperlink ref="AD239" r:id="rId344"/>
    <hyperlink ref="V240" r:id="rId345"/>
    <hyperlink ref="AD240" r:id="rId346"/>
    <hyperlink ref="V241" r:id="rId347"/>
    <hyperlink ref="AD241" r:id="rId348"/>
    <hyperlink ref="AD242" r:id="rId349"/>
    <hyperlink ref="V243" r:id="rId350"/>
    <hyperlink ref="AD243" r:id="rId351"/>
    <hyperlink ref="V244" r:id="rId352"/>
    <hyperlink ref="AD244" r:id="rId353"/>
    <hyperlink ref="AD245" r:id="rId354"/>
    <hyperlink ref="V246" r:id="rId355"/>
    <hyperlink ref="AD246" r:id="rId356"/>
    <hyperlink ref="V247" r:id="rId357"/>
    <hyperlink ref="AD247" r:id="rId358"/>
    <hyperlink ref="AD248" r:id="rId359"/>
    <hyperlink ref="V249" r:id="rId360"/>
    <hyperlink ref="AD249" r:id="rId361"/>
    <hyperlink ref="V256" r:id="rId362"/>
    <hyperlink ref="V257" r:id="rId363"/>
    <hyperlink ref="V258" r:id="rId364"/>
    <hyperlink ref="V259" r:id="rId365"/>
    <hyperlink ref="V260" r:id="rId366"/>
    <hyperlink ref="V261" r:id="rId367"/>
    <hyperlink ref="V262" r:id="rId368"/>
    <hyperlink ref="V263" r:id="rId369"/>
    <hyperlink ref="V264" r:id="rId370"/>
    <hyperlink ref="V265" r:id="rId371"/>
    <hyperlink ref="V266" r:id="rId372"/>
    <hyperlink ref="V267" r:id="rId373"/>
    <hyperlink ref="V268" r:id="rId374"/>
    <hyperlink ref="V269" r:id="rId375"/>
    <hyperlink ref="V270" r:id="rId376"/>
    <hyperlink ref="V271" r:id="rId377"/>
    <hyperlink ref="V272" r:id="rId378"/>
    <hyperlink ref="V273" r:id="rId379"/>
    <hyperlink ref="V274" r:id="rId380"/>
    <hyperlink ref="V276" r:id="rId381"/>
    <hyperlink ref="V277" r:id="rId382"/>
    <hyperlink ref="V278" r:id="rId383"/>
    <hyperlink ref="V279" r:id="rId384"/>
    <hyperlink ref="V280" r:id="rId385"/>
    <hyperlink ref="V282" r:id="rId386"/>
    <hyperlink ref="V283" r:id="rId387"/>
    <hyperlink ref="V285" r:id="rId388"/>
    <hyperlink ref="V286" r:id="rId389"/>
    <hyperlink ref="V288" r:id="rId390"/>
    <hyperlink ref="V289" r:id="rId391"/>
    <hyperlink ref="V291" r:id="rId392"/>
    <hyperlink ref="V295" r:id="rId393"/>
    <hyperlink ref="V297" r:id="rId394"/>
    <hyperlink ref="V298" r:id="rId395"/>
    <hyperlink ref="V300" r:id="rId396"/>
    <hyperlink ref="V301" r:id="rId397"/>
    <hyperlink ref="V303" r:id="rId398"/>
    <hyperlink ref="V304" r:id="rId399"/>
    <hyperlink ref="V306" r:id="rId400"/>
    <hyperlink ref="V307" r:id="rId401"/>
    <hyperlink ref="V308" r:id="rId402"/>
    <hyperlink ref="V309" r:id="rId403"/>
    <hyperlink ref="V310" r:id="rId404"/>
    <hyperlink ref="V312" r:id="rId405"/>
    <hyperlink ref="V313" r:id="rId406"/>
    <hyperlink ref="V315" r:id="rId407"/>
    <hyperlink ref="V321" r:id="rId408"/>
    <hyperlink ref="V330" r:id="rId409"/>
    <hyperlink ref="V337" r:id="rId410"/>
    <hyperlink ref="V338" r:id="rId411"/>
    <hyperlink ref="V339" r:id="rId412"/>
    <hyperlink ref="V373" r:id="rId413"/>
    <hyperlink ref="V403" r:id="rId414"/>
    <hyperlink ref="V404" r:id="rId415"/>
    <hyperlink ref="V405" r:id="rId416"/>
    <hyperlink ref="V439" r:id="rId417"/>
    <hyperlink ref="V440" r:id="rId418"/>
    <hyperlink ref="V441" r:id="rId419"/>
    <hyperlink ref="V469" r:id="rId420"/>
    <hyperlink ref="V470" r:id="rId421"/>
    <hyperlink ref="V471" r:id="rId422"/>
    <hyperlink ref="N472" r:id="rId423"/>
    <hyperlink ref="N475" r:id="rId424"/>
    <hyperlink ref="V475" r:id="rId425"/>
    <hyperlink ref="V476" r:id="rId426"/>
    <hyperlink ref="V477" r:id="rId427"/>
    <hyperlink ref="N478" r:id="rId428"/>
    <hyperlink ref="V478" r:id="rId429"/>
    <hyperlink ref="V479" r:id="rId430"/>
    <hyperlink ref="V480" r:id="rId431"/>
    <hyperlink ref="N481" r:id="rId432"/>
    <hyperlink ref="V481" r:id="rId433"/>
    <hyperlink ref="V482" r:id="rId434"/>
    <hyperlink ref="V483" r:id="rId435"/>
    <hyperlink ref="N484" r:id="rId436"/>
    <hyperlink ref="V484" r:id="rId437"/>
    <hyperlink ref="V485" r:id="rId438"/>
    <hyperlink ref="V486" r:id="rId439"/>
    <hyperlink ref="N487" r:id="rId440"/>
    <hyperlink ref="V487" r:id="rId441"/>
    <hyperlink ref="V488" r:id="rId442"/>
    <hyperlink ref="V489" r:id="rId443"/>
    <hyperlink ref="N493" r:id="rId444"/>
    <hyperlink ref="V493" r:id="rId445"/>
    <hyperlink ref="V494" r:id="rId446"/>
    <hyperlink ref="V495" r:id="rId447"/>
    <hyperlink ref="N496" r:id="rId448"/>
    <hyperlink ref="V496" r:id="rId449"/>
    <hyperlink ref="V497" r:id="rId450"/>
    <hyperlink ref="V498" r:id="rId451"/>
    <hyperlink ref="N499" r:id="rId452"/>
    <hyperlink ref="V499" r:id="rId453"/>
    <hyperlink ref="V500" r:id="rId454"/>
    <hyperlink ref="V501" r:id="rId455"/>
    <hyperlink ref="N502" r:id="rId456"/>
    <hyperlink ref="V502" r:id="rId457"/>
    <hyperlink ref="V503" r:id="rId458"/>
    <hyperlink ref="V504" r:id="rId459"/>
    <hyperlink ref="N505" r:id="rId460"/>
    <hyperlink ref="V505" r:id="rId461"/>
    <hyperlink ref="V506" r:id="rId462"/>
    <hyperlink ref="V507" r:id="rId463"/>
    <hyperlink ref="N508" r:id="rId464"/>
    <hyperlink ref="V508" r:id="rId465"/>
    <hyperlink ref="V509" r:id="rId466"/>
    <hyperlink ref="V510" r:id="rId467"/>
    <hyperlink ref="N511" r:id="rId468"/>
    <hyperlink ref="V511" r:id="rId469"/>
    <hyperlink ref="V512" r:id="rId470"/>
    <hyperlink ref="V513" r:id="rId471"/>
    <hyperlink ref="N514" r:id="rId472"/>
    <hyperlink ref="V514" r:id="rId473"/>
    <hyperlink ref="V515" r:id="rId474"/>
    <hyperlink ref="V516" r:id="rId475"/>
    <hyperlink ref="N517" r:id="rId476"/>
    <hyperlink ref="V517" r:id="rId477"/>
    <hyperlink ref="V518" r:id="rId478"/>
    <hyperlink ref="V519" r:id="rId479"/>
    <hyperlink ref="N520" r:id="rId480"/>
    <hyperlink ref="V520" r:id="rId481"/>
    <hyperlink ref="V521" r:id="rId482"/>
    <hyperlink ref="V522" r:id="rId483"/>
    <hyperlink ref="N523" r:id="rId484"/>
    <hyperlink ref="V523" r:id="rId485"/>
    <hyperlink ref="V524" r:id="rId486"/>
    <hyperlink ref="V525" r:id="rId487"/>
    <hyperlink ref="N526" r:id="rId488"/>
    <hyperlink ref="V526" r:id="rId489"/>
    <hyperlink ref="V527" r:id="rId490"/>
    <hyperlink ref="V528" r:id="rId491"/>
    <hyperlink ref="N529" r:id="rId492"/>
    <hyperlink ref="N532" r:id="rId493"/>
    <hyperlink ref="V532" r:id="rId494"/>
    <hyperlink ref="V533" r:id="rId495"/>
    <hyperlink ref="V534" r:id="rId496"/>
    <hyperlink ref="N535" r:id="rId497"/>
    <hyperlink ref="V535" r:id="rId498"/>
    <hyperlink ref="V536" r:id="rId499"/>
    <hyperlink ref="V537" r:id="rId500"/>
    <hyperlink ref="N538" r:id="rId501"/>
    <hyperlink ref="V538" r:id="rId502"/>
    <hyperlink ref="V539" r:id="rId503"/>
    <hyperlink ref="V540" r:id="rId504"/>
    <hyperlink ref="N541" r:id="rId505"/>
    <hyperlink ref="V541" r:id="rId506"/>
    <hyperlink ref="V542" r:id="rId507"/>
    <hyperlink ref="V543" r:id="rId508"/>
    <hyperlink ref="N544" r:id="rId509"/>
    <hyperlink ref="V544" r:id="rId510"/>
    <hyperlink ref="V545" r:id="rId511"/>
    <hyperlink ref="V546" r:id="rId512"/>
    <hyperlink ref="N547" r:id="rId513"/>
    <hyperlink ref="V547" r:id="rId514"/>
    <hyperlink ref="V548" r:id="rId515"/>
    <hyperlink ref="V549" r:id="rId516"/>
    <hyperlink ref="N550" r:id="rId517"/>
    <hyperlink ref="V550" r:id="rId518"/>
    <hyperlink ref="V551" r:id="rId519"/>
    <hyperlink ref="V552" r:id="rId520"/>
    <hyperlink ref="N553" r:id="rId521"/>
    <hyperlink ref="V553" r:id="rId522"/>
    <hyperlink ref="V554" r:id="rId523"/>
    <hyperlink ref="V555" r:id="rId524"/>
    <hyperlink ref="N556" r:id="rId525"/>
    <hyperlink ref="V556" r:id="rId526"/>
    <hyperlink ref="V557" r:id="rId527"/>
    <hyperlink ref="V558" r:id="rId528"/>
    <hyperlink ref="N559" r:id="rId529"/>
    <hyperlink ref="V559" r:id="rId530"/>
    <hyperlink ref="V560" r:id="rId531"/>
    <hyperlink ref="V561" r:id="rId532"/>
    <hyperlink ref="N562" r:id="rId533"/>
    <hyperlink ref="V562" r:id="rId534"/>
    <hyperlink ref="V563" r:id="rId535"/>
    <hyperlink ref="V564" r:id="rId536"/>
    <hyperlink ref="N565" r:id="rId537"/>
    <hyperlink ref="V565" r:id="rId538"/>
    <hyperlink ref="V566" r:id="rId539"/>
    <hyperlink ref="V567" r:id="rId540"/>
    <hyperlink ref="N568" r:id="rId541"/>
    <hyperlink ref="V568" r:id="rId542"/>
    <hyperlink ref="V569" r:id="rId543"/>
    <hyperlink ref="V570" r:id="rId544"/>
    <hyperlink ref="N574" r:id="rId545"/>
    <hyperlink ref="N577" r:id="rId546"/>
    <hyperlink ref="N580" r:id="rId547"/>
    <hyperlink ref="V580" r:id="rId548"/>
    <hyperlink ref="V581" r:id="rId549"/>
    <hyperlink ref="V582" r:id="rId550"/>
    <hyperlink ref="N583" r:id="rId551"/>
    <hyperlink ref="V583" r:id="rId552"/>
    <hyperlink ref="V584" r:id="rId553"/>
    <hyperlink ref="V585" r:id="rId554"/>
    <hyperlink ref="N586" r:id="rId555"/>
    <hyperlink ref="V586" r:id="rId556"/>
    <hyperlink ref="V587" r:id="rId557"/>
    <hyperlink ref="V588" r:id="rId558"/>
    <hyperlink ref="N589" r:id="rId559"/>
    <hyperlink ref="V589" r:id="rId560"/>
    <hyperlink ref="V590" r:id="rId561"/>
    <hyperlink ref="V591" r:id="rId562"/>
    <hyperlink ref="N592" r:id="rId563"/>
    <hyperlink ref="V592" r:id="rId564"/>
    <hyperlink ref="V593" r:id="rId565"/>
    <hyperlink ref="V594" r:id="rId566"/>
    <hyperlink ref="N595" r:id="rId567"/>
    <hyperlink ref="V595" r:id="rId568"/>
    <hyperlink ref="V596" r:id="rId569"/>
    <hyperlink ref="V597" r:id="rId570"/>
    <hyperlink ref="N598" r:id="rId571"/>
    <hyperlink ref="V598" r:id="rId572"/>
    <hyperlink ref="V599" r:id="rId573"/>
    <hyperlink ref="V600" r:id="rId574"/>
    <hyperlink ref="N601" r:id="rId575"/>
    <hyperlink ref="V601" r:id="rId576"/>
    <hyperlink ref="V602" r:id="rId577"/>
    <hyperlink ref="V603" r:id="rId578"/>
    <hyperlink ref="N604" r:id="rId579"/>
    <hyperlink ref="V604" r:id="rId580"/>
    <hyperlink ref="V605" r:id="rId581"/>
    <hyperlink ref="V606" r:id="rId582"/>
    <hyperlink ref="N607" r:id="rId583"/>
    <hyperlink ref="V607" r:id="rId584"/>
    <hyperlink ref="V608" r:id="rId585"/>
    <hyperlink ref="V609" r:id="rId586"/>
    <hyperlink ref="N610" r:id="rId587"/>
    <hyperlink ref="V610" r:id="rId588"/>
    <hyperlink ref="V611" r:id="rId589"/>
    <hyperlink ref="V612" r:id="rId590"/>
    <hyperlink ref="N613" r:id="rId591"/>
    <hyperlink ref="V613" r:id="rId592"/>
    <hyperlink ref="V614" r:id="rId593"/>
    <hyperlink ref="V615" r:id="rId594"/>
    <hyperlink ref="N616" r:id="rId595"/>
    <hyperlink ref="V616" r:id="rId596"/>
    <hyperlink ref="V617" r:id="rId597"/>
    <hyperlink ref="V618" r:id="rId598"/>
    <hyperlink ref="N619" r:id="rId599"/>
    <hyperlink ref="V619" r:id="rId600"/>
    <hyperlink ref="V620" r:id="rId601"/>
    <hyperlink ref="V621" r:id="rId602"/>
    <hyperlink ref="V622" r:id="rId603"/>
    <hyperlink ref="V624" r:id="rId604"/>
    <hyperlink ref="V625" r:id="rId605"/>
    <hyperlink ref="V627" r:id="rId606"/>
    <hyperlink ref="N628" r:id="rId607"/>
    <hyperlink ref="V628" r:id="rId608"/>
    <hyperlink ref="V629" r:id="rId609"/>
    <hyperlink ref="V630" r:id="rId610"/>
    <hyperlink ref="V631" r:id="rId611"/>
    <hyperlink ref="V633" r:id="rId612"/>
    <hyperlink ref="V634" r:id="rId613"/>
    <hyperlink ref="V636" r:id="rId614"/>
    <hyperlink ref="V637" r:id="rId615"/>
    <hyperlink ref="V639" r:id="rId616"/>
    <hyperlink ref="V640" r:id="rId617"/>
    <hyperlink ref="V642" r:id="rId618"/>
    <hyperlink ref="N643" r:id="rId619"/>
    <hyperlink ref="V643" r:id="rId620"/>
    <hyperlink ref="V645" r:id="rId621"/>
    <hyperlink ref="V646" r:id="rId622"/>
    <hyperlink ref="V648" r:id="rId623"/>
    <hyperlink ref="N649" r:id="rId624"/>
    <hyperlink ref="V649" r:id="rId625"/>
    <hyperlink ref="V651" r:id="rId626"/>
    <hyperlink ref="N652" r:id="rId627"/>
    <hyperlink ref="V652" r:id="rId628"/>
    <hyperlink ref="V654" r:id="rId629"/>
    <hyperlink ref="N655" r:id="rId630"/>
    <hyperlink ref="V655" r:id="rId631"/>
    <hyperlink ref="V656" r:id="rId632"/>
    <hyperlink ref="V657" r:id="rId633"/>
    <hyperlink ref="V658" r:id="rId634"/>
    <hyperlink ref="V660" r:id="rId635"/>
    <hyperlink ref="N661" r:id="rId636"/>
    <hyperlink ref="V661" r:id="rId637"/>
    <hyperlink ref="V662" r:id="rId638"/>
    <hyperlink ref="V663" r:id="rId639"/>
    <hyperlink ref="N664" r:id="rId640"/>
    <hyperlink ref="V664" r:id="rId641"/>
    <hyperlink ref="V665" r:id="rId642"/>
    <hyperlink ref="V666" r:id="rId643"/>
    <hyperlink ref="N667" r:id="rId644"/>
    <hyperlink ref="V667" r:id="rId645"/>
    <hyperlink ref="V669" r:id="rId646"/>
    <hyperlink ref="V670" r:id="rId647"/>
    <hyperlink ref="V672" r:id="rId648"/>
    <hyperlink ref="V673" r:id="rId649"/>
    <hyperlink ref="V675" r:id="rId650"/>
    <hyperlink ref="N676" r:id="rId651"/>
    <hyperlink ref="V676" r:id="rId652"/>
    <hyperlink ref="V678" r:id="rId653"/>
    <hyperlink ref="N679" r:id="rId654"/>
    <hyperlink ref="V679" r:id="rId655"/>
    <hyperlink ref="V681" r:id="rId656"/>
    <hyperlink ref="N682" r:id="rId657"/>
    <hyperlink ref="V682" r:id="rId658"/>
    <hyperlink ref="V683" r:id="rId659"/>
    <hyperlink ref="V684" r:id="rId660"/>
    <hyperlink ref="N685" r:id="rId661"/>
    <hyperlink ref="V685" r:id="rId662"/>
    <hyperlink ref="V687" r:id="rId663"/>
    <hyperlink ref="V688" r:id="rId664"/>
    <hyperlink ref="V690" r:id="rId665"/>
    <hyperlink ref="N691" r:id="rId666"/>
    <hyperlink ref="V691" r:id="rId667"/>
    <hyperlink ref="V693" r:id="rId668"/>
    <hyperlink ref="N694" r:id="rId669"/>
    <hyperlink ref="V694" r:id="rId670"/>
    <hyperlink ref="V696" r:id="rId671"/>
    <hyperlink ref="N697" r:id="rId672"/>
    <hyperlink ref="V697" r:id="rId673"/>
    <hyperlink ref="V698" r:id="rId674"/>
    <hyperlink ref="V699" r:id="rId675"/>
    <hyperlink ref="N700" r:id="rId676"/>
    <hyperlink ref="V700" r:id="rId677"/>
    <hyperlink ref="V702" r:id="rId678"/>
    <hyperlink ref="N703" r:id="rId679"/>
    <hyperlink ref="V703" r:id="rId680"/>
    <hyperlink ref="V705" r:id="rId681"/>
    <hyperlink ref="N706" r:id="rId682"/>
    <hyperlink ref="V706" r:id="rId683"/>
    <hyperlink ref="V708" r:id="rId684"/>
    <hyperlink ref="N709" r:id="rId685"/>
    <hyperlink ref="V709" r:id="rId686"/>
    <hyperlink ref="V711" r:id="rId687"/>
    <hyperlink ref="N712" r:id="rId688"/>
    <hyperlink ref="V712" r:id="rId689"/>
    <hyperlink ref="V714" r:id="rId690"/>
    <hyperlink ref="N715" r:id="rId691"/>
    <hyperlink ref="V715" r:id="rId692"/>
    <hyperlink ref="V716" r:id="rId693"/>
    <hyperlink ref="V717" r:id="rId694"/>
    <hyperlink ref="N718" r:id="rId695"/>
    <hyperlink ref="V718" r:id="rId696"/>
    <hyperlink ref="AD718" r:id="rId697"/>
    <hyperlink ref="V719" r:id="rId698"/>
    <hyperlink ref="AD719" r:id="rId699"/>
    <hyperlink ref="V720" r:id="rId700"/>
    <hyperlink ref="AD720" r:id="rId701"/>
    <hyperlink ref="N721" r:id="rId702"/>
    <hyperlink ref="AD721" r:id="rId703"/>
    <hyperlink ref="AD722" r:id="rId704"/>
    <hyperlink ref="AD723" r:id="rId705"/>
    <hyperlink ref="N724" r:id="rId706"/>
    <hyperlink ref="AD724" r:id="rId707"/>
    <hyperlink ref="AD725" r:id="rId708"/>
    <hyperlink ref="AD726" r:id="rId709"/>
    <hyperlink ref="N727" r:id="rId710"/>
    <hyperlink ref="AD727" r:id="rId711"/>
    <hyperlink ref="AD728" r:id="rId712"/>
    <hyperlink ref="V729" r:id="rId713"/>
    <hyperlink ref="AD729" r:id="rId714"/>
    <hyperlink ref="N730" r:id="rId715"/>
    <hyperlink ref="V730" r:id="rId716"/>
    <hyperlink ref="V731" r:id="rId717"/>
    <hyperlink ref="V732" r:id="rId718"/>
    <hyperlink ref="N733" r:id="rId719"/>
    <hyperlink ref="N736" r:id="rId720"/>
    <hyperlink ref="N739" r:id="rId721"/>
    <hyperlink ref="V739" r:id="rId722"/>
    <hyperlink ref="V741" r:id="rId723"/>
    <hyperlink ref="N742" r:id="rId724"/>
    <hyperlink ref="N745" r:id="rId725"/>
    <hyperlink ref="N748" r:id="rId726"/>
    <hyperlink ref="V748" r:id="rId727"/>
    <hyperlink ref="V750" r:id="rId728"/>
    <hyperlink ref="N751" r:id="rId729"/>
    <hyperlink ref="V751" r:id="rId730"/>
    <hyperlink ref="V753" r:id="rId731"/>
    <hyperlink ref="N754" r:id="rId732"/>
    <hyperlink ref="V754" r:id="rId733"/>
    <hyperlink ref="V756" r:id="rId734"/>
    <hyperlink ref="N757" r:id="rId735"/>
    <hyperlink ref="V757" r:id="rId736"/>
    <hyperlink ref="V759" r:id="rId737"/>
    <hyperlink ref="N760" r:id="rId738"/>
    <hyperlink ref="V760" r:id="rId739"/>
    <hyperlink ref="V762" r:id="rId740"/>
    <hyperlink ref="N763" r:id="rId741"/>
    <hyperlink ref="V763" r:id="rId742"/>
    <hyperlink ref="V765" r:id="rId743"/>
    <hyperlink ref="N766" r:id="rId744"/>
    <hyperlink ref="V766" r:id="rId745"/>
    <hyperlink ref="V768" r:id="rId746"/>
    <hyperlink ref="N769" r:id="rId747"/>
    <hyperlink ref="V769" r:id="rId748"/>
    <hyperlink ref="V771" r:id="rId749"/>
    <hyperlink ref="N772" r:id="rId750"/>
    <hyperlink ref="V772" r:id="rId751"/>
    <hyperlink ref="V774" r:id="rId752"/>
    <hyperlink ref="N775" r:id="rId753"/>
    <hyperlink ref="V775" r:id="rId754"/>
    <hyperlink ref="V777" r:id="rId755"/>
    <hyperlink ref="N778" r:id="rId756"/>
    <hyperlink ref="V778" r:id="rId757"/>
    <hyperlink ref="V779" r:id="rId758"/>
    <hyperlink ref="V780" r:id="rId759"/>
    <hyperlink ref="N781" r:id="rId760"/>
    <hyperlink ref="V781" r:id="rId761"/>
    <hyperlink ref="V783" r:id="rId762"/>
    <hyperlink ref="N784" r:id="rId763"/>
    <hyperlink ref="V784" r:id="rId764"/>
    <hyperlink ref="V786" r:id="rId765"/>
    <hyperlink ref="N787" r:id="rId766"/>
    <hyperlink ref="V787" r:id="rId767"/>
    <hyperlink ref="V789" r:id="rId768"/>
    <hyperlink ref="N790" r:id="rId769"/>
    <hyperlink ref="V790" r:id="rId770"/>
    <hyperlink ref="V792" r:id="rId771"/>
    <hyperlink ref="N793" r:id="rId772"/>
    <hyperlink ref="V793" r:id="rId773"/>
    <hyperlink ref="V795" r:id="rId774"/>
    <hyperlink ref="N796" r:id="rId775"/>
    <hyperlink ref="V796" r:id="rId776"/>
    <hyperlink ref="V798" r:id="rId777"/>
    <hyperlink ref="N799" r:id="rId778"/>
    <hyperlink ref="V799" r:id="rId779"/>
    <hyperlink ref="V801" r:id="rId780"/>
    <hyperlink ref="N802" r:id="rId781"/>
    <hyperlink ref="V802" r:id="rId782"/>
    <hyperlink ref="V804" r:id="rId783"/>
    <hyperlink ref="N805" r:id="rId784"/>
    <hyperlink ref="V805" r:id="rId785"/>
    <hyperlink ref="V807" r:id="rId786"/>
    <hyperlink ref="N808" r:id="rId787"/>
    <hyperlink ref="V808" r:id="rId788"/>
    <hyperlink ref="V810" r:id="rId789"/>
    <hyperlink ref="N811" r:id="rId790"/>
    <hyperlink ref="N814" r:id="rId791"/>
    <hyperlink ref="V814" r:id="rId792"/>
    <hyperlink ref="V816" r:id="rId793"/>
    <hyperlink ref="N817" r:id="rId794"/>
    <hyperlink ref="V817" r:id="rId795"/>
    <hyperlink ref="V819" r:id="rId796"/>
    <hyperlink ref="N820" r:id="rId797"/>
    <hyperlink ref="V820" r:id="rId798"/>
    <hyperlink ref="V822" r:id="rId799"/>
    <hyperlink ref="N823" r:id="rId800"/>
    <hyperlink ref="V823" r:id="rId801"/>
    <hyperlink ref="V825" r:id="rId802"/>
    <hyperlink ref="N826" r:id="rId803"/>
    <hyperlink ref="V826" r:id="rId804"/>
    <hyperlink ref="V828" r:id="rId805"/>
    <hyperlink ref="N829" r:id="rId806"/>
    <hyperlink ref="V829" r:id="rId807"/>
    <hyperlink ref="V831" r:id="rId808"/>
    <hyperlink ref="N832" r:id="rId809"/>
    <hyperlink ref="V832" r:id="rId810"/>
    <hyperlink ref="V834" r:id="rId811"/>
    <hyperlink ref="N835" r:id="rId812"/>
    <hyperlink ref="V835" r:id="rId813"/>
    <hyperlink ref="V837" r:id="rId814"/>
    <hyperlink ref="N838" r:id="rId815"/>
    <hyperlink ref="V838" r:id="rId816"/>
    <hyperlink ref="V840" r:id="rId817"/>
    <hyperlink ref="N841" r:id="rId818"/>
    <hyperlink ref="V841" r:id="rId819"/>
    <hyperlink ref="V843" r:id="rId820"/>
    <hyperlink ref="N844" r:id="rId821"/>
    <hyperlink ref="N847" r:id="rId822"/>
    <hyperlink ref="N850" r:id="rId823"/>
    <hyperlink ref="V850" r:id="rId824"/>
    <hyperlink ref="V852" r:id="rId825"/>
    <hyperlink ref="N853" r:id="rId826"/>
    <hyperlink ref="V853" r:id="rId827"/>
    <hyperlink ref="AD853" r:id="rId828"/>
    <hyperlink ref="AD854" r:id="rId829"/>
    <hyperlink ref="V855" r:id="rId830"/>
    <hyperlink ref="AD855" r:id="rId831"/>
    <hyperlink ref="N856" r:id="rId832"/>
    <hyperlink ref="V856" r:id="rId833"/>
    <hyperlink ref="AD856" r:id="rId834"/>
    <hyperlink ref="AD857" r:id="rId835"/>
    <hyperlink ref="V858" r:id="rId836"/>
    <hyperlink ref="AD858" r:id="rId837"/>
    <hyperlink ref="N859" r:id="rId838"/>
    <hyperlink ref="V859" r:id="rId839"/>
    <hyperlink ref="AD859" r:id="rId840"/>
    <hyperlink ref="AD860" r:id="rId841"/>
    <hyperlink ref="V861" r:id="rId842"/>
    <hyperlink ref="AD861" r:id="rId843"/>
    <hyperlink ref="N862" r:id="rId844"/>
    <hyperlink ref="V862" r:id="rId845"/>
    <hyperlink ref="AD862" r:id="rId846"/>
    <hyperlink ref="AD863" r:id="rId847"/>
    <hyperlink ref="V864" r:id="rId848"/>
    <hyperlink ref="AD864" r:id="rId849"/>
    <hyperlink ref="N865" r:id="rId850"/>
    <hyperlink ref="V865" r:id="rId851"/>
    <hyperlink ref="AD865" r:id="rId852"/>
    <hyperlink ref="AD866" r:id="rId853"/>
    <hyperlink ref="V867" r:id="rId854"/>
    <hyperlink ref="AD867" r:id="rId855"/>
    <hyperlink ref="N868" r:id="rId856"/>
    <hyperlink ref="V868" r:id="rId857"/>
    <hyperlink ref="V870" r:id="rId858"/>
    <hyperlink ref="N871" r:id="rId859"/>
    <hyperlink ref="V871" r:id="rId860"/>
    <hyperlink ref="V873" r:id="rId861"/>
    <hyperlink ref="N874" r:id="rId862"/>
    <hyperlink ref="V874" r:id="rId863"/>
    <hyperlink ref="V876" r:id="rId864"/>
    <hyperlink ref="N877" r:id="rId865"/>
    <hyperlink ref="V877" r:id="rId866"/>
    <hyperlink ref="V879" r:id="rId867"/>
    <hyperlink ref="N880" r:id="rId868"/>
    <hyperlink ref="V880" r:id="rId869"/>
    <hyperlink ref="V882" r:id="rId870"/>
    <hyperlink ref="N883" r:id="rId871"/>
    <hyperlink ref="N886" r:id="rId872"/>
    <hyperlink ref="N889" r:id="rId873"/>
    <hyperlink ref="V889" r:id="rId874"/>
    <hyperlink ref="V891" r:id="rId875"/>
    <hyperlink ref="N892" r:id="rId876"/>
    <hyperlink ref="AD892" r:id="rId877"/>
    <hyperlink ref="AD893" r:id="rId878"/>
    <hyperlink ref="AD894" r:id="rId879"/>
    <hyperlink ref="N895" r:id="rId880"/>
    <hyperlink ref="AD895" r:id="rId881"/>
    <hyperlink ref="AD896" r:id="rId882"/>
    <hyperlink ref="AD897" r:id="rId883"/>
    <hyperlink ref="N898" r:id="rId884"/>
    <hyperlink ref="AD898" r:id="rId885"/>
    <hyperlink ref="AD899" r:id="rId886"/>
    <hyperlink ref="AD900" r:id="rId887"/>
    <hyperlink ref="N901" r:id="rId888"/>
    <hyperlink ref="AD901" r:id="rId889"/>
    <hyperlink ref="AD902" r:id="rId890"/>
    <hyperlink ref="AD903" r:id="rId891"/>
    <hyperlink ref="N904" r:id="rId892"/>
    <hyperlink ref="V904" r:id="rId893"/>
    <hyperlink ref="AD904" r:id="rId894"/>
    <hyperlink ref="AD905" r:id="rId895"/>
    <hyperlink ref="V906" r:id="rId896"/>
    <hyperlink ref="AD906" r:id="rId897"/>
    <hyperlink ref="N907" r:id="rId898"/>
    <hyperlink ref="V907" r:id="rId899"/>
    <hyperlink ref="AD907" r:id="rId900"/>
    <hyperlink ref="AD908" r:id="rId901"/>
    <hyperlink ref="V909" r:id="rId902"/>
    <hyperlink ref="AD909" r:id="rId903"/>
    <hyperlink ref="N910" r:id="rId904"/>
    <hyperlink ref="AD910" r:id="rId905"/>
    <hyperlink ref="AD911" r:id="rId906"/>
    <hyperlink ref="AD912" r:id="rId907"/>
    <hyperlink ref="N913" r:id="rId908"/>
    <hyperlink ref="AD913" r:id="rId909"/>
    <hyperlink ref="AD914" r:id="rId910"/>
    <hyperlink ref="AD915" r:id="rId911"/>
    <hyperlink ref="N916" r:id="rId912"/>
    <hyperlink ref="AD916" r:id="rId913"/>
    <hyperlink ref="AD917" r:id="rId914"/>
    <hyperlink ref="AD918" r:id="rId915"/>
    <hyperlink ref="N919" r:id="rId916"/>
    <hyperlink ref="N922" r:id="rId917"/>
    <hyperlink ref="N925" r:id="rId918"/>
    <hyperlink ref="N928" r:id="rId919"/>
    <hyperlink ref="N931" r:id="rId920"/>
    <hyperlink ref="N934" r:id="rId921"/>
    <hyperlink ref="N937" r:id="rId922"/>
    <hyperlink ref="N940" r:id="rId923"/>
    <hyperlink ref="N943" r:id="rId924"/>
    <hyperlink ref="N946" r:id="rId925"/>
    <hyperlink ref="N949" r:id="rId926"/>
    <hyperlink ref="V949" r:id="rId927"/>
    <hyperlink ref="V951" r:id="rId928"/>
    <hyperlink ref="N952" r:id="rId929"/>
    <hyperlink ref="N955" r:id="rId930"/>
    <hyperlink ref="N958" r:id="rId931"/>
    <hyperlink ref="N961" r:id="rId932"/>
    <hyperlink ref="N964" r:id="rId933"/>
    <hyperlink ref="N967" r:id="rId934"/>
    <hyperlink ref="N970" r:id="rId935"/>
    <hyperlink ref="V970" r:id="rId936"/>
    <hyperlink ref="V972" r:id="rId937"/>
    <hyperlink ref="N973" r:id="rId938"/>
    <hyperlink ref="N976" r:id="rId939"/>
    <hyperlink ref="V976" r:id="rId940"/>
    <hyperlink ref="V978" r:id="rId941"/>
    <hyperlink ref="N979" r:id="rId942"/>
    <hyperlink ref="V979" r:id="rId943"/>
    <hyperlink ref="V981" r:id="rId944"/>
    <hyperlink ref="N982" r:id="rId945"/>
    <hyperlink ref="N985" r:id="rId946"/>
    <hyperlink ref="V987" r:id="rId947"/>
    <hyperlink ref="N988" r:id="rId948"/>
    <hyperlink ref="N991" r:id="rId949"/>
    <hyperlink ref="N994" r:id="rId950"/>
    <hyperlink ref="AD994" r:id="rId951"/>
    <hyperlink ref="AD995" r:id="rId952"/>
    <hyperlink ref="AD996" r:id="rId953"/>
    <hyperlink ref="N997" r:id="rId954"/>
    <hyperlink ref="AD997" r:id="rId955"/>
    <hyperlink ref="AD998" r:id="rId956"/>
    <hyperlink ref="AD999" r:id="rId957"/>
    <hyperlink ref="N1000" r:id="rId958"/>
    <hyperlink ref="AD1000" r:id="rId959"/>
    <hyperlink ref="AD1001" r:id="rId960"/>
    <hyperlink ref="AD1002" r:id="rId961"/>
    <hyperlink ref="N1003" r:id="rId962"/>
    <hyperlink ref="AD1003" r:id="rId963"/>
    <hyperlink ref="AD1004" r:id="rId964"/>
    <hyperlink ref="AD1005" r:id="rId965"/>
    <hyperlink ref="N1006" r:id="rId966"/>
    <hyperlink ref="AD1006" r:id="rId967"/>
    <hyperlink ref="AD1007" r:id="rId968"/>
    <hyperlink ref="AD1008" r:id="rId969"/>
    <hyperlink ref="N1009" r:id="rId970"/>
    <hyperlink ref="N1012" r:id="rId971"/>
    <hyperlink ref="AD1012" r:id="rId972"/>
    <hyperlink ref="AD1013" r:id="rId973"/>
    <hyperlink ref="AD1014" r:id="rId974"/>
    <hyperlink ref="N1015" r:id="rId975"/>
    <hyperlink ref="V1015" r:id="rId976"/>
    <hyperlink ref="AD1015" r:id="rId977"/>
    <hyperlink ref="AD1016" r:id="rId978"/>
    <hyperlink ref="V1017" r:id="rId979"/>
    <hyperlink ref="AD1017" r:id="rId980"/>
    <hyperlink ref="N1018" r:id="rId981"/>
    <hyperlink ref="AD1018" r:id="rId982"/>
    <hyperlink ref="AD1019" r:id="rId983"/>
    <hyperlink ref="AD1020" r:id="rId984"/>
    <hyperlink ref="N1021" r:id="rId985"/>
    <hyperlink ref="AD1021" r:id="rId986"/>
    <hyperlink ref="AD1022" r:id="rId987"/>
    <hyperlink ref="AD1023" r:id="rId988"/>
    <hyperlink ref="N1024" r:id="rId989"/>
    <hyperlink ref="AD1024" r:id="rId990"/>
    <hyperlink ref="AD1025" r:id="rId991"/>
    <hyperlink ref="AD1026" r:id="rId992"/>
    <hyperlink ref="N1027" r:id="rId993"/>
    <hyperlink ref="AD1027" r:id="rId994"/>
    <hyperlink ref="AD1028" r:id="rId995"/>
    <hyperlink ref="AD1029" r:id="rId996"/>
    <hyperlink ref="N1030" r:id="rId997"/>
    <hyperlink ref="N1033" r:id="rId998"/>
    <hyperlink ref="AD1033" r:id="rId999"/>
    <hyperlink ref="AD1034" r:id="rId1000"/>
    <hyperlink ref="AD1035" r:id="rId1001"/>
    <hyperlink ref="N1036" r:id="rId1002"/>
    <hyperlink ref="AD1036" r:id="rId1003"/>
    <hyperlink ref="AD1037" r:id="rId1004"/>
    <hyperlink ref="AD1038" r:id="rId1005"/>
    <hyperlink ref="N1039" r:id="rId1006"/>
    <hyperlink ref="AD1039" r:id="rId1007"/>
    <hyperlink ref="AD1040" r:id="rId1008"/>
    <hyperlink ref="AD1041" r:id="rId1009"/>
    <hyperlink ref="N1042" r:id="rId1010"/>
    <hyperlink ref="AD1042" r:id="rId1011"/>
    <hyperlink ref="AD1043" r:id="rId1012"/>
    <hyperlink ref="AD1044" r:id="rId1013"/>
    <hyperlink ref="N1045" r:id="rId1014"/>
    <hyperlink ref="AD1045" r:id="rId1015"/>
    <hyperlink ref="AD1046" r:id="rId1016"/>
    <hyperlink ref="AD1047" r:id="rId1017"/>
    <hyperlink ref="N1048" r:id="rId1018"/>
    <hyperlink ref="N1051" r:id="rId1019"/>
    <hyperlink ref="AD1051" r:id="rId1020"/>
    <hyperlink ref="AD1052" r:id="rId1021"/>
    <hyperlink ref="AD1053" r:id="rId1022"/>
    <hyperlink ref="N1054" r:id="rId1023"/>
    <hyperlink ref="AD1054" r:id="rId1024"/>
    <hyperlink ref="AD1055" r:id="rId1025"/>
    <hyperlink ref="AD1056" r:id="rId1026"/>
    <hyperlink ref="N1057" r:id="rId1027"/>
    <hyperlink ref="AD1057" r:id="rId1028"/>
    <hyperlink ref="AD1058" r:id="rId1029"/>
    <hyperlink ref="AD1059" r:id="rId1030"/>
    <hyperlink ref="N1060" r:id="rId1031"/>
    <hyperlink ref="AD1060" r:id="rId1032"/>
    <hyperlink ref="AD1061" r:id="rId1033"/>
    <hyperlink ref="AD1062" r:id="rId1034"/>
    <hyperlink ref="N1063" r:id="rId1035"/>
    <hyperlink ref="V1063" r:id="rId1036"/>
    <hyperlink ref="AD1063" r:id="rId1037"/>
    <hyperlink ref="AD1064" r:id="rId1038"/>
    <hyperlink ref="V1065" r:id="rId1039"/>
    <hyperlink ref="AD1065" r:id="rId1040"/>
    <hyperlink ref="N1066" r:id="rId1041"/>
    <hyperlink ref="V1066" r:id="rId1042"/>
    <hyperlink ref="AD1066" r:id="rId1043"/>
    <hyperlink ref="AD1067" r:id="rId1044"/>
    <hyperlink ref="V1068" r:id="rId1045"/>
    <hyperlink ref="AD1068" r:id="rId1046"/>
    <hyperlink ref="N1069" r:id="rId1047"/>
    <hyperlink ref="V1069" r:id="rId1048"/>
    <hyperlink ref="AD1069" r:id="rId1049"/>
    <hyperlink ref="AD1070" r:id="rId1050"/>
    <hyperlink ref="V1071" r:id="rId1051"/>
    <hyperlink ref="AD1071" r:id="rId1052"/>
    <hyperlink ref="N1072" r:id="rId1053"/>
    <hyperlink ref="V1072" r:id="rId1054"/>
    <hyperlink ref="AD1072" r:id="rId1055"/>
    <hyperlink ref="AD1073" r:id="rId1056"/>
    <hyperlink ref="V1074" r:id="rId1057"/>
    <hyperlink ref="AD1074" r:id="rId1058"/>
    <hyperlink ref="N1075" r:id="rId1059"/>
    <hyperlink ref="V1075" r:id="rId1060"/>
    <hyperlink ref="AD1075" r:id="rId1061"/>
    <hyperlink ref="AD1076" r:id="rId1062"/>
    <hyperlink ref="V1077" r:id="rId1063"/>
    <hyperlink ref="AD1077" r:id="rId1064"/>
    <hyperlink ref="N1078" r:id="rId1065"/>
    <hyperlink ref="V1078" r:id="rId1066"/>
    <hyperlink ref="AD1078" r:id="rId1067"/>
    <hyperlink ref="AD1079" r:id="rId1068"/>
    <hyperlink ref="V1080" r:id="rId1069"/>
    <hyperlink ref="AD1080" r:id="rId1070"/>
    <hyperlink ref="N1081" r:id="rId1071"/>
    <hyperlink ref="V1081" r:id="rId1072"/>
    <hyperlink ref="AD1081" r:id="rId1073"/>
    <hyperlink ref="AD1082" r:id="rId1074"/>
    <hyperlink ref="V1083" r:id="rId1075"/>
    <hyperlink ref="AD1083" r:id="rId1076"/>
    <hyperlink ref="N1084" r:id="rId1077"/>
    <hyperlink ref="AD1084" r:id="rId1078"/>
    <hyperlink ref="AD1085" r:id="rId1079"/>
    <hyperlink ref="AD1086" r:id="rId1080"/>
    <hyperlink ref="N1087" r:id="rId1081"/>
    <hyperlink ref="V1087" r:id="rId1082"/>
    <hyperlink ref="AD1087" r:id="rId1083"/>
    <hyperlink ref="AD1088" r:id="rId1084"/>
    <hyperlink ref="V1089" r:id="rId1085"/>
    <hyperlink ref="AD1089" r:id="rId1086"/>
    <hyperlink ref="N1090" r:id="rId1087"/>
    <hyperlink ref="V1090" r:id="rId1088"/>
    <hyperlink ref="AD1090" r:id="rId1089"/>
    <hyperlink ref="AD1091" r:id="rId1090"/>
    <hyperlink ref="V1092" r:id="rId1091"/>
    <hyperlink ref="AD1092" r:id="rId1092"/>
    <hyperlink ref="N1093" r:id="rId1093"/>
    <hyperlink ref="V1093" r:id="rId1094"/>
    <hyperlink ref="AD1093" r:id="rId1095"/>
    <hyperlink ref="AD1094" r:id="rId1096"/>
    <hyperlink ref="V1095" r:id="rId1097"/>
    <hyperlink ref="AD1095" r:id="rId1098"/>
    <hyperlink ref="N1096" r:id="rId1099"/>
    <hyperlink ref="AD1096" r:id="rId1100"/>
    <hyperlink ref="AD1097" r:id="rId1101"/>
    <hyperlink ref="AD1098" r:id="rId1102"/>
    <hyperlink ref="N1099" r:id="rId1103"/>
    <hyperlink ref="AD1099" r:id="rId1104"/>
    <hyperlink ref="AD1100" r:id="rId1105"/>
    <hyperlink ref="AD1101" r:id="rId1106"/>
    <hyperlink ref="N1102" r:id="rId1107"/>
    <hyperlink ref="AD1102" r:id="rId1108"/>
    <hyperlink ref="AD1103" r:id="rId1109"/>
    <hyperlink ref="AD1104" r:id="rId1110"/>
    <hyperlink ref="N1105" r:id="rId1111"/>
    <hyperlink ref="AD1105" r:id="rId1112"/>
    <hyperlink ref="AD1106" r:id="rId1113"/>
    <hyperlink ref="AD1107" r:id="rId1114"/>
    <hyperlink ref="N1108" r:id="rId1115"/>
    <hyperlink ref="N1111" r:id="rId1116"/>
    <hyperlink ref="AD1111" r:id="rId1117"/>
    <hyperlink ref="AD1112" r:id="rId1118"/>
    <hyperlink ref="AD1113" r:id="rId1119"/>
    <hyperlink ref="N1114" r:id="rId1120"/>
    <hyperlink ref="AD1114" r:id="rId1121"/>
    <hyperlink ref="AD1115" r:id="rId1122"/>
    <hyperlink ref="AD1116" r:id="rId1123"/>
    <hyperlink ref="N1117" r:id="rId1124"/>
    <hyperlink ref="AD1117" r:id="rId1125"/>
    <hyperlink ref="AD1118" r:id="rId1126"/>
    <hyperlink ref="AD1119" r:id="rId1127"/>
    <hyperlink ref="N1120" r:id="rId1128"/>
    <hyperlink ref="AD1120" r:id="rId1129"/>
    <hyperlink ref="AD1121" r:id="rId1130"/>
    <hyperlink ref="AD1122" r:id="rId1131"/>
    <hyperlink ref="N1123" r:id="rId1132"/>
    <hyperlink ref="AD1123" r:id="rId1133"/>
    <hyperlink ref="AD1124" r:id="rId1134"/>
    <hyperlink ref="AD1125" r:id="rId1135"/>
    <hyperlink ref="N1126" r:id="rId1136"/>
  </hyperlinks>
  <pageMargins left="0.70833333333333315" right="0.70833333333333315" top="0.74791666666666701" bottom="0.74791666666666701" header="0.51181102362204689" footer="0.51181102362204689"/>
  <pageSetup paperSize="9" scale="65" orientation="landscape" horizontalDpi="300" verticalDpi="300"/>
  <legacyDrawing r:id="rId11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12"/>
  <sheetViews>
    <sheetView topLeftCell="C1" zoomScale="80" workbookViewId="0">
      <selection activeCell="M22" sqref="M22"/>
    </sheetView>
  </sheetViews>
  <sheetFormatPr defaultColWidth="9.140625" defaultRowHeight="12.75" x14ac:dyDescent="0.25"/>
  <cols>
    <col min="1" max="1" width="6.7109375" style="1" customWidth="1"/>
    <col min="2" max="2" width="20.7109375" style="1" customWidth="1"/>
    <col min="3" max="3" width="25.42578125" style="1" customWidth="1"/>
    <col min="4" max="21" width="10.7109375" style="1" customWidth="1"/>
    <col min="22" max="22" width="19.140625" style="1" customWidth="1"/>
    <col min="23" max="23" width="17.7109375" style="1" customWidth="1"/>
    <col min="24" max="24" width="19.7109375" style="1" customWidth="1"/>
    <col min="25" max="16384" width="9.140625" style="1"/>
  </cols>
  <sheetData>
    <row r="1" spans="1:24" ht="18" customHeight="1" x14ac:dyDescent="0.25">
      <c r="A1" s="56" t="s">
        <v>2625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</row>
    <row r="2" spans="1:24" ht="18" customHeight="1" x14ac:dyDescent="0.25">
      <c r="A2" s="56" t="s">
        <v>2626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18" customHeight="1" x14ac:dyDescent="0.25">
      <c r="A3" s="56" t="s">
        <v>2627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18" customHeight="1" x14ac:dyDescent="0.25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18" customHeigh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</row>
    <row r="6" spans="1:24" ht="30" customHeight="1" x14ac:dyDescent="0.25">
      <c r="A6" s="42" t="s">
        <v>4</v>
      </c>
      <c r="B6" s="42" t="s">
        <v>5</v>
      </c>
      <c r="C6" s="42" t="s">
        <v>6</v>
      </c>
      <c r="D6" s="42" t="s">
        <v>7</v>
      </c>
      <c r="E6" s="42" t="s">
        <v>2628</v>
      </c>
      <c r="F6" s="42"/>
      <c r="G6" s="42"/>
      <c r="H6" s="42"/>
      <c r="I6" s="42"/>
      <c r="J6" s="42"/>
      <c r="K6" s="43" t="s">
        <v>2629</v>
      </c>
      <c r="L6" s="43"/>
      <c r="M6" s="43"/>
      <c r="N6" s="43"/>
      <c r="O6" s="43"/>
      <c r="P6" s="43"/>
      <c r="Q6" s="42" t="s">
        <v>2630</v>
      </c>
      <c r="R6" s="42"/>
      <c r="S6" s="42"/>
      <c r="T6" s="42"/>
      <c r="U6" s="42"/>
      <c r="V6" s="42" t="s">
        <v>2631</v>
      </c>
      <c r="W6" s="42" t="s">
        <v>2632</v>
      </c>
      <c r="X6" s="42" t="s">
        <v>2633</v>
      </c>
    </row>
    <row r="7" spans="1:24" ht="18" customHeight="1" x14ac:dyDescent="0.25">
      <c r="A7" s="42"/>
      <c r="B7" s="42"/>
      <c r="C7" s="42"/>
      <c r="D7" s="42"/>
      <c r="E7" s="42" t="s">
        <v>16</v>
      </c>
      <c r="F7" s="42"/>
      <c r="G7" s="42"/>
      <c r="H7" s="42" t="s">
        <v>17</v>
      </c>
      <c r="I7" s="42"/>
      <c r="J7" s="42"/>
      <c r="K7" s="42" t="s">
        <v>16</v>
      </c>
      <c r="L7" s="42"/>
      <c r="M7" s="42"/>
      <c r="N7" s="42" t="s">
        <v>17</v>
      </c>
      <c r="O7" s="42"/>
      <c r="P7" s="42"/>
      <c r="Q7" s="42" t="s">
        <v>2634</v>
      </c>
      <c r="R7" s="42"/>
      <c r="S7" s="42" t="s">
        <v>17</v>
      </c>
      <c r="T7" s="42"/>
      <c r="U7" s="42"/>
      <c r="V7" s="42"/>
      <c r="W7" s="42"/>
      <c r="X7" s="42"/>
    </row>
    <row r="8" spans="1:24" ht="51" x14ac:dyDescent="0.25">
      <c r="A8" s="42"/>
      <c r="B8" s="42"/>
      <c r="C8" s="42"/>
      <c r="D8" s="42"/>
      <c r="E8" s="4" t="s">
        <v>2635</v>
      </c>
      <c r="F8" s="5" t="s">
        <v>19</v>
      </c>
      <c r="G8" s="5" t="s">
        <v>21</v>
      </c>
      <c r="H8" s="5" t="s">
        <v>22</v>
      </c>
      <c r="I8" s="5" t="s">
        <v>23</v>
      </c>
      <c r="J8" s="4" t="s">
        <v>24</v>
      </c>
      <c r="K8" s="4" t="s">
        <v>2636</v>
      </c>
      <c r="L8" s="5" t="s">
        <v>19</v>
      </c>
      <c r="M8" s="5" t="s">
        <v>21</v>
      </c>
      <c r="N8" s="5" t="s">
        <v>22</v>
      </c>
      <c r="O8" s="5" t="s">
        <v>23</v>
      </c>
      <c r="P8" s="4" t="s">
        <v>24</v>
      </c>
      <c r="Q8" s="5" t="s">
        <v>19</v>
      </c>
      <c r="R8" s="4" t="s">
        <v>2637</v>
      </c>
      <c r="S8" s="5" t="s">
        <v>22</v>
      </c>
      <c r="T8" s="5" t="s">
        <v>23</v>
      </c>
      <c r="U8" s="4" t="s">
        <v>24</v>
      </c>
      <c r="V8" s="42"/>
      <c r="W8" s="42"/>
      <c r="X8" s="42"/>
    </row>
    <row r="9" spans="1:24" x14ac:dyDescent="0.2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/>
      <c r="L9" s="4"/>
      <c r="M9" s="4"/>
      <c r="N9" s="4"/>
      <c r="O9" s="4"/>
      <c r="P9" s="4"/>
      <c r="Q9" s="4">
        <v>11</v>
      </c>
      <c r="R9" s="4">
        <v>12</v>
      </c>
      <c r="S9" s="4">
        <v>13</v>
      </c>
      <c r="T9" s="4">
        <v>14</v>
      </c>
      <c r="U9" s="4">
        <v>15</v>
      </c>
      <c r="V9" s="4">
        <v>16</v>
      </c>
      <c r="W9" s="4">
        <v>17</v>
      </c>
      <c r="X9" s="4">
        <v>18</v>
      </c>
    </row>
    <row r="10" spans="1:24" ht="127.5" customHeight="1" x14ac:dyDescent="0.25">
      <c r="A10" s="42">
        <v>1</v>
      </c>
      <c r="B10" s="42" t="s">
        <v>2638</v>
      </c>
      <c r="C10" s="42" t="str">
        <f>'Прил.1.1 (Сч,ТТ,ТН)'!C10</f>
        <v>ГПП 1</v>
      </c>
      <c r="D10" s="42">
        <f>'Прил.1.1 (Сч,ТТ,ТН)'!D10</f>
        <v>104264</v>
      </c>
      <c r="E10" s="20" t="s">
        <v>2639</v>
      </c>
      <c r="F10" s="20" t="s">
        <v>2640</v>
      </c>
      <c r="G10" s="20" t="s">
        <v>2641</v>
      </c>
      <c r="H10" s="20" t="s">
        <v>2642</v>
      </c>
      <c r="I10" s="20" t="s">
        <v>2643</v>
      </c>
      <c r="J10" s="4" t="s">
        <v>124</v>
      </c>
      <c r="K10" s="42" t="s">
        <v>2644</v>
      </c>
      <c r="L10" s="48" t="s">
        <v>2645</v>
      </c>
      <c r="M10" s="42">
        <v>2005</v>
      </c>
      <c r="N10" s="42" t="s">
        <v>2646</v>
      </c>
      <c r="O10" s="42" t="s">
        <v>2647</v>
      </c>
      <c r="P10" s="42" t="s">
        <v>2647</v>
      </c>
      <c r="Q10" s="48" t="s">
        <v>2648</v>
      </c>
      <c r="R10" s="42">
        <v>13</v>
      </c>
      <c r="S10" s="52">
        <v>45028</v>
      </c>
      <c r="T10" s="52">
        <v>46488</v>
      </c>
      <c r="U10" s="42" t="s">
        <v>124</v>
      </c>
      <c r="V10" s="4" t="s">
        <v>2649</v>
      </c>
      <c r="W10" s="4" t="s">
        <v>2650</v>
      </c>
      <c r="X10" s="4"/>
    </row>
    <row r="11" spans="1:24" ht="18" customHeight="1" x14ac:dyDescent="0.25">
      <c r="A11" s="42"/>
      <c r="B11" s="42"/>
      <c r="C11" s="42"/>
      <c r="D11" s="42"/>
      <c r="E11" s="20" t="s">
        <v>2639</v>
      </c>
      <c r="F11" s="20" t="s">
        <v>2651</v>
      </c>
      <c r="G11" s="20" t="s">
        <v>2641</v>
      </c>
      <c r="H11" s="20" t="s">
        <v>2652</v>
      </c>
      <c r="I11" s="20" t="s">
        <v>2653</v>
      </c>
      <c r="J11" s="4" t="s">
        <v>124</v>
      </c>
      <c r="K11" s="42"/>
      <c r="L11" s="48"/>
      <c r="M11" s="42"/>
      <c r="N11" s="42"/>
      <c r="O11" s="42"/>
      <c r="P11" s="42"/>
      <c r="Q11" s="48"/>
      <c r="R11" s="42"/>
      <c r="S11" s="52"/>
      <c r="T11" s="52"/>
      <c r="U11" s="42"/>
      <c r="V11" s="4"/>
      <c r="W11" s="4"/>
      <c r="X11" s="4"/>
    </row>
    <row r="12" spans="1:24" ht="18" customHeight="1" x14ac:dyDescent="0.25">
      <c r="A12" s="42"/>
      <c r="B12" s="42"/>
      <c r="C12" s="4" t="s">
        <v>2654</v>
      </c>
      <c r="D12" s="4">
        <v>366616</v>
      </c>
      <c r="E12" s="20" t="s">
        <v>2639</v>
      </c>
      <c r="F12" s="20" t="s">
        <v>2655</v>
      </c>
      <c r="G12" s="20" t="s">
        <v>2656</v>
      </c>
      <c r="H12" s="20" t="s">
        <v>2657</v>
      </c>
      <c r="I12" s="20" t="s">
        <v>2658</v>
      </c>
      <c r="J12" s="4" t="s">
        <v>124</v>
      </c>
      <c r="K12" s="4" t="s">
        <v>2659</v>
      </c>
      <c r="L12" s="4">
        <v>1096</v>
      </c>
      <c r="M12" s="4">
        <v>2010</v>
      </c>
      <c r="N12" s="4" t="s">
        <v>2646</v>
      </c>
      <c r="O12" s="4" t="s">
        <v>2647</v>
      </c>
      <c r="P12" s="4" t="s">
        <v>2647</v>
      </c>
      <c r="Q12" s="48"/>
      <c r="R12" s="42"/>
      <c r="S12" s="52"/>
      <c r="T12" s="52"/>
      <c r="U12" s="42"/>
      <c r="V12" s="4"/>
      <c r="W12" s="4"/>
      <c r="X12" s="4"/>
    </row>
  </sheetData>
  <mergeCells count="36">
    <mergeCell ref="Q10:Q12"/>
    <mergeCell ref="R10:R12"/>
    <mergeCell ref="S10:S12"/>
    <mergeCell ref="T10:T12"/>
    <mergeCell ref="U10:U12"/>
    <mergeCell ref="L10:L11"/>
    <mergeCell ref="M10:M11"/>
    <mergeCell ref="N10:N11"/>
    <mergeCell ref="O10:O11"/>
    <mergeCell ref="P10:P11"/>
    <mergeCell ref="A10:A12"/>
    <mergeCell ref="B10:B12"/>
    <mergeCell ref="C10:C11"/>
    <mergeCell ref="D10:D11"/>
    <mergeCell ref="K10:K11"/>
    <mergeCell ref="K6:P6"/>
    <mergeCell ref="Q6:U6"/>
    <mergeCell ref="V6:V8"/>
    <mergeCell ref="W6:W8"/>
    <mergeCell ref="X6:X8"/>
    <mergeCell ref="K7:M7"/>
    <mergeCell ref="N7:P7"/>
    <mergeCell ref="Q7:R7"/>
    <mergeCell ref="S7:U7"/>
    <mergeCell ref="A6:A8"/>
    <mergeCell ref="B6:B8"/>
    <mergeCell ref="C6:C8"/>
    <mergeCell ref="D6:D8"/>
    <mergeCell ref="E6:J6"/>
    <mergeCell ref="E7:G7"/>
    <mergeCell ref="H7:J7"/>
    <mergeCell ref="A1:X1"/>
    <mergeCell ref="A2:X2"/>
    <mergeCell ref="A3:X3"/>
    <mergeCell ref="A4:X4"/>
    <mergeCell ref="A5:X5"/>
  </mergeCells>
  <pageMargins left="0.74791666666666701" right="0.74791666666666701" top="0.98402777777777795" bottom="0.98402777777777795" header="0.51181102362204689" footer="0.51181102362204689"/>
  <pageSetup paperSize="9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6"/>
  <sheetViews>
    <sheetView workbookViewId="0">
      <pane ySplit="9" topLeftCell="A10" activePane="bottomLeft" state="frozen"/>
      <selection pane="bottomLeft"/>
    </sheetView>
  </sheetViews>
  <sheetFormatPr defaultColWidth="9.140625" defaultRowHeight="12.75" x14ac:dyDescent="0.25"/>
  <cols>
    <col min="1" max="1" width="11.7109375" style="1" customWidth="1"/>
    <col min="2" max="2" width="14.7109375" style="1" customWidth="1"/>
    <col min="3" max="3" width="17.7109375" style="1" customWidth="1"/>
    <col min="4" max="4" width="11.5703125" style="1" customWidth="1"/>
    <col min="5" max="5" width="20.7109375" style="1" customWidth="1"/>
    <col min="6" max="6" width="9.28515625" style="1" customWidth="1"/>
    <col min="7" max="7" width="12.7109375" style="1" customWidth="1"/>
    <col min="8" max="8" width="35.42578125" style="1" customWidth="1"/>
    <col min="9" max="9" width="7.85546875" style="1" customWidth="1"/>
    <col min="10" max="10" width="16.7109375" style="1" customWidth="1"/>
    <col min="11" max="11" width="10.7109375" style="1" customWidth="1"/>
    <col min="12" max="13" width="11.85546875" style="1" customWidth="1"/>
    <col min="14" max="15" width="10.7109375" style="1" customWidth="1"/>
    <col min="16" max="16" width="18.7109375" style="1" customWidth="1"/>
    <col min="17" max="17" width="20.7109375" style="1" customWidth="1"/>
    <col min="18" max="16384" width="9.140625" style="1"/>
  </cols>
  <sheetData>
    <row r="1" spans="1:17" ht="17.45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17.45" customHeight="1" x14ac:dyDescent="0.25">
      <c r="A2" s="56" t="s">
        <v>2660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7" ht="17.45" customHeight="1" x14ac:dyDescent="0.25">
      <c r="A3" s="56" t="s">
        <v>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</row>
    <row r="4" spans="1:17" ht="17.45" customHeight="1" x14ac:dyDescent="0.25">
      <c r="A4" s="56" t="s">
        <v>2661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</row>
    <row r="5" spans="1:17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 ht="14.25" customHeight="1" x14ac:dyDescent="0.25">
      <c r="A6" s="58" t="s">
        <v>4</v>
      </c>
      <c r="B6" s="59" t="s">
        <v>5</v>
      </c>
      <c r="C6" s="59" t="s">
        <v>6</v>
      </c>
      <c r="D6" s="59" t="s">
        <v>7</v>
      </c>
      <c r="E6" s="59" t="s">
        <v>2662</v>
      </c>
      <c r="F6" s="59" t="s">
        <v>10</v>
      </c>
      <c r="G6" s="59" t="s">
        <v>2663</v>
      </c>
      <c r="H6" s="60" t="s">
        <v>2664</v>
      </c>
      <c r="I6" s="60"/>
      <c r="J6" s="60"/>
      <c r="K6" s="60"/>
      <c r="L6" s="60"/>
      <c r="M6" s="60"/>
      <c r="N6" s="60"/>
      <c r="O6" s="59" t="s">
        <v>2633</v>
      </c>
      <c r="P6" s="59"/>
      <c r="Q6" s="61" t="s">
        <v>15</v>
      </c>
    </row>
    <row r="7" spans="1:17" ht="14.25" customHeight="1" x14ac:dyDescent="0.25">
      <c r="A7" s="58"/>
      <c r="B7" s="59"/>
      <c r="C7" s="59"/>
      <c r="D7" s="59"/>
      <c r="E7" s="59"/>
      <c r="F7" s="59"/>
      <c r="G7" s="59"/>
      <c r="H7" s="62" t="s">
        <v>16</v>
      </c>
      <c r="I7" s="62"/>
      <c r="J7" s="62"/>
      <c r="K7" s="62"/>
      <c r="L7" s="42" t="s">
        <v>17</v>
      </c>
      <c r="M7" s="42"/>
      <c r="N7" s="42"/>
      <c r="O7" s="42" t="s">
        <v>2665</v>
      </c>
      <c r="P7" s="42" t="s">
        <v>2666</v>
      </c>
      <c r="Q7" s="61"/>
    </row>
    <row r="8" spans="1:17" ht="51" x14ac:dyDescent="0.25">
      <c r="A8" s="58"/>
      <c r="B8" s="59"/>
      <c r="C8" s="59"/>
      <c r="D8" s="59"/>
      <c r="E8" s="59"/>
      <c r="F8" s="59"/>
      <c r="G8" s="59"/>
      <c r="H8" s="4" t="s">
        <v>2667</v>
      </c>
      <c r="I8" s="4" t="s">
        <v>2668</v>
      </c>
      <c r="J8" s="5" t="s">
        <v>19</v>
      </c>
      <c r="K8" s="5" t="s">
        <v>21</v>
      </c>
      <c r="L8" s="5" t="s">
        <v>22</v>
      </c>
      <c r="M8" s="5" t="s">
        <v>23</v>
      </c>
      <c r="N8" s="4" t="s">
        <v>24</v>
      </c>
      <c r="O8" s="42"/>
      <c r="P8" s="42"/>
      <c r="Q8" s="61"/>
    </row>
    <row r="9" spans="1:17" x14ac:dyDescent="0.25">
      <c r="A9" s="32">
        <v>1</v>
      </c>
      <c r="B9" s="10">
        <f t="shared" ref="B9:Q9" si="0">A9+1</f>
        <v>2</v>
      </c>
      <c r="C9" s="10">
        <f t="shared" si="0"/>
        <v>3</v>
      </c>
      <c r="D9" s="10">
        <f t="shared" si="0"/>
        <v>4</v>
      </c>
      <c r="E9" s="10">
        <f t="shared" si="0"/>
        <v>5</v>
      </c>
      <c r="F9" s="10">
        <f t="shared" si="0"/>
        <v>6</v>
      </c>
      <c r="G9" s="10">
        <f t="shared" si="0"/>
        <v>7</v>
      </c>
      <c r="H9" s="10">
        <f t="shared" si="0"/>
        <v>8</v>
      </c>
      <c r="I9" s="10">
        <f t="shared" si="0"/>
        <v>9</v>
      </c>
      <c r="J9" s="10">
        <f t="shared" si="0"/>
        <v>10</v>
      </c>
      <c r="K9" s="10">
        <f t="shared" si="0"/>
        <v>11</v>
      </c>
      <c r="L9" s="10">
        <f t="shared" si="0"/>
        <v>12</v>
      </c>
      <c r="M9" s="10">
        <f t="shared" si="0"/>
        <v>13</v>
      </c>
      <c r="N9" s="10">
        <f t="shared" si="0"/>
        <v>14</v>
      </c>
      <c r="O9" s="10">
        <f t="shared" si="0"/>
        <v>15</v>
      </c>
      <c r="P9" s="10">
        <f t="shared" si="0"/>
        <v>16</v>
      </c>
      <c r="Q9" s="33">
        <f t="shared" si="0"/>
        <v>17</v>
      </c>
    </row>
    <row r="10" spans="1:17" ht="25.5" customHeight="1" x14ac:dyDescent="0.25">
      <c r="A10" s="4">
        <v>1</v>
      </c>
      <c r="B10" s="42"/>
      <c r="C10" s="42" t="s">
        <v>2669</v>
      </c>
      <c r="D10" s="42"/>
      <c r="E10" s="42" t="s">
        <v>2670</v>
      </c>
      <c r="F10" s="42" t="s">
        <v>68</v>
      </c>
      <c r="G10" s="42"/>
      <c r="H10" s="4" t="s">
        <v>2671</v>
      </c>
      <c r="I10" s="4">
        <v>65</v>
      </c>
      <c r="J10" s="4">
        <v>201758</v>
      </c>
      <c r="K10" s="4">
        <v>2019</v>
      </c>
      <c r="L10" s="16">
        <v>45124</v>
      </c>
      <c r="M10" s="16">
        <v>46585</v>
      </c>
      <c r="N10" s="4" t="s">
        <v>2647</v>
      </c>
      <c r="O10" s="4"/>
      <c r="P10" s="4"/>
      <c r="Q10" s="4"/>
    </row>
    <row r="11" spans="1:17" x14ac:dyDescent="0.25">
      <c r="A11" s="4">
        <v>2</v>
      </c>
      <c r="B11" s="42"/>
      <c r="C11" s="42"/>
      <c r="D11" s="42"/>
      <c r="E11" s="42"/>
      <c r="F11" s="42"/>
      <c r="G11" s="42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2.75" customHeight="1" x14ac:dyDescent="0.25">
      <c r="A12" s="4">
        <v>3</v>
      </c>
      <c r="B12" s="42"/>
      <c r="C12" s="42"/>
      <c r="D12" s="42"/>
      <c r="E12" s="42" t="s">
        <v>2672</v>
      </c>
      <c r="F12" s="42" t="s">
        <v>68</v>
      </c>
      <c r="G12" s="42"/>
      <c r="H12" s="4" t="s">
        <v>2671</v>
      </c>
      <c r="I12" s="4">
        <v>80</v>
      </c>
      <c r="J12" s="4">
        <v>201775</v>
      </c>
      <c r="K12" s="4">
        <v>2019</v>
      </c>
      <c r="L12" s="16">
        <v>44798</v>
      </c>
      <c r="M12" s="16">
        <v>46259</v>
      </c>
      <c r="N12" s="4"/>
      <c r="O12" s="4"/>
      <c r="P12" s="4"/>
      <c r="Q12" s="4"/>
    </row>
    <row r="13" spans="1:17" x14ac:dyDescent="0.25">
      <c r="A13" s="4">
        <v>4</v>
      </c>
      <c r="B13" s="42"/>
      <c r="C13" s="42"/>
      <c r="D13" s="42"/>
      <c r="E13" s="42"/>
      <c r="F13" s="42"/>
      <c r="G13" s="42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2.75" customHeight="1" x14ac:dyDescent="0.25">
      <c r="A14" s="4">
        <v>5</v>
      </c>
      <c r="B14" s="42"/>
      <c r="C14" s="42"/>
      <c r="D14" s="42"/>
      <c r="E14" s="42" t="s">
        <v>2673</v>
      </c>
      <c r="F14" s="42" t="s">
        <v>68</v>
      </c>
      <c r="G14" s="42" t="s">
        <v>2674</v>
      </c>
      <c r="H14" s="4" t="s">
        <v>2675</v>
      </c>
      <c r="I14" s="4"/>
      <c r="J14" s="4">
        <v>1801185</v>
      </c>
      <c r="K14" s="4">
        <v>2018</v>
      </c>
      <c r="L14" s="34">
        <v>44904</v>
      </c>
      <c r="M14" s="34">
        <v>46365</v>
      </c>
      <c r="N14" s="4" t="s">
        <v>2674</v>
      </c>
      <c r="O14" s="4"/>
      <c r="P14" s="4"/>
      <c r="Q14" s="4"/>
    </row>
    <row r="15" spans="1:17" x14ac:dyDescent="0.25">
      <c r="A15" s="4">
        <v>6</v>
      </c>
      <c r="B15" s="42"/>
      <c r="C15" s="42"/>
      <c r="D15" s="42"/>
      <c r="E15" s="42"/>
      <c r="F15" s="42"/>
      <c r="G15" s="42"/>
      <c r="H15" s="4" t="s">
        <v>2676</v>
      </c>
      <c r="I15" s="4">
        <v>300</v>
      </c>
      <c r="J15" s="4">
        <v>2713</v>
      </c>
      <c r="K15" s="4"/>
      <c r="L15" s="34">
        <v>44623</v>
      </c>
      <c r="M15" s="34">
        <v>46449</v>
      </c>
      <c r="N15" s="4" t="s">
        <v>2674</v>
      </c>
      <c r="O15" s="4"/>
      <c r="P15" s="4"/>
      <c r="Q15" s="4"/>
    </row>
    <row r="16" spans="1:17" ht="25.5" customHeight="1" x14ac:dyDescent="0.25">
      <c r="A16" s="4">
        <v>7</v>
      </c>
      <c r="B16" s="42"/>
      <c r="C16" s="42"/>
      <c r="D16" s="42"/>
      <c r="E16" s="42" t="s">
        <v>2677</v>
      </c>
      <c r="F16" s="42" t="s">
        <v>68</v>
      </c>
      <c r="G16" s="42" t="s">
        <v>2674</v>
      </c>
      <c r="H16" s="4" t="s">
        <v>2675</v>
      </c>
      <c r="I16" s="4"/>
      <c r="J16" s="4">
        <v>1800976</v>
      </c>
      <c r="K16" s="4">
        <v>2018</v>
      </c>
      <c r="L16" s="34">
        <v>44904</v>
      </c>
      <c r="M16" s="34">
        <v>46365</v>
      </c>
      <c r="N16" s="4" t="s">
        <v>2674</v>
      </c>
      <c r="O16" s="4"/>
      <c r="P16" s="4"/>
      <c r="Q16" s="4"/>
    </row>
    <row r="17" spans="1:17" x14ac:dyDescent="0.25">
      <c r="A17" s="4">
        <v>8</v>
      </c>
      <c r="B17" s="42"/>
      <c r="C17" s="42"/>
      <c r="D17" s="42"/>
      <c r="E17" s="42"/>
      <c r="F17" s="42"/>
      <c r="G17" s="42"/>
      <c r="H17" s="4" t="s">
        <v>2676</v>
      </c>
      <c r="I17" s="4">
        <v>350</v>
      </c>
      <c r="J17" s="4" t="s">
        <v>2678</v>
      </c>
      <c r="K17" s="4"/>
      <c r="L17" s="34">
        <v>45069</v>
      </c>
      <c r="M17" s="34">
        <v>46896</v>
      </c>
      <c r="N17" s="4" t="s">
        <v>2674</v>
      </c>
      <c r="O17" s="4"/>
      <c r="P17" s="4"/>
      <c r="Q17" s="4"/>
    </row>
    <row r="18" spans="1:17" ht="12.75" customHeight="1" x14ac:dyDescent="0.25">
      <c r="A18" s="4">
        <v>9</v>
      </c>
      <c r="B18" s="42"/>
      <c r="C18" s="42"/>
      <c r="D18" s="42"/>
      <c r="E18" s="42" t="s">
        <v>2679</v>
      </c>
      <c r="F18" s="42" t="s">
        <v>68</v>
      </c>
      <c r="G18" s="42" t="s">
        <v>2674</v>
      </c>
      <c r="H18" s="4" t="s">
        <v>2680</v>
      </c>
      <c r="I18" s="4"/>
      <c r="J18" s="4">
        <v>1801481</v>
      </c>
      <c r="K18" s="4">
        <v>2018</v>
      </c>
      <c r="L18" s="34">
        <v>44903</v>
      </c>
      <c r="M18" s="34">
        <v>46364</v>
      </c>
      <c r="N18" s="4" t="s">
        <v>2674</v>
      </c>
      <c r="O18" s="4"/>
      <c r="P18" s="4"/>
      <c r="Q18" s="4"/>
    </row>
    <row r="19" spans="1:17" x14ac:dyDescent="0.25">
      <c r="A19" s="4">
        <v>10</v>
      </c>
      <c r="B19" s="42"/>
      <c r="C19" s="42"/>
      <c r="D19" s="42"/>
      <c r="E19" s="42"/>
      <c r="F19" s="42"/>
      <c r="G19" s="42"/>
      <c r="H19" s="4" t="s">
        <v>2676</v>
      </c>
      <c r="I19" s="4">
        <v>300</v>
      </c>
      <c r="J19" s="4" t="s">
        <v>2681</v>
      </c>
      <c r="K19" s="4"/>
      <c r="L19" s="34" t="s">
        <v>2682</v>
      </c>
      <c r="M19" s="34" t="s">
        <v>2683</v>
      </c>
      <c r="N19" s="4" t="s">
        <v>2674</v>
      </c>
      <c r="O19" s="4"/>
      <c r="P19" s="4"/>
      <c r="Q19" s="4"/>
    </row>
    <row r="20" spans="1:17" ht="12.75" customHeight="1" x14ac:dyDescent="0.25">
      <c r="A20" s="4">
        <v>11</v>
      </c>
      <c r="B20" s="42"/>
      <c r="C20" s="42"/>
      <c r="D20" s="42"/>
      <c r="E20" s="42" t="s">
        <v>2684</v>
      </c>
      <c r="F20" s="42" t="s">
        <v>68</v>
      </c>
      <c r="G20" s="42" t="s">
        <v>2674</v>
      </c>
      <c r="H20" s="4" t="s">
        <v>2685</v>
      </c>
      <c r="I20" s="4"/>
      <c r="J20" s="4">
        <v>1801481</v>
      </c>
      <c r="K20" s="4">
        <v>2018</v>
      </c>
      <c r="L20" s="34">
        <v>44903</v>
      </c>
      <c r="M20" s="34">
        <v>46364</v>
      </c>
      <c r="N20" s="4" t="s">
        <v>2674</v>
      </c>
      <c r="O20" s="4"/>
      <c r="P20" s="4"/>
      <c r="Q20" s="4"/>
    </row>
    <row r="21" spans="1:17" x14ac:dyDescent="0.25">
      <c r="A21" s="4">
        <v>12</v>
      </c>
      <c r="B21" s="42"/>
      <c r="C21" s="42"/>
      <c r="D21" s="42"/>
      <c r="E21" s="42"/>
      <c r="F21" s="42"/>
      <c r="G21" s="42"/>
      <c r="H21" s="4" t="s">
        <v>2676</v>
      </c>
      <c r="I21" s="4">
        <v>300</v>
      </c>
      <c r="J21" s="4" t="s">
        <v>2686</v>
      </c>
      <c r="K21" s="4"/>
      <c r="L21" s="34" t="s">
        <v>2687</v>
      </c>
      <c r="M21" s="34" t="s">
        <v>2688</v>
      </c>
      <c r="N21" s="4" t="s">
        <v>2674</v>
      </c>
      <c r="O21" s="4"/>
      <c r="P21" s="4"/>
      <c r="Q21" s="4"/>
    </row>
    <row r="22" spans="1:17" ht="12.75" customHeight="1" x14ac:dyDescent="0.25">
      <c r="A22" s="4">
        <v>13</v>
      </c>
      <c r="B22" s="42"/>
      <c r="C22" s="42"/>
      <c r="D22" s="42"/>
      <c r="E22" s="42" t="s">
        <v>2689</v>
      </c>
      <c r="F22" s="42" t="s">
        <v>68</v>
      </c>
      <c r="G22" s="42" t="s">
        <v>2674</v>
      </c>
      <c r="H22" s="4" t="s">
        <v>2690</v>
      </c>
      <c r="I22" s="4"/>
      <c r="J22" s="4">
        <v>1800993</v>
      </c>
      <c r="K22" s="4"/>
      <c r="L22" s="34">
        <v>44900</v>
      </c>
      <c r="M22" s="34">
        <v>46360</v>
      </c>
      <c r="N22" s="4" t="s">
        <v>2674</v>
      </c>
      <c r="O22" s="4"/>
      <c r="P22" s="4"/>
      <c r="Q22" s="4"/>
    </row>
    <row r="23" spans="1:17" x14ac:dyDescent="0.25">
      <c r="A23" s="4">
        <v>14</v>
      </c>
      <c r="B23" s="42"/>
      <c r="C23" s="42"/>
      <c r="D23" s="42"/>
      <c r="E23" s="42"/>
      <c r="F23" s="42"/>
      <c r="G23" s="42"/>
      <c r="H23" s="4" t="s">
        <v>2691</v>
      </c>
      <c r="I23" s="4">
        <v>400</v>
      </c>
      <c r="J23" s="4">
        <v>7310</v>
      </c>
      <c r="K23" s="4"/>
      <c r="L23" s="34">
        <v>44553</v>
      </c>
      <c r="M23" s="34">
        <v>46013</v>
      </c>
      <c r="N23" s="4" t="s">
        <v>2674</v>
      </c>
      <c r="O23" s="4"/>
      <c r="P23" s="4"/>
      <c r="Q23" s="4"/>
    </row>
    <row r="24" spans="1:17" ht="12.75" customHeight="1" x14ac:dyDescent="0.25">
      <c r="A24" s="4">
        <v>15</v>
      </c>
      <c r="B24" s="42"/>
      <c r="C24" s="42"/>
      <c r="D24" s="42"/>
      <c r="E24" s="42" t="s">
        <v>2692</v>
      </c>
      <c r="F24" s="42" t="s">
        <v>68</v>
      </c>
      <c r="G24" s="42" t="s">
        <v>2674</v>
      </c>
      <c r="H24" s="4" t="s">
        <v>2690</v>
      </c>
      <c r="I24" s="4"/>
      <c r="J24" s="4">
        <v>801513</v>
      </c>
      <c r="K24" s="4">
        <v>2008</v>
      </c>
      <c r="L24" s="34">
        <v>44053</v>
      </c>
      <c r="M24" s="34">
        <v>45514</v>
      </c>
      <c r="N24" s="4" t="s">
        <v>2674</v>
      </c>
      <c r="O24" s="4"/>
      <c r="P24" s="4"/>
      <c r="Q24" s="4"/>
    </row>
    <row r="25" spans="1:17" x14ac:dyDescent="0.25">
      <c r="A25" s="4">
        <v>16</v>
      </c>
      <c r="B25" s="42"/>
      <c r="C25" s="42"/>
      <c r="D25" s="42"/>
      <c r="E25" s="42"/>
      <c r="F25" s="42"/>
      <c r="G25" s="42"/>
      <c r="H25" s="4" t="s">
        <v>2676</v>
      </c>
      <c r="I25" s="4">
        <v>400</v>
      </c>
      <c r="J25" s="4">
        <v>7309</v>
      </c>
      <c r="K25" s="4">
        <v>2009</v>
      </c>
      <c r="L25" s="34">
        <v>44418</v>
      </c>
      <c r="M25" s="34">
        <v>45879</v>
      </c>
      <c r="N25" s="4" t="s">
        <v>2674</v>
      </c>
      <c r="O25" s="4"/>
      <c r="P25" s="4"/>
      <c r="Q25" s="4"/>
    </row>
    <row r="26" spans="1:17" ht="12.75" customHeight="1" x14ac:dyDescent="0.25">
      <c r="A26" s="4">
        <v>17</v>
      </c>
      <c r="B26" s="42"/>
      <c r="C26" s="42"/>
      <c r="D26" s="42"/>
      <c r="E26" s="42" t="s">
        <v>2693</v>
      </c>
      <c r="F26" s="42" t="s">
        <v>68</v>
      </c>
      <c r="G26" s="42" t="s">
        <v>2674</v>
      </c>
      <c r="H26" s="4" t="s">
        <v>2694</v>
      </c>
      <c r="I26" s="4"/>
      <c r="J26" s="4">
        <v>1801222</v>
      </c>
      <c r="K26" s="4">
        <v>2018</v>
      </c>
      <c r="L26" s="16">
        <v>45268</v>
      </c>
      <c r="M26" s="34">
        <v>46729</v>
      </c>
      <c r="N26" s="4" t="s">
        <v>2674</v>
      </c>
      <c r="O26" s="4"/>
      <c r="P26" s="4"/>
      <c r="Q26" s="4"/>
    </row>
    <row r="27" spans="1:17" x14ac:dyDescent="0.25">
      <c r="A27" s="4">
        <v>18</v>
      </c>
      <c r="B27" s="42"/>
      <c r="C27" s="42"/>
      <c r="D27" s="42"/>
      <c r="E27" s="42"/>
      <c r="F27" s="42"/>
      <c r="G27" s="42"/>
      <c r="H27" s="4" t="s">
        <v>2676</v>
      </c>
      <c r="I27" s="4">
        <v>500</v>
      </c>
      <c r="J27" s="4">
        <v>2546</v>
      </c>
      <c r="K27" s="4"/>
      <c r="L27" s="34">
        <v>44096</v>
      </c>
      <c r="M27" s="34">
        <v>45922</v>
      </c>
      <c r="N27" s="4" t="s">
        <v>2674</v>
      </c>
      <c r="O27" s="4"/>
      <c r="P27" s="4"/>
      <c r="Q27" s="4"/>
    </row>
    <row r="28" spans="1:17" ht="12.75" customHeight="1" x14ac:dyDescent="0.25">
      <c r="A28" s="4">
        <v>19</v>
      </c>
      <c r="B28" s="42"/>
      <c r="C28" s="42"/>
      <c r="D28" s="42"/>
      <c r="E28" s="42" t="s">
        <v>2695</v>
      </c>
      <c r="F28" s="42" t="s">
        <v>68</v>
      </c>
      <c r="G28" s="42" t="s">
        <v>2674</v>
      </c>
      <c r="H28" s="4" t="s">
        <v>2694</v>
      </c>
      <c r="I28" s="4"/>
      <c r="J28" s="4">
        <v>1801222</v>
      </c>
      <c r="K28" s="4">
        <v>2018</v>
      </c>
      <c r="L28" s="16">
        <v>45268</v>
      </c>
      <c r="M28" s="34">
        <v>46729</v>
      </c>
      <c r="N28" s="4" t="s">
        <v>2674</v>
      </c>
      <c r="O28" s="4"/>
      <c r="P28" s="4"/>
      <c r="Q28" s="4"/>
    </row>
    <row r="29" spans="1:17" x14ac:dyDescent="0.25">
      <c r="A29" s="4">
        <v>20</v>
      </c>
      <c r="B29" s="42"/>
      <c r="C29" s="42"/>
      <c r="D29" s="42"/>
      <c r="E29" s="42"/>
      <c r="F29" s="42"/>
      <c r="G29" s="42"/>
      <c r="H29" s="4" t="s">
        <v>2676</v>
      </c>
      <c r="I29" s="4"/>
      <c r="J29" s="4">
        <v>14172</v>
      </c>
      <c r="K29" s="4"/>
      <c r="L29" s="34" t="s">
        <v>2696</v>
      </c>
      <c r="M29" s="34" t="s">
        <v>2697</v>
      </c>
      <c r="N29" s="4" t="s">
        <v>2674</v>
      </c>
      <c r="O29" s="4"/>
      <c r="P29" s="4"/>
      <c r="Q29" s="4"/>
    </row>
    <row r="30" spans="1:17" ht="14.25" customHeight="1" x14ac:dyDescent="0.25">
      <c r="A30" s="4">
        <v>21</v>
      </c>
      <c r="B30" s="42"/>
      <c r="C30" s="42" t="s">
        <v>2698</v>
      </c>
      <c r="D30" s="42"/>
      <c r="E30" s="42" t="s">
        <v>2699</v>
      </c>
      <c r="F30" s="42" t="s">
        <v>68</v>
      </c>
      <c r="G30" s="42" t="s">
        <v>2674</v>
      </c>
      <c r="H30" s="4" t="s">
        <v>2700</v>
      </c>
      <c r="I30" s="4"/>
      <c r="J30" s="4">
        <v>14169</v>
      </c>
      <c r="K30" s="4">
        <v>2001</v>
      </c>
      <c r="L30" s="34">
        <v>44739</v>
      </c>
      <c r="M30" s="34">
        <v>45470</v>
      </c>
      <c r="N30" s="4" t="s">
        <v>2674</v>
      </c>
      <c r="O30" s="4"/>
      <c r="P30" s="4"/>
      <c r="Q30" s="4"/>
    </row>
    <row r="31" spans="1:17" ht="25.5" x14ac:dyDescent="0.25">
      <c r="A31" s="4">
        <v>22</v>
      </c>
      <c r="B31" s="42"/>
      <c r="C31" s="42"/>
      <c r="D31" s="42"/>
      <c r="E31" s="42"/>
      <c r="F31" s="42"/>
      <c r="G31" s="42"/>
      <c r="H31" s="5" t="s">
        <v>2701</v>
      </c>
      <c r="I31" s="4">
        <v>500</v>
      </c>
      <c r="J31" s="4" t="s">
        <v>2702</v>
      </c>
      <c r="K31" s="4"/>
      <c r="L31" s="34">
        <v>44288</v>
      </c>
      <c r="M31" s="34">
        <v>46114</v>
      </c>
      <c r="N31" s="4" t="s">
        <v>2674</v>
      </c>
      <c r="O31" s="4"/>
      <c r="P31" s="4"/>
      <c r="Q31" s="4"/>
    </row>
    <row r="32" spans="1:17" ht="14.25" customHeight="1" x14ac:dyDescent="0.25">
      <c r="A32" s="4">
        <v>23</v>
      </c>
      <c r="B32" s="42"/>
      <c r="C32" s="42"/>
      <c r="D32" s="42"/>
      <c r="E32" s="42" t="s">
        <v>2703</v>
      </c>
      <c r="F32" s="42" t="s">
        <v>68</v>
      </c>
      <c r="G32" s="42" t="s">
        <v>2674</v>
      </c>
      <c r="H32" s="4" t="s">
        <v>2704</v>
      </c>
      <c r="I32" s="4"/>
      <c r="J32" s="4">
        <v>801628</v>
      </c>
      <c r="K32" s="4">
        <v>2009</v>
      </c>
      <c r="L32" s="34">
        <v>43973</v>
      </c>
      <c r="M32" s="34">
        <v>45434</v>
      </c>
      <c r="N32" s="4" t="s">
        <v>2674</v>
      </c>
      <c r="O32" s="4"/>
      <c r="P32" s="4"/>
      <c r="Q32" s="4"/>
    </row>
    <row r="33" spans="1:17" x14ac:dyDescent="0.25">
      <c r="A33" s="4">
        <v>24</v>
      </c>
      <c r="B33" s="42"/>
      <c r="C33" s="42"/>
      <c r="D33" s="42"/>
      <c r="E33" s="42"/>
      <c r="F33" s="42"/>
      <c r="G33" s="42"/>
      <c r="H33" s="4" t="s">
        <v>2705</v>
      </c>
      <c r="I33" s="4">
        <v>400</v>
      </c>
      <c r="J33" s="4">
        <v>40224</v>
      </c>
      <c r="K33" s="4"/>
      <c r="L33" s="34">
        <v>43900</v>
      </c>
      <c r="M33" s="34">
        <v>45726</v>
      </c>
      <c r="N33" s="4" t="s">
        <v>2674</v>
      </c>
      <c r="O33" s="4"/>
      <c r="P33" s="4"/>
      <c r="Q33" s="4"/>
    </row>
    <row r="34" spans="1:17" ht="14.25" customHeight="1" x14ac:dyDescent="0.25">
      <c r="A34" s="4">
        <v>25</v>
      </c>
      <c r="B34" s="42"/>
      <c r="C34" s="42"/>
      <c r="D34" s="42"/>
      <c r="E34" s="42" t="s">
        <v>2706</v>
      </c>
      <c r="F34" s="42" t="s">
        <v>68</v>
      </c>
      <c r="G34" s="42" t="s">
        <v>2674</v>
      </c>
      <c r="H34" s="4" t="s">
        <v>2707</v>
      </c>
      <c r="I34" s="4"/>
      <c r="J34" s="4">
        <v>756441</v>
      </c>
      <c r="K34" s="4">
        <v>2007</v>
      </c>
      <c r="L34" s="34" t="s">
        <v>2708</v>
      </c>
      <c r="M34" s="34" t="s">
        <v>2709</v>
      </c>
      <c r="N34" s="4" t="s">
        <v>2674</v>
      </c>
      <c r="O34" s="4"/>
      <c r="P34" s="4"/>
      <c r="Q34" s="4"/>
    </row>
    <row r="35" spans="1:17" x14ac:dyDescent="0.25">
      <c r="A35" s="4">
        <v>26</v>
      </c>
      <c r="B35" s="42"/>
      <c r="C35" s="42"/>
      <c r="D35" s="42"/>
      <c r="E35" s="42"/>
      <c r="F35" s="42"/>
      <c r="G35" s="42"/>
      <c r="H35" s="4" t="s">
        <v>2705</v>
      </c>
      <c r="I35" s="4">
        <v>400</v>
      </c>
      <c r="J35" s="15" t="s">
        <v>2710</v>
      </c>
      <c r="K35" s="4"/>
      <c r="L35" s="34">
        <v>43900</v>
      </c>
      <c r="M35" s="34">
        <v>45726</v>
      </c>
      <c r="N35" s="4" t="s">
        <v>2674</v>
      </c>
      <c r="O35" s="4"/>
      <c r="P35" s="4"/>
      <c r="Q35" s="4"/>
    </row>
    <row r="36" spans="1:17" ht="14.25" customHeight="1" x14ac:dyDescent="0.25">
      <c r="A36" s="4">
        <v>27</v>
      </c>
      <c r="B36" s="42"/>
      <c r="C36" s="42"/>
      <c r="D36" s="42"/>
      <c r="E36" s="42" t="s">
        <v>2711</v>
      </c>
      <c r="F36" s="42" t="s">
        <v>68</v>
      </c>
      <c r="G36" s="42" t="s">
        <v>2674</v>
      </c>
      <c r="H36" s="4" t="s">
        <v>2700</v>
      </c>
      <c r="I36" s="4"/>
      <c r="J36" s="4">
        <v>206847</v>
      </c>
      <c r="K36" s="4">
        <v>2002</v>
      </c>
      <c r="L36" s="34" t="s">
        <v>2712</v>
      </c>
      <c r="M36" s="34" t="s">
        <v>2713</v>
      </c>
      <c r="N36" s="4" t="s">
        <v>2674</v>
      </c>
      <c r="O36" s="4"/>
      <c r="P36" s="4"/>
      <c r="Q36" s="4"/>
    </row>
    <row r="37" spans="1:17" x14ac:dyDescent="0.25">
      <c r="A37" s="4">
        <v>28</v>
      </c>
      <c r="B37" s="42"/>
      <c r="C37" s="42"/>
      <c r="D37" s="42"/>
      <c r="E37" s="42"/>
      <c r="F37" s="42"/>
      <c r="G37" s="42"/>
      <c r="H37" s="4" t="s">
        <v>2714</v>
      </c>
      <c r="I37" s="4">
        <v>250</v>
      </c>
      <c r="J37" s="4">
        <v>2463</v>
      </c>
      <c r="K37" s="4">
        <v>2007</v>
      </c>
      <c r="L37" s="34" t="s">
        <v>2715</v>
      </c>
      <c r="M37" s="34" t="s">
        <v>2716</v>
      </c>
      <c r="N37" s="4" t="s">
        <v>2674</v>
      </c>
      <c r="O37" s="4"/>
      <c r="P37" s="4"/>
      <c r="Q37" s="4"/>
    </row>
    <row r="38" spans="1:17" ht="14.25" customHeight="1" x14ac:dyDescent="0.25">
      <c r="A38" s="4">
        <v>29</v>
      </c>
      <c r="B38" s="42"/>
      <c r="C38" s="42"/>
      <c r="D38" s="42"/>
      <c r="E38" s="42" t="s">
        <v>2717</v>
      </c>
      <c r="F38" s="42" t="s">
        <v>68</v>
      </c>
      <c r="G38" s="42" t="s">
        <v>2674</v>
      </c>
      <c r="H38" s="4" t="s">
        <v>2700</v>
      </c>
      <c r="I38" s="4"/>
      <c r="J38" s="4">
        <v>2200202</v>
      </c>
      <c r="K38" s="4"/>
      <c r="L38" s="34">
        <v>44889</v>
      </c>
      <c r="M38" s="34">
        <v>46349</v>
      </c>
      <c r="N38" s="4" t="s">
        <v>2674</v>
      </c>
      <c r="O38" s="4"/>
      <c r="P38" s="4"/>
      <c r="Q38" s="4"/>
    </row>
    <row r="39" spans="1:17" x14ac:dyDescent="0.25">
      <c r="A39" s="4">
        <v>30</v>
      </c>
      <c r="B39" s="42"/>
      <c r="C39" s="42"/>
      <c r="D39" s="42"/>
      <c r="E39" s="42"/>
      <c r="F39" s="42"/>
      <c r="G39" s="42"/>
      <c r="H39" s="4" t="s">
        <v>2714</v>
      </c>
      <c r="I39" s="4">
        <v>250</v>
      </c>
      <c r="J39" s="4">
        <v>221103</v>
      </c>
      <c r="K39" s="4"/>
      <c r="L39" s="34">
        <v>44889</v>
      </c>
      <c r="M39" s="34">
        <v>46349</v>
      </c>
      <c r="N39" s="4" t="s">
        <v>2674</v>
      </c>
      <c r="O39" s="4"/>
      <c r="P39" s="4"/>
      <c r="Q39" s="4"/>
    </row>
    <row r="40" spans="1:17" ht="14.25" customHeight="1" x14ac:dyDescent="0.25">
      <c r="A40" s="4">
        <v>31</v>
      </c>
      <c r="B40" s="42"/>
      <c r="C40" s="42"/>
      <c r="D40" s="42"/>
      <c r="E40" s="42" t="s">
        <v>2718</v>
      </c>
      <c r="F40" s="42" t="s">
        <v>68</v>
      </c>
      <c r="G40" s="42"/>
      <c r="H40" s="4" t="s">
        <v>2719</v>
      </c>
      <c r="I40" s="4"/>
      <c r="J40" s="4" t="s">
        <v>2720</v>
      </c>
      <c r="K40" s="4">
        <v>2019</v>
      </c>
      <c r="L40" s="16">
        <v>45229</v>
      </c>
      <c r="M40" s="16">
        <v>46690</v>
      </c>
      <c r="N40" s="4" t="s">
        <v>2674</v>
      </c>
      <c r="O40" s="4"/>
      <c r="P40" s="4"/>
      <c r="Q40" s="4"/>
    </row>
    <row r="41" spans="1:17" x14ac:dyDescent="0.25">
      <c r="A41" s="4">
        <v>32</v>
      </c>
      <c r="B41" s="42"/>
      <c r="C41" s="42"/>
      <c r="D41" s="42"/>
      <c r="E41" s="42"/>
      <c r="F41" s="42"/>
      <c r="G41" s="42"/>
      <c r="H41" s="4" t="s">
        <v>2714</v>
      </c>
      <c r="I41" s="4">
        <v>300</v>
      </c>
      <c r="J41" s="4">
        <v>191351</v>
      </c>
      <c r="K41" s="4">
        <v>2019</v>
      </c>
      <c r="L41" s="16" t="s">
        <v>2721</v>
      </c>
      <c r="M41" s="16" t="s">
        <v>2722</v>
      </c>
      <c r="N41" s="4" t="s">
        <v>2674</v>
      </c>
      <c r="O41" s="4"/>
      <c r="P41" s="4"/>
      <c r="Q41" s="4"/>
    </row>
    <row r="42" spans="1:17" ht="14.25" customHeight="1" x14ac:dyDescent="0.25">
      <c r="A42" s="4">
        <v>33</v>
      </c>
      <c r="B42" s="42"/>
      <c r="C42" s="42"/>
      <c r="D42" s="42"/>
      <c r="E42" s="42" t="s">
        <v>2723</v>
      </c>
      <c r="F42" s="42" t="s">
        <v>68</v>
      </c>
      <c r="G42" s="42" t="s">
        <v>2674</v>
      </c>
      <c r="H42" s="4" t="s">
        <v>2724</v>
      </c>
      <c r="I42" s="4">
        <v>200</v>
      </c>
      <c r="J42" s="4">
        <v>1800848</v>
      </c>
      <c r="K42" s="4">
        <v>2018</v>
      </c>
      <c r="L42" s="34">
        <v>44846</v>
      </c>
      <c r="M42" s="34">
        <v>46307</v>
      </c>
      <c r="N42" s="4" t="s">
        <v>2674</v>
      </c>
      <c r="O42" s="4"/>
      <c r="P42" s="4"/>
      <c r="Q42" s="4"/>
    </row>
    <row r="43" spans="1:17" x14ac:dyDescent="0.25">
      <c r="A43" s="4">
        <v>34</v>
      </c>
      <c r="B43" s="42"/>
      <c r="C43" s="42"/>
      <c r="D43" s="42"/>
      <c r="E43" s="42"/>
      <c r="F43" s="42"/>
      <c r="G43" s="42"/>
      <c r="H43" s="4" t="s">
        <v>2725</v>
      </c>
      <c r="I43" s="4"/>
      <c r="J43" s="4">
        <v>1700296</v>
      </c>
      <c r="K43" s="4">
        <v>2018</v>
      </c>
      <c r="L43" s="34">
        <v>43412</v>
      </c>
      <c r="M43" s="34">
        <v>44873</v>
      </c>
      <c r="N43" s="4" t="s">
        <v>2674</v>
      </c>
      <c r="O43" s="4"/>
      <c r="P43" s="4"/>
      <c r="Q43" s="4"/>
    </row>
    <row r="44" spans="1:17" ht="14.25" customHeight="1" x14ac:dyDescent="0.25">
      <c r="A44" s="4">
        <v>35</v>
      </c>
      <c r="B44" s="42"/>
      <c r="C44" s="42"/>
      <c r="D44" s="42"/>
      <c r="E44" s="42" t="s">
        <v>2726</v>
      </c>
      <c r="F44" s="42" t="s">
        <v>68</v>
      </c>
      <c r="G44" s="42" t="s">
        <v>2674</v>
      </c>
      <c r="H44" s="4" t="s">
        <v>2724</v>
      </c>
      <c r="I44" s="4">
        <v>200</v>
      </c>
      <c r="J44" s="4">
        <v>1800849</v>
      </c>
      <c r="K44" s="4">
        <v>2018</v>
      </c>
      <c r="L44" s="34">
        <v>44844</v>
      </c>
      <c r="M44" s="34">
        <v>46305</v>
      </c>
      <c r="N44" s="4" t="s">
        <v>2674</v>
      </c>
      <c r="O44" s="4"/>
      <c r="P44" s="4"/>
      <c r="Q44" s="4"/>
    </row>
    <row r="45" spans="1:17" x14ac:dyDescent="0.25">
      <c r="A45" s="4">
        <v>36</v>
      </c>
      <c r="B45" s="42"/>
      <c r="C45" s="42"/>
      <c r="D45" s="42"/>
      <c r="E45" s="42"/>
      <c r="F45" s="42"/>
      <c r="G45" s="42"/>
      <c r="H45" s="4" t="s">
        <v>2725</v>
      </c>
      <c r="I45" s="4"/>
      <c r="J45" s="9">
        <v>1700244</v>
      </c>
      <c r="K45" s="4">
        <v>2018</v>
      </c>
      <c r="L45" s="34">
        <v>44844</v>
      </c>
      <c r="M45" s="34">
        <v>46305</v>
      </c>
      <c r="N45" s="4" t="s">
        <v>2674</v>
      </c>
      <c r="O45" s="4"/>
      <c r="P45" s="4"/>
      <c r="Q45" s="4"/>
    </row>
    <row r="46" spans="1:17" ht="14.25" customHeight="1" x14ac:dyDescent="0.25">
      <c r="A46" s="4">
        <v>37</v>
      </c>
      <c r="B46" s="42"/>
      <c r="C46" s="42"/>
      <c r="D46" s="42"/>
      <c r="E46" s="42" t="s">
        <v>2727</v>
      </c>
      <c r="F46" s="42" t="s">
        <v>68</v>
      </c>
      <c r="G46" s="42" t="s">
        <v>2674</v>
      </c>
      <c r="H46" s="4" t="s">
        <v>2700</v>
      </c>
      <c r="I46" s="4"/>
      <c r="J46" s="4">
        <v>308521</v>
      </c>
      <c r="K46" s="4">
        <v>2003</v>
      </c>
      <c r="L46" s="34">
        <v>43973</v>
      </c>
      <c r="M46" s="34">
        <v>45434</v>
      </c>
      <c r="N46" s="4" t="s">
        <v>2674</v>
      </c>
      <c r="O46" s="4"/>
      <c r="P46" s="4"/>
      <c r="Q46" s="4"/>
    </row>
    <row r="47" spans="1:17" x14ac:dyDescent="0.25">
      <c r="A47" s="4">
        <v>38</v>
      </c>
      <c r="B47" s="42"/>
      <c r="C47" s="42"/>
      <c r="D47" s="42"/>
      <c r="E47" s="42"/>
      <c r="F47" s="42"/>
      <c r="G47" s="42"/>
      <c r="H47" s="4" t="s">
        <v>2705</v>
      </c>
      <c r="I47" s="4">
        <v>200</v>
      </c>
      <c r="J47" s="4" t="s">
        <v>2728</v>
      </c>
      <c r="K47" s="4"/>
      <c r="L47" s="34">
        <v>44297</v>
      </c>
      <c r="M47" s="34">
        <v>46123</v>
      </c>
      <c r="N47" s="4" t="s">
        <v>2674</v>
      </c>
      <c r="O47" s="4"/>
      <c r="P47" s="4"/>
      <c r="Q47" s="4"/>
    </row>
    <row r="48" spans="1:17" ht="14.25" customHeight="1" x14ac:dyDescent="0.25">
      <c r="A48" s="4">
        <v>39</v>
      </c>
      <c r="B48" s="42"/>
      <c r="C48" s="42"/>
      <c r="D48" s="42"/>
      <c r="E48" s="42" t="s">
        <v>2729</v>
      </c>
      <c r="F48" s="42" t="s">
        <v>68</v>
      </c>
      <c r="G48" s="42" t="s">
        <v>2674</v>
      </c>
      <c r="H48" s="4" t="s">
        <v>2700</v>
      </c>
      <c r="I48" s="4"/>
      <c r="J48" s="4">
        <v>2713</v>
      </c>
      <c r="K48" s="4">
        <v>2000</v>
      </c>
      <c r="L48" s="34">
        <v>44701</v>
      </c>
      <c r="M48" s="34">
        <v>45432</v>
      </c>
      <c r="N48" s="4" t="s">
        <v>2674</v>
      </c>
      <c r="O48" s="4"/>
      <c r="P48" s="4"/>
      <c r="Q48" s="4"/>
    </row>
    <row r="49" spans="1:17" x14ac:dyDescent="0.25">
      <c r="A49" s="4">
        <v>40</v>
      </c>
      <c r="B49" s="42"/>
      <c r="C49" s="42"/>
      <c r="D49" s="42"/>
      <c r="E49" s="42"/>
      <c r="F49" s="42"/>
      <c r="G49" s="42"/>
      <c r="H49" s="4" t="s">
        <v>2705</v>
      </c>
      <c r="I49" s="4">
        <v>200</v>
      </c>
      <c r="J49" s="4">
        <v>2719</v>
      </c>
      <c r="K49" s="4"/>
      <c r="L49" s="34">
        <v>44297</v>
      </c>
      <c r="M49" s="34">
        <v>46123</v>
      </c>
      <c r="N49" s="4" t="s">
        <v>2674</v>
      </c>
      <c r="O49" s="4"/>
      <c r="P49" s="4"/>
      <c r="Q49" s="4"/>
    </row>
    <row r="50" spans="1:17" ht="14.25" customHeight="1" x14ac:dyDescent="0.25">
      <c r="A50" s="4">
        <v>41</v>
      </c>
      <c r="B50" s="42"/>
      <c r="C50" s="42"/>
      <c r="D50" s="42"/>
      <c r="E50" s="42" t="s">
        <v>2730</v>
      </c>
      <c r="F50" s="42" t="s">
        <v>32</v>
      </c>
      <c r="G50" s="42" t="s">
        <v>2674</v>
      </c>
      <c r="H50" s="4" t="s">
        <v>2719</v>
      </c>
      <c r="I50" s="4"/>
      <c r="J50" s="4" t="s">
        <v>2731</v>
      </c>
      <c r="K50" s="4">
        <v>2019</v>
      </c>
      <c r="L50" s="16">
        <v>45229</v>
      </c>
      <c r="M50" s="16">
        <v>46690</v>
      </c>
      <c r="N50" s="4" t="s">
        <v>2674</v>
      </c>
      <c r="O50" s="4"/>
      <c r="P50" s="4"/>
      <c r="Q50" s="4"/>
    </row>
    <row r="51" spans="1:17" x14ac:dyDescent="0.25">
      <c r="A51" s="4">
        <v>42</v>
      </c>
      <c r="B51" s="42"/>
      <c r="C51" s="42"/>
      <c r="D51" s="42"/>
      <c r="E51" s="42"/>
      <c r="F51" s="42"/>
      <c r="G51" s="42"/>
      <c r="H51" s="4" t="s">
        <v>2714</v>
      </c>
      <c r="I51" s="4">
        <v>300</v>
      </c>
      <c r="J51" s="4">
        <v>191353</v>
      </c>
      <c r="K51" s="4">
        <v>2019</v>
      </c>
      <c r="L51" s="16" t="s">
        <v>2732</v>
      </c>
      <c r="M51" s="16" t="s">
        <v>2733</v>
      </c>
      <c r="N51" s="4" t="s">
        <v>2674</v>
      </c>
      <c r="O51" s="4"/>
      <c r="P51" s="4"/>
      <c r="Q51" s="4"/>
    </row>
    <row r="52" spans="1:17" ht="14.25" customHeight="1" x14ac:dyDescent="0.25">
      <c r="A52" s="4">
        <v>43</v>
      </c>
      <c r="B52" s="42"/>
      <c r="C52" s="42"/>
      <c r="D52" s="42"/>
      <c r="E52" s="42" t="s">
        <v>2734</v>
      </c>
      <c r="F52" s="42" t="s">
        <v>32</v>
      </c>
      <c r="G52" s="42" t="s">
        <v>2674</v>
      </c>
      <c r="H52" s="4" t="s">
        <v>2719</v>
      </c>
      <c r="I52" s="4"/>
      <c r="J52" s="4" t="s">
        <v>2735</v>
      </c>
      <c r="K52" s="4">
        <v>2019</v>
      </c>
      <c r="L52" s="16">
        <v>45229</v>
      </c>
      <c r="M52" s="16">
        <v>46690</v>
      </c>
      <c r="N52" s="4" t="s">
        <v>2674</v>
      </c>
      <c r="O52" s="4"/>
      <c r="P52" s="4"/>
      <c r="Q52" s="4"/>
    </row>
    <row r="53" spans="1:17" x14ac:dyDescent="0.25">
      <c r="A53" s="4">
        <v>44</v>
      </c>
      <c r="B53" s="42"/>
      <c r="C53" s="42"/>
      <c r="D53" s="42"/>
      <c r="E53" s="42"/>
      <c r="F53" s="42"/>
      <c r="G53" s="42" t="s">
        <v>2736</v>
      </c>
      <c r="H53" s="4" t="s">
        <v>2714</v>
      </c>
      <c r="I53" s="4">
        <v>300</v>
      </c>
      <c r="J53" s="4">
        <v>191354</v>
      </c>
      <c r="K53" s="4">
        <v>2019</v>
      </c>
      <c r="L53" s="35" t="s">
        <v>2737</v>
      </c>
      <c r="M53" s="35" t="s">
        <v>2738</v>
      </c>
      <c r="N53" s="4" t="s">
        <v>2674</v>
      </c>
      <c r="O53" s="4"/>
      <c r="P53" s="4"/>
      <c r="Q53" s="4"/>
    </row>
    <row r="54" spans="1:17" ht="23.85" customHeight="1" x14ac:dyDescent="0.25">
      <c r="A54" s="4">
        <v>45</v>
      </c>
      <c r="B54" s="42"/>
      <c r="C54" s="42" t="s">
        <v>2739</v>
      </c>
      <c r="D54" s="4"/>
      <c r="E54" s="4" t="s">
        <v>2740</v>
      </c>
      <c r="F54" s="4" t="s">
        <v>68</v>
      </c>
      <c r="G54" s="4"/>
      <c r="H54" s="4" t="s">
        <v>2741</v>
      </c>
      <c r="I54" s="4">
        <v>100</v>
      </c>
      <c r="J54" s="4">
        <v>903194</v>
      </c>
      <c r="K54" s="4">
        <v>2009</v>
      </c>
      <c r="L54" s="34" t="s">
        <v>2742</v>
      </c>
      <c r="M54" s="34" t="s">
        <v>2743</v>
      </c>
      <c r="N54" s="4" t="s">
        <v>2674</v>
      </c>
      <c r="O54" s="4"/>
      <c r="P54" s="4"/>
      <c r="Q54" s="4"/>
    </row>
    <row r="55" spans="1:17" ht="25.5" x14ac:dyDescent="0.25">
      <c r="A55" s="4">
        <v>46</v>
      </c>
      <c r="B55" s="42"/>
      <c r="C55" s="42"/>
      <c r="D55" s="4"/>
      <c r="E55" s="4" t="s">
        <v>2744</v>
      </c>
      <c r="F55" s="4" t="s">
        <v>68</v>
      </c>
      <c r="G55" s="4"/>
      <c r="H55" s="4" t="s">
        <v>2745</v>
      </c>
      <c r="I55" s="4">
        <v>100</v>
      </c>
      <c r="J55" s="4">
        <v>903513</v>
      </c>
      <c r="K55" s="4">
        <v>2012</v>
      </c>
      <c r="L55" s="16">
        <v>44482</v>
      </c>
      <c r="M55" s="16">
        <v>45943</v>
      </c>
      <c r="N55" s="4" t="s">
        <v>2674</v>
      </c>
      <c r="O55" s="4"/>
      <c r="P55" s="4"/>
      <c r="Q55" s="4"/>
    </row>
    <row r="56" spans="1:17" ht="14.25" customHeight="1" x14ac:dyDescent="0.25">
      <c r="A56" s="4">
        <v>47</v>
      </c>
      <c r="B56" s="42"/>
      <c r="C56" s="42"/>
      <c r="D56" s="42"/>
      <c r="E56" s="42" t="s">
        <v>2746</v>
      </c>
      <c r="F56" s="42" t="s">
        <v>68</v>
      </c>
      <c r="G56" s="42"/>
      <c r="H56" s="4" t="s">
        <v>2747</v>
      </c>
      <c r="I56" s="4"/>
      <c r="J56" s="4">
        <v>1301856</v>
      </c>
      <c r="K56" s="4">
        <v>2013</v>
      </c>
      <c r="L56" s="34">
        <v>44425</v>
      </c>
      <c r="M56" s="34">
        <v>45886</v>
      </c>
      <c r="N56" s="4" t="s">
        <v>2674</v>
      </c>
      <c r="O56" s="4"/>
      <c r="P56" s="4"/>
      <c r="Q56" s="4"/>
    </row>
    <row r="57" spans="1:17" ht="25.5" x14ac:dyDescent="0.25">
      <c r="A57" s="4">
        <v>49</v>
      </c>
      <c r="B57" s="42"/>
      <c r="C57" s="42"/>
      <c r="D57" s="42"/>
      <c r="E57" s="42"/>
      <c r="F57" s="42"/>
      <c r="G57" s="42"/>
      <c r="H57" s="4" t="s">
        <v>2748</v>
      </c>
      <c r="I57" s="4"/>
      <c r="J57" s="15" t="s">
        <v>2749</v>
      </c>
      <c r="K57" s="4">
        <v>2009</v>
      </c>
      <c r="L57" s="34">
        <v>44784</v>
      </c>
      <c r="M57" s="34">
        <v>45515</v>
      </c>
      <c r="N57" s="4" t="s">
        <v>2674</v>
      </c>
      <c r="O57" s="4"/>
      <c r="P57" s="4"/>
      <c r="Q57" s="4"/>
    </row>
    <row r="58" spans="1:17" x14ac:dyDescent="0.25">
      <c r="A58" s="4">
        <v>50</v>
      </c>
      <c r="B58" s="42"/>
      <c r="C58" s="42"/>
      <c r="D58" s="42"/>
      <c r="E58" s="42"/>
      <c r="F58" s="42"/>
      <c r="G58" s="42"/>
      <c r="H58" s="4" t="s">
        <v>2750</v>
      </c>
      <c r="I58" s="4"/>
      <c r="J58" s="4">
        <v>912224</v>
      </c>
      <c r="K58" s="4">
        <v>2009</v>
      </c>
      <c r="L58" s="16">
        <v>44551</v>
      </c>
      <c r="M58" s="16">
        <v>46012</v>
      </c>
      <c r="N58" s="4" t="s">
        <v>2674</v>
      </c>
      <c r="O58" s="4"/>
      <c r="P58" s="4"/>
      <c r="Q58" s="4"/>
    </row>
    <row r="59" spans="1:17" ht="25.5" x14ac:dyDescent="0.25">
      <c r="A59" s="4">
        <v>52</v>
      </c>
      <c r="B59" s="42"/>
      <c r="C59" s="42"/>
      <c r="D59" s="42"/>
      <c r="E59" s="42"/>
      <c r="F59" s="42"/>
      <c r="G59" s="42"/>
      <c r="H59" s="4" t="s">
        <v>2751</v>
      </c>
      <c r="I59" s="4"/>
      <c r="J59" s="15" t="s">
        <v>2752</v>
      </c>
      <c r="K59" s="4">
        <v>2013</v>
      </c>
      <c r="L59" s="34">
        <v>44147</v>
      </c>
      <c r="M59" s="34">
        <v>45973</v>
      </c>
      <c r="N59" s="4" t="s">
        <v>2674</v>
      </c>
      <c r="O59" s="4"/>
      <c r="P59" s="4"/>
      <c r="Q59" s="4"/>
    </row>
    <row r="60" spans="1:17" x14ac:dyDescent="0.25">
      <c r="A60" s="4">
        <v>53</v>
      </c>
      <c r="B60" s="42"/>
      <c r="C60" s="42"/>
      <c r="D60" s="42"/>
      <c r="E60" s="42"/>
      <c r="F60" s="42"/>
      <c r="G60" s="42"/>
      <c r="H60" s="4" t="s">
        <v>2750</v>
      </c>
      <c r="I60" s="4"/>
      <c r="J60" s="15" t="s">
        <v>2753</v>
      </c>
      <c r="K60" s="4">
        <v>2009</v>
      </c>
      <c r="L60" s="16">
        <v>44551</v>
      </c>
      <c r="M60" s="16">
        <v>46012</v>
      </c>
      <c r="N60" s="4" t="s">
        <v>2674</v>
      </c>
      <c r="O60" s="4"/>
      <c r="P60" s="4"/>
      <c r="Q60" s="4"/>
    </row>
    <row r="61" spans="1:17" x14ac:dyDescent="0.25">
      <c r="A61" s="4">
        <v>54</v>
      </c>
      <c r="B61" s="42"/>
      <c r="C61" s="42"/>
      <c r="D61" s="42"/>
      <c r="E61" s="42"/>
      <c r="F61" s="42"/>
      <c r="G61" s="42"/>
      <c r="H61" s="4" t="s">
        <v>2754</v>
      </c>
      <c r="I61" s="4"/>
      <c r="J61" s="4">
        <v>451005</v>
      </c>
      <c r="K61" s="4">
        <v>2005</v>
      </c>
      <c r="L61" s="34">
        <v>45166</v>
      </c>
      <c r="M61" s="34">
        <v>46627</v>
      </c>
      <c r="N61" s="4" t="s">
        <v>2674</v>
      </c>
      <c r="O61" s="4"/>
      <c r="P61" s="4"/>
      <c r="Q61" s="4"/>
    </row>
    <row r="62" spans="1:17" ht="25.5" x14ac:dyDescent="0.25">
      <c r="A62" s="4">
        <v>55</v>
      </c>
      <c r="B62" s="42"/>
      <c r="C62" s="42"/>
      <c r="D62" s="42"/>
      <c r="E62" s="42"/>
      <c r="F62" s="42"/>
      <c r="G62" s="42"/>
      <c r="H62" s="4" t="s">
        <v>2751</v>
      </c>
      <c r="I62" s="4"/>
      <c r="J62" s="15" t="s">
        <v>2755</v>
      </c>
      <c r="K62" s="4"/>
      <c r="L62" s="34">
        <v>44147</v>
      </c>
      <c r="M62" s="34">
        <v>45973</v>
      </c>
      <c r="N62" s="4" t="s">
        <v>2674</v>
      </c>
      <c r="O62" s="4"/>
      <c r="P62" s="4"/>
      <c r="Q62" s="4"/>
    </row>
    <row r="63" spans="1:17" x14ac:dyDescent="0.25">
      <c r="A63" s="4">
        <v>56</v>
      </c>
      <c r="B63" s="42"/>
      <c r="C63" s="42"/>
      <c r="D63" s="42"/>
      <c r="E63" s="42"/>
      <c r="F63" s="42"/>
      <c r="G63" s="42"/>
      <c r="H63" s="4" t="s">
        <v>2750</v>
      </c>
      <c r="I63" s="4"/>
      <c r="J63" s="4">
        <v>903332</v>
      </c>
      <c r="K63" s="4">
        <v>2009</v>
      </c>
      <c r="L63" s="16">
        <v>44551</v>
      </c>
      <c r="M63" s="16">
        <v>46012</v>
      </c>
      <c r="N63" s="4" t="s">
        <v>2674</v>
      </c>
      <c r="O63" s="4"/>
      <c r="P63" s="4"/>
      <c r="Q63" s="4"/>
    </row>
    <row r="64" spans="1:17" ht="25.5" x14ac:dyDescent="0.25">
      <c r="A64" s="4">
        <v>57</v>
      </c>
      <c r="B64" s="42"/>
      <c r="C64" s="42"/>
      <c r="D64" s="42"/>
      <c r="E64" s="42"/>
      <c r="F64" s="42"/>
      <c r="G64" s="42"/>
      <c r="H64" s="5" t="s">
        <v>2756</v>
      </c>
      <c r="I64" s="4">
        <v>50</v>
      </c>
      <c r="J64" s="4">
        <v>130320</v>
      </c>
      <c r="K64" s="4">
        <v>2020</v>
      </c>
      <c r="L64" s="34">
        <v>43900</v>
      </c>
      <c r="M64" s="34">
        <v>45726</v>
      </c>
      <c r="N64" s="4" t="s">
        <v>2674</v>
      </c>
      <c r="O64" s="4"/>
      <c r="P64" s="4"/>
      <c r="Q64" s="4"/>
    </row>
    <row r="65" spans="1:17" ht="25.5" x14ac:dyDescent="0.25">
      <c r="A65" s="4">
        <v>58</v>
      </c>
      <c r="B65" s="42"/>
      <c r="C65" s="42"/>
      <c r="D65" s="42"/>
      <c r="E65" s="42"/>
      <c r="F65" s="42"/>
      <c r="G65" s="42"/>
      <c r="H65" s="4" t="s">
        <v>2751</v>
      </c>
      <c r="I65" s="4"/>
      <c r="J65" s="4">
        <v>107229</v>
      </c>
      <c r="K65" s="4">
        <v>2013</v>
      </c>
      <c r="L65" s="34">
        <v>44147</v>
      </c>
      <c r="M65" s="34">
        <v>45973</v>
      </c>
      <c r="N65" s="4" t="s">
        <v>2674</v>
      </c>
      <c r="O65" s="4"/>
      <c r="P65" s="4"/>
      <c r="Q65" s="4"/>
    </row>
    <row r="66" spans="1:17" x14ac:dyDescent="0.25">
      <c r="A66" s="4">
        <v>59</v>
      </c>
      <c r="B66" s="42"/>
      <c r="C66" s="42"/>
      <c r="D66" s="42"/>
      <c r="E66" s="42"/>
      <c r="F66" s="42"/>
      <c r="G66" s="42"/>
      <c r="H66" s="4" t="s">
        <v>2750</v>
      </c>
      <c r="I66" s="4"/>
      <c r="J66" s="4">
        <v>903318</v>
      </c>
      <c r="K66" s="4">
        <v>2009</v>
      </c>
      <c r="L66" s="16">
        <v>44551</v>
      </c>
      <c r="M66" s="16">
        <v>46012</v>
      </c>
      <c r="N66" s="4" t="s">
        <v>2674</v>
      </c>
      <c r="O66" s="4"/>
      <c r="P66" s="4"/>
      <c r="Q66" s="4"/>
    </row>
    <row r="67" spans="1:17" ht="25.5" customHeight="1" x14ac:dyDescent="0.25">
      <c r="A67" s="4">
        <v>60</v>
      </c>
      <c r="B67" s="42"/>
      <c r="C67" s="42"/>
      <c r="D67" s="42"/>
      <c r="E67" s="42" t="s">
        <v>2757</v>
      </c>
      <c r="F67" s="42" t="s">
        <v>68</v>
      </c>
      <c r="G67" s="42"/>
      <c r="H67" s="4" t="s">
        <v>2758</v>
      </c>
      <c r="I67" s="4"/>
      <c r="J67" s="15" t="s">
        <v>2759</v>
      </c>
      <c r="K67" s="4">
        <v>2009</v>
      </c>
      <c r="L67" s="34">
        <v>45062</v>
      </c>
      <c r="M67" s="34">
        <v>46523</v>
      </c>
      <c r="N67" s="4" t="s">
        <v>2674</v>
      </c>
      <c r="O67" s="4"/>
      <c r="P67" s="4"/>
      <c r="Q67" s="4"/>
    </row>
    <row r="68" spans="1:17" x14ac:dyDescent="0.25">
      <c r="A68" s="4">
        <v>61</v>
      </c>
      <c r="B68" s="42"/>
      <c r="C68" s="42"/>
      <c r="D68" s="42"/>
      <c r="E68" s="42"/>
      <c r="F68" s="42"/>
      <c r="G68" s="42"/>
      <c r="H68" s="4" t="s">
        <v>2760</v>
      </c>
      <c r="I68" s="4"/>
      <c r="J68" s="4">
        <v>801706</v>
      </c>
      <c r="K68" s="4">
        <v>2009</v>
      </c>
      <c r="L68" s="34">
        <v>45016</v>
      </c>
      <c r="M68" s="34">
        <v>46477</v>
      </c>
      <c r="N68" s="4" t="s">
        <v>2674</v>
      </c>
      <c r="O68" s="4"/>
      <c r="P68" s="4"/>
      <c r="Q68" s="4"/>
    </row>
    <row r="69" spans="1:17" x14ac:dyDescent="0.25">
      <c r="A69" s="4">
        <v>62</v>
      </c>
      <c r="B69" s="42"/>
      <c r="C69" s="42"/>
      <c r="D69" s="42"/>
      <c r="E69" s="42"/>
      <c r="F69" s="42"/>
      <c r="G69" s="42"/>
      <c r="H69" s="4" t="s">
        <v>2761</v>
      </c>
      <c r="I69" s="4">
        <v>400</v>
      </c>
      <c r="J69" s="4">
        <v>7325</v>
      </c>
      <c r="K69" s="4">
        <v>2009</v>
      </c>
      <c r="L69" s="34">
        <v>44433</v>
      </c>
      <c r="M69" s="34">
        <v>45894</v>
      </c>
      <c r="N69" s="4" t="s">
        <v>2674</v>
      </c>
      <c r="O69" s="4"/>
      <c r="P69" s="4"/>
      <c r="Q69" s="4"/>
    </row>
    <row r="70" spans="1:17" ht="25.5" x14ac:dyDescent="0.25">
      <c r="A70" s="4">
        <v>63</v>
      </c>
      <c r="B70" s="42"/>
      <c r="C70" s="42"/>
      <c r="D70" s="42"/>
      <c r="E70" s="42"/>
      <c r="F70" s="42"/>
      <c r="G70" s="42"/>
      <c r="H70" s="4" t="s">
        <v>2751</v>
      </c>
      <c r="I70" s="4"/>
      <c r="J70" s="4">
        <v>14841</v>
      </c>
      <c r="K70" s="4">
        <v>2009</v>
      </c>
      <c r="L70" s="34" t="s">
        <v>2762</v>
      </c>
      <c r="M70" s="34" t="s">
        <v>2763</v>
      </c>
      <c r="N70" s="4" t="s">
        <v>2674</v>
      </c>
      <c r="O70" s="4"/>
      <c r="P70" s="4"/>
      <c r="Q70" s="4"/>
    </row>
    <row r="71" spans="1:17" ht="25.5" x14ac:dyDescent="0.25">
      <c r="A71" s="4">
        <v>64</v>
      </c>
      <c r="B71" s="42"/>
      <c r="C71" s="42"/>
      <c r="D71" s="42"/>
      <c r="E71" s="42"/>
      <c r="F71" s="42"/>
      <c r="G71" s="42"/>
      <c r="H71" s="4" t="s">
        <v>2764</v>
      </c>
      <c r="I71" s="4"/>
      <c r="J71" s="4" t="s">
        <v>2765</v>
      </c>
      <c r="K71" s="4">
        <v>2009</v>
      </c>
      <c r="L71" s="34">
        <v>44349</v>
      </c>
      <c r="M71" s="34">
        <v>45809</v>
      </c>
      <c r="N71" s="4" t="s">
        <v>2674</v>
      </c>
      <c r="O71" s="4"/>
      <c r="P71" s="4"/>
      <c r="Q71" s="4"/>
    </row>
    <row r="72" spans="1:17" x14ac:dyDescent="0.25">
      <c r="A72" s="4">
        <v>65</v>
      </c>
      <c r="B72" s="42"/>
      <c r="C72" s="42"/>
      <c r="D72" s="42"/>
      <c r="E72" s="42"/>
      <c r="F72" s="42"/>
      <c r="G72" s="42"/>
      <c r="H72" s="4" t="s">
        <v>2761</v>
      </c>
      <c r="I72" s="4">
        <v>400</v>
      </c>
      <c r="J72" s="4">
        <v>7326</v>
      </c>
      <c r="K72" s="4">
        <v>2009</v>
      </c>
      <c r="L72" s="34">
        <v>44433</v>
      </c>
      <c r="M72" s="34">
        <v>45894</v>
      </c>
      <c r="N72" s="4" t="s">
        <v>2674</v>
      </c>
      <c r="O72" s="4"/>
      <c r="P72" s="4"/>
      <c r="Q72" s="4"/>
    </row>
    <row r="73" spans="1:17" ht="25.5" x14ac:dyDescent="0.25">
      <c r="A73" s="4">
        <v>66</v>
      </c>
      <c r="B73" s="42"/>
      <c r="C73" s="42"/>
      <c r="D73" s="42"/>
      <c r="E73" s="42"/>
      <c r="F73" s="42"/>
      <c r="G73" s="42"/>
      <c r="H73" s="4" t="s">
        <v>2751</v>
      </c>
      <c r="I73" s="4"/>
      <c r="J73" s="4">
        <v>14842</v>
      </c>
      <c r="K73" s="4">
        <v>2009</v>
      </c>
      <c r="L73" s="34">
        <v>45106</v>
      </c>
      <c r="M73" s="34">
        <v>45837</v>
      </c>
      <c r="N73" s="4" t="s">
        <v>2674</v>
      </c>
      <c r="O73" s="4"/>
      <c r="P73" s="4"/>
      <c r="Q73" s="4"/>
    </row>
    <row r="74" spans="1:17" ht="25.5" x14ac:dyDescent="0.25">
      <c r="A74" s="4">
        <v>67</v>
      </c>
      <c r="B74" s="42"/>
      <c r="C74" s="42"/>
      <c r="D74" s="42"/>
      <c r="E74" s="42"/>
      <c r="F74" s="42"/>
      <c r="G74" s="42"/>
      <c r="H74" s="4" t="s">
        <v>2764</v>
      </c>
      <c r="I74" s="4"/>
      <c r="J74" s="4" t="s">
        <v>2766</v>
      </c>
      <c r="K74" s="4">
        <v>2009</v>
      </c>
      <c r="L74" s="34">
        <v>44349</v>
      </c>
      <c r="M74" s="34">
        <v>45810</v>
      </c>
      <c r="N74" s="4" t="s">
        <v>2674</v>
      </c>
      <c r="O74" s="4"/>
      <c r="P74" s="4"/>
      <c r="Q74" s="4"/>
    </row>
    <row r="75" spans="1:17" x14ac:dyDescent="0.25">
      <c r="A75" s="4">
        <v>68</v>
      </c>
      <c r="B75" s="42"/>
      <c r="C75" s="42"/>
      <c r="D75" s="42"/>
      <c r="E75" s="42"/>
      <c r="F75" s="42"/>
      <c r="G75" s="42"/>
      <c r="H75" s="4" t="s">
        <v>2767</v>
      </c>
      <c r="I75" s="4"/>
      <c r="J75" s="4">
        <v>801504</v>
      </c>
      <c r="K75" s="4">
        <v>2009</v>
      </c>
      <c r="L75" s="34">
        <v>44740</v>
      </c>
      <c r="M75" s="34">
        <v>46201</v>
      </c>
      <c r="N75" s="4" t="s">
        <v>2674</v>
      </c>
      <c r="O75" s="4"/>
      <c r="P75" s="4"/>
      <c r="Q75" s="4"/>
    </row>
    <row r="76" spans="1:17" ht="25.5" x14ac:dyDescent="0.25">
      <c r="A76" s="4">
        <v>69</v>
      </c>
      <c r="B76" s="42"/>
      <c r="C76" s="42"/>
      <c r="D76" s="42"/>
      <c r="E76" s="42"/>
      <c r="F76" s="42"/>
      <c r="G76" s="42"/>
      <c r="H76" s="5" t="s">
        <v>2768</v>
      </c>
      <c r="I76" s="4">
        <v>500</v>
      </c>
      <c r="J76" s="4">
        <v>7323</v>
      </c>
      <c r="K76" s="4">
        <v>2009</v>
      </c>
      <c r="L76" s="34">
        <v>44433</v>
      </c>
      <c r="M76" s="34">
        <v>45894</v>
      </c>
      <c r="N76" s="4" t="s">
        <v>2674</v>
      </c>
      <c r="O76" s="4"/>
      <c r="P76" s="4"/>
      <c r="Q76" s="4"/>
    </row>
    <row r="77" spans="1:17" ht="25.5" x14ac:dyDescent="0.25">
      <c r="A77" s="4">
        <v>70</v>
      </c>
      <c r="B77" s="42"/>
      <c r="C77" s="42"/>
      <c r="D77" s="42"/>
      <c r="E77" s="42"/>
      <c r="F77" s="42"/>
      <c r="G77" s="42"/>
      <c r="H77" s="4" t="s">
        <v>2751</v>
      </c>
      <c r="I77" s="4"/>
      <c r="J77" s="4">
        <v>15001</v>
      </c>
      <c r="K77" s="4">
        <v>2009</v>
      </c>
      <c r="L77" s="34">
        <v>45106</v>
      </c>
      <c r="M77" s="34">
        <v>45837</v>
      </c>
      <c r="N77" s="4" t="s">
        <v>2674</v>
      </c>
      <c r="O77" s="4"/>
      <c r="P77" s="4"/>
      <c r="Q77" s="4"/>
    </row>
    <row r="78" spans="1:17" ht="25.5" x14ac:dyDescent="0.25">
      <c r="A78" s="4">
        <v>71</v>
      </c>
      <c r="B78" s="42"/>
      <c r="C78" s="42"/>
      <c r="D78" s="42"/>
      <c r="E78" s="42"/>
      <c r="F78" s="42"/>
      <c r="G78" s="42"/>
      <c r="H78" s="4" t="s">
        <v>2764</v>
      </c>
      <c r="I78" s="4"/>
      <c r="J78" s="4" t="s">
        <v>2769</v>
      </c>
      <c r="K78" s="4">
        <v>2009</v>
      </c>
      <c r="L78" s="34">
        <v>44349</v>
      </c>
      <c r="M78" s="34">
        <v>45810</v>
      </c>
      <c r="N78" s="4" t="s">
        <v>2674</v>
      </c>
      <c r="O78" s="4"/>
      <c r="P78" s="4"/>
      <c r="Q78" s="4"/>
    </row>
    <row r="79" spans="1:17" x14ac:dyDescent="0.25">
      <c r="A79" s="4">
        <v>72</v>
      </c>
      <c r="B79" s="42"/>
      <c r="C79" s="42"/>
      <c r="D79" s="42"/>
      <c r="E79" s="42"/>
      <c r="F79" s="42"/>
      <c r="G79" s="42"/>
      <c r="H79" s="4" t="s">
        <v>2760</v>
      </c>
      <c r="I79" s="4"/>
      <c r="J79" s="4">
        <v>801631</v>
      </c>
      <c r="K79" s="4">
        <v>2009</v>
      </c>
      <c r="L79" s="34">
        <v>44412</v>
      </c>
      <c r="M79" s="34">
        <v>45872</v>
      </c>
      <c r="N79" s="4" t="s">
        <v>2674</v>
      </c>
      <c r="O79" s="4"/>
      <c r="P79" s="4"/>
      <c r="Q79" s="4"/>
    </row>
    <row r="80" spans="1:17" ht="25.5" x14ac:dyDescent="0.25">
      <c r="A80" s="4">
        <v>73</v>
      </c>
      <c r="B80" s="42"/>
      <c r="C80" s="42"/>
      <c r="D80" s="42"/>
      <c r="E80" s="42"/>
      <c r="F80" s="42"/>
      <c r="G80" s="42"/>
      <c r="H80" s="5" t="s">
        <v>2768</v>
      </c>
      <c r="I80" s="4">
        <v>400</v>
      </c>
      <c r="J80" s="4">
        <v>7322</v>
      </c>
      <c r="K80" s="4">
        <v>2009</v>
      </c>
      <c r="L80" s="34">
        <v>44433</v>
      </c>
      <c r="M80" s="34">
        <v>45894</v>
      </c>
      <c r="N80" s="4" t="s">
        <v>2674</v>
      </c>
      <c r="O80" s="4"/>
      <c r="P80" s="4"/>
      <c r="Q80" s="4"/>
    </row>
    <row r="81" spans="1:17" ht="25.5" x14ac:dyDescent="0.25">
      <c r="A81" s="4">
        <v>74</v>
      </c>
      <c r="B81" s="42"/>
      <c r="C81" s="42"/>
      <c r="D81" s="42"/>
      <c r="E81" s="42"/>
      <c r="F81" s="42"/>
      <c r="G81" s="42"/>
      <c r="H81" s="4" t="s">
        <v>2751</v>
      </c>
      <c r="I81" s="4"/>
      <c r="J81" s="4">
        <v>14997</v>
      </c>
      <c r="K81" s="4">
        <v>2009</v>
      </c>
      <c r="L81" s="34">
        <v>45106</v>
      </c>
      <c r="M81" s="34">
        <v>45837</v>
      </c>
      <c r="N81" s="4" t="s">
        <v>2674</v>
      </c>
      <c r="O81" s="4"/>
      <c r="P81" s="4"/>
      <c r="Q81" s="4"/>
    </row>
    <row r="82" spans="1:17" ht="25.5" x14ac:dyDescent="0.25">
      <c r="A82" s="4">
        <v>75</v>
      </c>
      <c r="B82" s="42"/>
      <c r="C82" s="42"/>
      <c r="D82" s="42"/>
      <c r="E82" s="42"/>
      <c r="F82" s="42"/>
      <c r="G82" s="42"/>
      <c r="H82" s="4" t="s">
        <v>2764</v>
      </c>
      <c r="I82" s="4"/>
      <c r="J82" s="4" t="s">
        <v>2770</v>
      </c>
      <c r="K82" s="4">
        <v>2009</v>
      </c>
      <c r="L82" s="34">
        <v>44349</v>
      </c>
      <c r="M82" s="34">
        <v>45810</v>
      </c>
      <c r="N82" s="4" t="s">
        <v>2674</v>
      </c>
      <c r="O82" s="4"/>
      <c r="P82" s="4"/>
      <c r="Q82" s="4"/>
    </row>
    <row r="83" spans="1:17" ht="25.5" x14ac:dyDescent="0.25">
      <c r="A83" s="4">
        <v>76</v>
      </c>
      <c r="B83" s="42"/>
      <c r="C83" s="42"/>
      <c r="D83" s="42"/>
      <c r="E83" s="42"/>
      <c r="F83" s="42"/>
      <c r="G83" s="42"/>
      <c r="H83" s="5" t="s">
        <v>2768</v>
      </c>
      <c r="I83" s="4">
        <v>500</v>
      </c>
      <c r="J83" s="4">
        <v>7324</v>
      </c>
      <c r="K83" s="4">
        <v>2009</v>
      </c>
      <c r="L83" s="34">
        <v>44433</v>
      </c>
      <c r="M83" s="34">
        <v>45894</v>
      </c>
      <c r="N83" s="4" t="s">
        <v>2674</v>
      </c>
      <c r="O83" s="4"/>
      <c r="P83" s="4"/>
      <c r="Q83" s="4"/>
    </row>
    <row r="84" spans="1:17" ht="25.5" x14ac:dyDescent="0.25">
      <c r="A84" s="4">
        <v>77</v>
      </c>
      <c r="B84" s="42"/>
      <c r="C84" s="42"/>
      <c r="D84" s="42"/>
      <c r="E84" s="42"/>
      <c r="F84" s="42"/>
      <c r="G84" s="42"/>
      <c r="H84" s="4" t="s">
        <v>2751</v>
      </c>
      <c r="I84" s="4"/>
      <c r="J84" s="4">
        <v>15002</v>
      </c>
      <c r="K84" s="4">
        <v>2009</v>
      </c>
      <c r="L84" s="34">
        <v>45106</v>
      </c>
      <c r="M84" s="34">
        <v>45837</v>
      </c>
      <c r="N84" s="4" t="s">
        <v>2674</v>
      </c>
      <c r="O84" s="4"/>
      <c r="P84" s="4"/>
      <c r="Q84" s="4"/>
    </row>
    <row r="85" spans="1:17" ht="25.5" x14ac:dyDescent="0.25">
      <c r="A85" s="4">
        <v>78</v>
      </c>
      <c r="B85" s="42"/>
      <c r="C85" s="42"/>
      <c r="D85" s="42"/>
      <c r="E85" s="42"/>
      <c r="F85" s="42"/>
      <c r="G85" s="42"/>
      <c r="H85" s="4" t="s">
        <v>2764</v>
      </c>
      <c r="I85" s="4"/>
      <c r="J85" s="4" t="s">
        <v>2771</v>
      </c>
      <c r="K85" s="4">
        <v>2009</v>
      </c>
      <c r="L85" s="34">
        <v>44349</v>
      </c>
      <c r="M85" s="34">
        <v>45810</v>
      </c>
      <c r="N85" s="4" t="s">
        <v>2674</v>
      </c>
      <c r="O85" s="4"/>
      <c r="P85" s="4"/>
      <c r="Q85" s="4"/>
    </row>
    <row r="86" spans="1:17" ht="14.25" customHeight="1" x14ac:dyDescent="0.25">
      <c r="A86" s="4">
        <v>79</v>
      </c>
      <c r="B86" s="42"/>
      <c r="C86" s="42"/>
      <c r="D86" s="42"/>
      <c r="E86" s="42" t="s">
        <v>2772</v>
      </c>
      <c r="F86" s="42" t="s">
        <v>68</v>
      </c>
      <c r="G86" s="42" t="s">
        <v>2674</v>
      </c>
      <c r="H86" s="4" t="s">
        <v>2773</v>
      </c>
      <c r="I86" s="4">
        <v>400</v>
      </c>
      <c r="J86" s="4">
        <v>1124</v>
      </c>
      <c r="K86" s="4">
        <v>2016</v>
      </c>
      <c r="L86" s="34">
        <v>44411</v>
      </c>
      <c r="M86" s="34">
        <v>45499</v>
      </c>
      <c r="N86" s="4" t="s">
        <v>2674</v>
      </c>
      <c r="O86" s="4"/>
      <c r="P86" s="4"/>
      <c r="Q86" s="4"/>
    </row>
    <row r="87" spans="1:17" ht="25.5" x14ac:dyDescent="0.25">
      <c r="A87" s="4">
        <v>80</v>
      </c>
      <c r="B87" s="42"/>
      <c r="C87" s="42"/>
      <c r="D87" s="42"/>
      <c r="E87" s="42"/>
      <c r="F87" s="42"/>
      <c r="G87" s="42"/>
      <c r="H87" s="5" t="s">
        <v>2774</v>
      </c>
      <c r="I87" s="4"/>
      <c r="J87" s="4">
        <v>17958316</v>
      </c>
      <c r="K87" s="4">
        <v>2008</v>
      </c>
      <c r="L87" s="34">
        <v>44692</v>
      </c>
      <c r="M87" s="34">
        <v>45423</v>
      </c>
      <c r="N87" s="4" t="s">
        <v>2674</v>
      </c>
      <c r="O87" s="4"/>
      <c r="P87" s="4"/>
      <c r="Q87" s="4"/>
    </row>
    <row r="88" spans="1:17" ht="25.5" x14ac:dyDescent="0.25">
      <c r="A88" s="4">
        <v>81</v>
      </c>
      <c r="B88" s="42"/>
      <c r="C88" s="42"/>
      <c r="D88" s="42"/>
      <c r="E88" s="42"/>
      <c r="F88" s="42"/>
      <c r="G88" s="42"/>
      <c r="H88" s="5" t="s">
        <v>2775</v>
      </c>
      <c r="I88" s="4"/>
      <c r="J88" s="4">
        <v>8427971</v>
      </c>
      <c r="K88" s="4">
        <v>2008</v>
      </c>
      <c r="L88" s="34">
        <v>44692</v>
      </c>
      <c r="M88" s="34">
        <v>46153</v>
      </c>
      <c r="N88" s="4" t="s">
        <v>2674</v>
      </c>
      <c r="O88" s="4"/>
      <c r="P88" s="4"/>
      <c r="Q88" s="4"/>
    </row>
    <row r="89" spans="1:17" ht="25.5" x14ac:dyDescent="0.25">
      <c r="A89" s="4">
        <v>82</v>
      </c>
      <c r="B89" s="42"/>
      <c r="C89" s="42"/>
      <c r="D89" s="42"/>
      <c r="E89" s="42"/>
      <c r="F89" s="42"/>
      <c r="G89" s="42"/>
      <c r="H89" s="4" t="s">
        <v>2776</v>
      </c>
      <c r="I89" s="4"/>
      <c r="J89" s="4">
        <v>51905193612</v>
      </c>
      <c r="K89" s="4">
        <v>2018</v>
      </c>
      <c r="L89" s="36">
        <v>44686</v>
      </c>
      <c r="M89" s="34">
        <v>45417</v>
      </c>
      <c r="N89" s="4" t="s">
        <v>2674</v>
      </c>
      <c r="O89" s="4"/>
      <c r="P89" s="4"/>
      <c r="Q89" s="4"/>
    </row>
    <row r="90" spans="1:17" ht="35.1" customHeight="1" x14ac:dyDescent="0.25">
      <c r="A90" s="4">
        <v>83</v>
      </c>
      <c r="B90" s="42"/>
      <c r="C90" s="42"/>
      <c r="D90" s="42"/>
      <c r="E90" s="42" t="s">
        <v>2777</v>
      </c>
      <c r="F90" s="42" t="s">
        <v>68</v>
      </c>
      <c r="G90" s="42" t="s">
        <v>2674</v>
      </c>
      <c r="H90" s="5" t="s">
        <v>2778</v>
      </c>
      <c r="I90" s="4">
        <v>400</v>
      </c>
      <c r="J90" s="37">
        <v>807</v>
      </c>
      <c r="K90" s="4">
        <v>2016</v>
      </c>
      <c r="L90" s="34" t="s">
        <v>2779</v>
      </c>
      <c r="M90" s="34" t="s">
        <v>2780</v>
      </c>
      <c r="N90" s="4" t="s">
        <v>2674</v>
      </c>
      <c r="O90" s="4"/>
      <c r="P90" s="4"/>
      <c r="Q90" s="4"/>
    </row>
    <row r="91" spans="1:17" ht="25.5" x14ac:dyDescent="0.25">
      <c r="A91" s="4">
        <v>84</v>
      </c>
      <c r="B91" s="42"/>
      <c r="C91" s="42"/>
      <c r="D91" s="42"/>
      <c r="E91" s="42"/>
      <c r="F91" s="42"/>
      <c r="G91" s="42"/>
      <c r="H91" s="5" t="s">
        <v>2774</v>
      </c>
      <c r="I91" s="4"/>
      <c r="J91" s="37">
        <v>17958313</v>
      </c>
      <c r="K91" s="4">
        <v>2007</v>
      </c>
      <c r="L91" s="34">
        <v>44769</v>
      </c>
      <c r="M91" s="34">
        <v>45500</v>
      </c>
      <c r="N91" s="4" t="s">
        <v>2674</v>
      </c>
      <c r="O91" s="4"/>
      <c r="P91" s="4"/>
      <c r="Q91" s="4"/>
    </row>
    <row r="92" spans="1:17" ht="25.5" x14ac:dyDescent="0.25">
      <c r="A92" s="4">
        <v>85</v>
      </c>
      <c r="B92" s="42"/>
      <c r="C92" s="42"/>
      <c r="D92" s="42"/>
      <c r="E92" s="42"/>
      <c r="F92" s="42"/>
      <c r="G92" s="42"/>
      <c r="H92" s="5" t="s">
        <v>2775</v>
      </c>
      <c r="I92" s="4"/>
      <c r="J92" s="37">
        <v>8427967</v>
      </c>
      <c r="K92" s="4">
        <v>2007</v>
      </c>
      <c r="L92" s="34" t="s">
        <v>2781</v>
      </c>
      <c r="M92" s="34" t="s">
        <v>2782</v>
      </c>
      <c r="N92" s="4" t="s">
        <v>2674</v>
      </c>
      <c r="O92" s="4"/>
      <c r="P92" s="4"/>
      <c r="Q92" s="4"/>
    </row>
    <row r="93" spans="1:17" ht="25.5" x14ac:dyDescent="0.25">
      <c r="A93" s="4">
        <v>86</v>
      </c>
      <c r="B93" s="42"/>
      <c r="C93" s="42"/>
      <c r="D93" s="42"/>
      <c r="E93" s="42"/>
      <c r="F93" s="42"/>
      <c r="G93" s="42"/>
      <c r="H93" s="4" t="s">
        <v>2783</v>
      </c>
      <c r="I93" s="4"/>
      <c r="J93" s="4">
        <v>51510184744</v>
      </c>
      <c r="K93" s="4">
        <v>2016</v>
      </c>
      <c r="L93" s="36">
        <v>44770</v>
      </c>
      <c r="M93" s="34">
        <v>45501</v>
      </c>
      <c r="N93" s="4" t="s">
        <v>2674</v>
      </c>
      <c r="O93" s="4"/>
      <c r="P93" s="4"/>
      <c r="Q93" s="4"/>
    </row>
    <row r="94" spans="1:17" ht="23.85" customHeight="1" x14ac:dyDescent="0.25">
      <c r="A94" s="4">
        <v>87</v>
      </c>
      <c r="B94" s="42"/>
      <c r="C94" s="42"/>
      <c r="D94" s="42"/>
      <c r="E94" s="42" t="s">
        <v>2784</v>
      </c>
      <c r="F94" s="42" t="s">
        <v>68</v>
      </c>
      <c r="G94" s="42" t="s">
        <v>2674</v>
      </c>
      <c r="H94" s="5" t="s">
        <v>2774</v>
      </c>
      <c r="I94" s="4">
        <v>350</v>
      </c>
      <c r="J94" s="4">
        <v>17958297</v>
      </c>
      <c r="K94" s="4">
        <v>2007</v>
      </c>
      <c r="L94" s="34" t="s">
        <v>2785</v>
      </c>
      <c r="M94" s="34" t="s">
        <v>2786</v>
      </c>
      <c r="N94" s="4" t="s">
        <v>2674</v>
      </c>
      <c r="O94" s="4"/>
      <c r="P94" s="4"/>
      <c r="Q94" s="4"/>
    </row>
    <row r="95" spans="1:17" x14ac:dyDescent="0.25">
      <c r="A95" s="4">
        <v>88</v>
      </c>
      <c r="B95" s="42"/>
      <c r="C95" s="42"/>
      <c r="D95" s="42"/>
      <c r="E95" s="42"/>
      <c r="F95" s="42"/>
      <c r="G95" s="42"/>
      <c r="H95" s="4" t="s">
        <v>2787</v>
      </c>
      <c r="I95" s="4"/>
      <c r="J95" s="4">
        <v>51510184728</v>
      </c>
      <c r="K95" s="4">
        <v>2018</v>
      </c>
      <c r="L95" s="34">
        <v>44859</v>
      </c>
      <c r="M95" s="34">
        <v>45590</v>
      </c>
      <c r="N95" s="4" t="s">
        <v>2674</v>
      </c>
      <c r="O95" s="4"/>
      <c r="P95" s="4"/>
      <c r="Q95" s="4"/>
    </row>
    <row r="96" spans="1:17" ht="23.85" customHeight="1" x14ac:dyDescent="0.25">
      <c r="A96" s="4">
        <v>89</v>
      </c>
      <c r="B96" s="42"/>
      <c r="C96" s="42"/>
      <c r="D96" s="42"/>
      <c r="E96" s="42" t="s">
        <v>2788</v>
      </c>
      <c r="F96" s="42" t="s">
        <v>68</v>
      </c>
      <c r="G96" s="42" t="s">
        <v>2674</v>
      </c>
      <c r="H96" s="5" t="s">
        <v>2774</v>
      </c>
      <c r="I96" s="4">
        <v>350</v>
      </c>
      <c r="J96" s="4">
        <v>17958296</v>
      </c>
      <c r="K96" s="4">
        <v>2007</v>
      </c>
      <c r="L96" s="34">
        <v>44692</v>
      </c>
      <c r="M96" s="34">
        <v>45423</v>
      </c>
      <c r="N96" s="4" t="s">
        <v>2674</v>
      </c>
      <c r="O96" s="4"/>
      <c r="P96" s="4"/>
      <c r="Q96" s="4"/>
    </row>
    <row r="97" spans="1:17" x14ac:dyDescent="0.25">
      <c r="A97" s="4">
        <v>90</v>
      </c>
      <c r="B97" s="42"/>
      <c r="C97" s="42"/>
      <c r="D97" s="42"/>
      <c r="E97" s="42"/>
      <c r="F97" s="42"/>
      <c r="G97" s="42"/>
      <c r="H97" s="4" t="s">
        <v>2787</v>
      </c>
      <c r="I97" s="4"/>
      <c r="J97" s="4">
        <v>51510184734</v>
      </c>
      <c r="K97" s="4">
        <v>2018</v>
      </c>
      <c r="L97" s="34">
        <v>44686</v>
      </c>
      <c r="M97" s="34">
        <v>45417</v>
      </c>
      <c r="N97" s="4" t="s">
        <v>2674</v>
      </c>
      <c r="O97" s="4"/>
      <c r="P97" s="4"/>
      <c r="Q97" s="4"/>
    </row>
    <row r="98" spans="1:17" ht="25.5" x14ac:dyDescent="0.25">
      <c r="A98" s="4">
        <v>91</v>
      </c>
      <c r="B98" s="42"/>
      <c r="C98" s="42"/>
      <c r="D98" s="4"/>
      <c r="E98" s="4" t="s">
        <v>2789</v>
      </c>
      <c r="F98" s="4" t="s">
        <v>68</v>
      </c>
      <c r="G98" s="4" t="s">
        <v>2674</v>
      </c>
      <c r="H98" s="4" t="s">
        <v>2790</v>
      </c>
      <c r="I98" s="4">
        <v>100</v>
      </c>
      <c r="J98" s="4">
        <v>903363</v>
      </c>
      <c r="K98" s="4">
        <v>2009</v>
      </c>
      <c r="L98" s="34">
        <v>44539</v>
      </c>
      <c r="M98" s="34">
        <v>45999</v>
      </c>
      <c r="N98" s="4" t="s">
        <v>2674</v>
      </c>
      <c r="O98" s="4"/>
      <c r="P98" s="4"/>
      <c r="Q98" s="4"/>
    </row>
    <row r="99" spans="1:17" ht="25.5" x14ac:dyDescent="0.25">
      <c r="A99" s="4">
        <v>92</v>
      </c>
      <c r="B99" s="42"/>
      <c r="C99" s="42"/>
      <c r="D99" s="4"/>
      <c r="E99" s="4" t="s">
        <v>2791</v>
      </c>
      <c r="F99" s="4" t="s">
        <v>68</v>
      </c>
      <c r="G99" s="4" t="s">
        <v>2674</v>
      </c>
      <c r="H99" s="4" t="s">
        <v>2792</v>
      </c>
      <c r="I99" s="4">
        <v>100</v>
      </c>
      <c r="J99" s="4">
        <v>1200988</v>
      </c>
      <c r="K99" s="4">
        <v>2009</v>
      </c>
      <c r="L99" s="34">
        <v>44041</v>
      </c>
      <c r="M99" s="34">
        <v>45502</v>
      </c>
      <c r="N99" s="4" t="s">
        <v>2674</v>
      </c>
      <c r="O99" s="4"/>
      <c r="P99" s="4"/>
      <c r="Q99" s="4"/>
    </row>
    <row r="100" spans="1:17" ht="25.5" x14ac:dyDescent="0.25">
      <c r="A100" s="4">
        <v>93</v>
      </c>
      <c r="B100" s="42"/>
      <c r="C100" s="42"/>
      <c r="D100" s="4"/>
      <c r="E100" s="4" t="s">
        <v>2793</v>
      </c>
      <c r="F100" s="4" t="s">
        <v>68</v>
      </c>
      <c r="G100" s="4" t="s">
        <v>2674</v>
      </c>
      <c r="H100" s="4" t="s">
        <v>2794</v>
      </c>
      <c r="I100" s="4">
        <v>100</v>
      </c>
      <c r="J100" s="4">
        <v>1200550</v>
      </c>
      <c r="K100" s="4">
        <v>2012</v>
      </c>
      <c r="L100" s="34">
        <v>44040</v>
      </c>
      <c r="M100" s="34">
        <v>45501</v>
      </c>
      <c r="N100" s="4" t="s">
        <v>2674</v>
      </c>
      <c r="O100" s="4"/>
      <c r="P100" s="4"/>
      <c r="Q100" s="4"/>
    </row>
    <row r="101" spans="1:17" ht="25.5" x14ac:dyDescent="0.25">
      <c r="A101" s="4">
        <v>94</v>
      </c>
      <c r="B101" s="42"/>
      <c r="C101" s="42"/>
      <c r="D101" s="4"/>
      <c r="E101" s="4" t="s">
        <v>2795</v>
      </c>
      <c r="F101" s="4" t="s">
        <v>68</v>
      </c>
      <c r="G101" s="4" t="s">
        <v>2674</v>
      </c>
      <c r="H101" s="4" t="s">
        <v>2796</v>
      </c>
      <c r="I101" s="4">
        <v>100</v>
      </c>
      <c r="J101" s="4">
        <v>903121</v>
      </c>
      <c r="K101" s="4">
        <v>2009</v>
      </c>
      <c r="L101" s="34">
        <v>44041</v>
      </c>
      <c r="M101" s="34">
        <v>45502</v>
      </c>
      <c r="N101" s="4" t="s">
        <v>2674</v>
      </c>
      <c r="O101" s="4"/>
      <c r="P101" s="4"/>
      <c r="Q101" s="4"/>
    </row>
    <row r="102" spans="1:17" ht="25.5" x14ac:dyDescent="0.25">
      <c r="A102" s="4">
        <v>95</v>
      </c>
      <c r="B102" s="42"/>
      <c r="C102" s="42"/>
      <c r="D102" s="4"/>
      <c r="E102" s="4" t="s">
        <v>2797</v>
      </c>
      <c r="F102" s="4" t="s">
        <v>68</v>
      </c>
      <c r="G102" s="4" t="s">
        <v>2674</v>
      </c>
      <c r="H102" s="4" t="s">
        <v>2798</v>
      </c>
      <c r="I102" s="4">
        <v>100</v>
      </c>
      <c r="J102" s="4">
        <v>1201113</v>
      </c>
      <c r="K102" s="4">
        <v>2012</v>
      </c>
      <c r="L102" s="34">
        <v>44041</v>
      </c>
      <c r="M102" s="34">
        <v>45502</v>
      </c>
      <c r="N102" s="4" t="s">
        <v>2674</v>
      </c>
      <c r="O102" s="4"/>
      <c r="P102" s="4"/>
      <c r="Q102" s="4"/>
    </row>
    <row r="103" spans="1:17" ht="25.5" x14ac:dyDescent="0.25">
      <c r="A103" s="4">
        <v>96</v>
      </c>
      <c r="B103" s="42"/>
      <c r="C103" s="42"/>
      <c r="D103" s="4"/>
      <c r="E103" s="4" t="s">
        <v>2799</v>
      </c>
      <c r="F103" s="4" t="s">
        <v>68</v>
      </c>
      <c r="G103" s="4" t="s">
        <v>2674</v>
      </c>
      <c r="H103" s="4" t="s">
        <v>2800</v>
      </c>
      <c r="I103" s="4">
        <v>100</v>
      </c>
      <c r="J103" s="4">
        <v>903411</v>
      </c>
      <c r="K103" s="4">
        <v>2009</v>
      </c>
      <c r="L103" s="34">
        <v>44042</v>
      </c>
      <c r="M103" s="34">
        <v>45503</v>
      </c>
      <c r="N103" s="4" t="s">
        <v>2674</v>
      </c>
      <c r="O103" s="4"/>
      <c r="P103" s="4"/>
      <c r="Q103" s="4"/>
    </row>
    <row r="104" spans="1:17" ht="25.5" customHeight="1" x14ac:dyDescent="0.25">
      <c r="A104" s="4">
        <v>97</v>
      </c>
      <c r="B104" s="42"/>
      <c r="C104" s="42"/>
      <c r="D104" s="42"/>
      <c r="E104" s="42" t="s">
        <v>2801</v>
      </c>
      <c r="F104" s="42" t="s">
        <v>32</v>
      </c>
      <c r="G104" s="42" t="s">
        <v>2674</v>
      </c>
      <c r="H104" s="4" t="s">
        <v>2802</v>
      </c>
      <c r="I104" s="4"/>
      <c r="J104" s="4">
        <v>801732</v>
      </c>
      <c r="K104" s="4">
        <v>2009</v>
      </c>
      <c r="L104" s="34" t="s">
        <v>2803</v>
      </c>
      <c r="M104" s="34" t="s">
        <v>2804</v>
      </c>
      <c r="N104" s="4" t="s">
        <v>2674</v>
      </c>
      <c r="O104" s="4"/>
      <c r="P104" s="4"/>
      <c r="Q104" s="4"/>
    </row>
    <row r="105" spans="1:17" ht="25.5" x14ac:dyDescent="0.25">
      <c r="A105" s="4">
        <v>98</v>
      </c>
      <c r="B105" s="42"/>
      <c r="C105" s="42"/>
      <c r="D105" s="42"/>
      <c r="E105" s="42"/>
      <c r="F105" s="42"/>
      <c r="G105" s="42"/>
      <c r="H105" s="5" t="s">
        <v>2805</v>
      </c>
      <c r="I105" s="4">
        <v>100</v>
      </c>
      <c r="J105" s="4">
        <v>7909</v>
      </c>
      <c r="K105" s="4">
        <v>2010</v>
      </c>
      <c r="L105" s="34">
        <v>44433</v>
      </c>
      <c r="M105" s="34">
        <v>45894</v>
      </c>
      <c r="N105" s="4" t="s">
        <v>2674</v>
      </c>
      <c r="O105" s="4"/>
      <c r="P105" s="4"/>
      <c r="Q105" s="4"/>
    </row>
    <row r="106" spans="1:17" ht="25.5" x14ac:dyDescent="0.25">
      <c r="A106" s="4">
        <v>99</v>
      </c>
      <c r="B106" s="42"/>
      <c r="C106" s="42"/>
      <c r="D106" s="4"/>
      <c r="E106" s="4" t="s">
        <v>2806</v>
      </c>
      <c r="F106" s="4" t="s">
        <v>32</v>
      </c>
      <c r="G106" s="4" t="s">
        <v>2674</v>
      </c>
      <c r="H106" s="5" t="s">
        <v>2805</v>
      </c>
      <c r="I106" s="4">
        <v>100</v>
      </c>
      <c r="J106" s="4">
        <v>7908</v>
      </c>
      <c r="K106" s="4">
        <v>2010</v>
      </c>
      <c r="L106" s="34">
        <v>44433</v>
      </c>
      <c r="M106" s="34">
        <v>45894</v>
      </c>
      <c r="N106" s="4" t="s">
        <v>2674</v>
      </c>
      <c r="O106" s="4"/>
      <c r="P106" s="4"/>
      <c r="Q106" s="4"/>
    </row>
  </sheetData>
  <autoFilter ref="A9:BE106"/>
  <mergeCells count="121">
    <mergeCell ref="D94:D95"/>
    <mergeCell ref="E94:E95"/>
    <mergeCell ref="F94:F95"/>
    <mergeCell ref="G94:G95"/>
    <mergeCell ref="D96:D97"/>
    <mergeCell ref="E96:E97"/>
    <mergeCell ref="F96:F97"/>
    <mergeCell ref="G96:G97"/>
    <mergeCell ref="D104:D105"/>
    <mergeCell ref="E104:E105"/>
    <mergeCell ref="F104:F105"/>
    <mergeCell ref="G104:G105"/>
    <mergeCell ref="E50:E51"/>
    <mergeCell ref="F50:F51"/>
    <mergeCell ref="G50:G51"/>
    <mergeCell ref="E52:E53"/>
    <mergeCell ref="F52:F53"/>
    <mergeCell ref="G52:G53"/>
    <mergeCell ref="B54:B106"/>
    <mergeCell ref="C54:C106"/>
    <mergeCell ref="D56:D66"/>
    <mergeCell ref="E56:E66"/>
    <mergeCell ref="F56:F66"/>
    <mergeCell ref="G56:G66"/>
    <mergeCell ref="D67:D85"/>
    <mergeCell ref="E67:E85"/>
    <mergeCell ref="F67:F85"/>
    <mergeCell ref="G67:G85"/>
    <mergeCell ref="D86:D89"/>
    <mergeCell ref="E86:E89"/>
    <mergeCell ref="F86:F89"/>
    <mergeCell ref="G86:G89"/>
    <mergeCell ref="D90:D93"/>
    <mergeCell ref="E90:E93"/>
    <mergeCell ref="F90:F93"/>
    <mergeCell ref="G90:G93"/>
    <mergeCell ref="E44:E45"/>
    <mergeCell ref="F44:F45"/>
    <mergeCell ref="G44:G45"/>
    <mergeCell ref="E46:E47"/>
    <mergeCell ref="F46:F47"/>
    <mergeCell ref="G46:G47"/>
    <mergeCell ref="E48:E49"/>
    <mergeCell ref="F48:F49"/>
    <mergeCell ref="G48:G49"/>
    <mergeCell ref="B30:B53"/>
    <mergeCell ref="C30:C53"/>
    <mergeCell ref="D30:D53"/>
    <mergeCell ref="E30:E31"/>
    <mergeCell ref="F30:F31"/>
    <mergeCell ref="G30:G31"/>
    <mergeCell ref="E32:E33"/>
    <mergeCell ref="F32:F33"/>
    <mergeCell ref="G32:G33"/>
    <mergeCell ref="E34:E35"/>
    <mergeCell ref="F34:F35"/>
    <mergeCell ref="G34:G35"/>
    <mergeCell ref="E36:E37"/>
    <mergeCell ref="F36:F37"/>
    <mergeCell ref="G36:G37"/>
    <mergeCell ref="E38:E39"/>
    <mergeCell ref="F38:F39"/>
    <mergeCell ref="G38:G39"/>
    <mergeCell ref="E40:E41"/>
    <mergeCell ref="F40:F41"/>
    <mergeCell ref="G40:G41"/>
    <mergeCell ref="E42:E43"/>
    <mergeCell ref="F42:F43"/>
    <mergeCell ref="G42:G43"/>
    <mergeCell ref="E24:E25"/>
    <mergeCell ref="F24:F25"/>
    <mergeCell ref="G24:G25"/>
    <mergeCell ref="E26:E27"/>
    <mergeCell ref="F26:F27"/>
    <mergeCell ref="G26:G27"/>
    <mergeCell ref="E28:E29"/>
    <mergeCell ref="F28:F29"/>
    <mergeCell ref="G28:G29"/>
    <mergeCell ref="B10:B29"/>
    <mergeCell ref="C10:C29"/>
    <mergeCell ref="D10:D29"/>
    <mergeCell ref="E10:E11"/>
    <mergeCell ref="F10:F11"/>
    <mergeCell ref="G10:G11"/>
    <mergeCell ref="E12:E13"/>
    <mergeCell ref="F12:F13"/>
    <mergeCell ref="G12:G13"/>
    <mergeCell ref="E14:E15"/>
    <mergeCell ref="F14:F15"/>
    <mergeCell ref="G14:G15"/>
    <mergeCell ref="E16:E17"/>
    <mergeCell ref="F16:F17"/>
    <mergeCell ref="G16:G17"/>
    <mergeCell ref="E18:E19"/>
    <mergeCell ref="F18:F19"/>
    <mergeCell ref="G18:G19"/>
    <mergeCell ref="E20:E21"/>
    <mergeCell ref="F20:F21"/>
    <mergeCell ref="G20:G21"/>
    <mergeCell ref="E22:E23"/>
    <mergeCell ref="F22:F23"/>
    <mergeCell ref="G22:G23"/>
    <mergeCell ref="A1:Q1"/>
    <mergeCell ref="A2:Q2"/>
    <mergeCell ref="A3:Q3"/>
    <mergeCell ref="A4:Q4"/>
    <mergeCell ref="A5:Q5"/>
    <mergeCell ref="A6:A8"/>
    <mergeCell ref="B6:B8"/>
    <mergeCell ref="C6:C8"/>
    <mergeCell ref="D6:D8"/>
    <mergeCell ref="E6:E8"/>
    <mergeCell ref="F6:F8"/>
    <mergeCell ref="G6:G8"/>
    <mergeCell ref="H6:N6"/>
    <mergeCell ref="O6:P6"/>
    <mergeCell ref="Q6:Q8"/>
    <mergeCell ref="H7:K7"/>
    <mergeCell ref="L7:N7"/>
    <mergeCell ref="O7:O8"/>
    <mergeCell ref="P7:P8"/>
  </mergeCells>
  <conditionalFormatting sqref="H8:I8">
    <cfRule type="colorScale" priority="3">
      <colorScale>
        <cfvo type="min"/>
        <cfvo type="max"/>
        <color rgb="FFFFEF9C"/>
        <color rgb="FFFF7128"/>
      </colorScale>
    </cfRule>
  </conditionalFormatting>
  <conditionalFormatting sqref="H8:I8">
    <cfRule type="iconSet" priority="2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6" workbookViewId="0">
      <selection activeCell="D45" sqref="D45"/>
    </sheetView>
  </sheetViews>
  <sheetFormatPr defaultColWidth="8.7109375" defaultRowHeight="15" x14ac:dyDescent="0.25"/>
  <sheetData>
    <row r="1" spans="1:1" x14ac:dyDescent="0.25">
      <c r="A1" s="38">
        <v>10</v>
      </c>
    </row>
    <row r="2" spans="1:1" x14ac:dyDescent="0.25">
      <c r="A2" s="38">
        <v>20</v>
      </c>
    </row>
    <row r="3" spans="1:1" x14ac:dyDescent="0.25">
      <c r="A3" s="38">
        <v>30</v>
      </c>
    </row>
    <row r="4" spans="1:1" x14ac:dyDescent="0.25">
      <c r="A4" s="38">
        <v>40</v>
      </c>
    </row>
    <row r="5" spans="1:1" x14ac:dyDescent="0.25">
      <c r="A5" s="38">
        <v>50</v>
      </c>
    </row>
    <row r="6" spans="1:1" x14ac:dyDescent="0.25">
      <c r="A6" s="38">
        <v>60</v>
      </c>
    </row>
    <row r="7" spans="1:1" x14ac:dyDescent="0.25">
      <c r="A7" s="38">
        <v>70</v>
      </c>
    </row>
    <row r="8" spans="1:1" x14ac:dyDescent="0.25">
      <c r="A8" s="38">
        <v>80</v>
      </c>
    </row>
    <row r="9" spans="1:1" x14ac:dyDescent="0.25">
      <c r="A9" s="38">
        <v>90</v>
      </c>
    </row>
    <row r="10" spans="1:1" x14ac:dyDescent="0.25">
      <c r="A10" s="38">
        <v>100</v>
      </c>
    </row>
    <row r="11" spans="1:1" x14ac:dyDescent="0.25">
      <c r="A11" s="38">
        <v>110</v>
      </c>
    </row>
    <row r="12" spans="1:1" x14ac:dyDescent="0.25">
      <c r="A12" s="38">
        <v>120</v>
      </c>
    </row>
    <row r="13" spans="1:1" x14ac:dyDescent="0.25">
      <c r="A13" s="38">
        <v>130</v>
      </c>
    </row>
    <row r="14" spans="1:1" x14ac:dyDescent="0.25">
      <c r="A14" s="38">
        <v>140</v>
      </c>
    </row>
    <row r="15" spans="1:1" x14ac:dyDescent="0.25">
      <c r="A15" s="38">
        <v>150</v>
      </c>
    </row>
    <row r="16" spans="1:1" x14ac:dyDescent="0.25">
      <c r="A16" s="38">
        <v>160</v>
      </c>
    </row>
    <row r="17" spans="1:2" x14ac:dyDescent="0.25">
      <c r="A17" s="38">
        <v>170</v>
      </c>
    </row>
    <row r="18" spans="1:2" x14ac:dyDescent="0.25">
      <c r="A18" s="38">
        <v>180</v>
      </c>
    </row>
    <row r="19" spans="1:2" x14ac:dyDescent="0.25">
      <c r="A19" s="38">
        <v>190</v>
      </c>
    </row>
    <row r="20" spans="1:2" x14ac:dyDescent="0.25">
      <c r="A20" s="38">
        <v>200</v>
      </c>
    </row>
    <row r="21" spans="1:2" x14ac:dyDescent="0.25">
      <c r="A21" s="38">
        <v>210</v>
      </c>
    </row>
    <row r="22" spans="1:2" x14ac:dyDescent="0.25">
      <c r="A22" s="38">
        <v>220</v>
      </c>
    </row>
    <row r="23" spans="1:2" x14ac:dyDescent="0.25">
      <c r="A23" s="38">
        <v>230</v>
      </c>
    </row>
    <row r="24" spans="1:2" x14ac:dyDescent="0.25">
      <c r="A24" s="38">
        <v>240</v>
      </c>
    </row>
    <row r="25" spans="1:2" x14ac:dyDescent="0.25">
      <c r="A25" s="38">
        <v>250</v>
      </c>
    </row>
    <row r="26" spans="1:2" x14ac:dyDescent="0.25">
      <c r="A26" s="38">
        <v>260</v>
      </c>
    </row>
    <row r="27" spans="1:2" x14ac:dyDescent="0.25">
      <c r="A27" s="38">
        <v>270</v>
      </c>
    </row>
    <row r="28" spans="1:2" x14ac:dyDescent="0.25">
      <c r="A28" s="38">
        <v>280</v>
      </c>
    </row>
    <row r="29" spans="1:2" x14ac:dyDescent="0.25">
      <c r="A29" s="38">
        <v>290</v>
      </c>
    </row>
    <row r="30" spans="1:2" x14ac:dyDescent="0.25">
      <c r="A30" s="38">
        <v>300</v>
      </c>
    </row>
    <row r="31" spans="1:2" x14ac:dyDescent="0.25">
      <c r="A31" s="38">
        <f>SUM(A1:A30)</f>
        <v>4650</v>
      </c>
      <c r="B31" s="38">
        <f>A31*11</f>
        <v>51150</v>
      </c>
    </row>
    <row r="35" spans="1:5" x14ac:dyDescent="0.25">
      <c r="B35" s="39">
        <v>2025</v>
      </c>
      <c r="C35" s="39">
        <v>2026</v>
      </c>
      <c r="D35" s="39">
        <v>2027</v>
      </c>
      <c r="E35" s="39">
        <v>2028</v>
      </c>
    </row>
    <row r="36" spans="1:5" x14ac:dyDescent="0.25">
      <c r="A36" s="38" t="s">
        <v>2807</v>
      </c>
      <c r="B36" s="39" t="s">
        <v>2647</v>
      </c>
      <c r="C36" s="39" t="s">
        <v>2647</v>
      </c>
      <c r="D36" s="39">
        <v>8</v>
      </c>
      <c r="E36" s="39">
        <v>67</v>
      </c>
    </row>
    <row r="37" spans="1:5" x14ac:dyDescent="0.25">
      <c r="A37" s="38" t="s">
        <v>2808</v>
      </c>
      <c r="B37" s="39">
        <v>122</v>
      </c>
      <c r="C37" s="39">
        <v>374</v>
      </c>
      <c r="D37" s="39">
        <v>43</v>
      </c>
      <c r="E37" s="39">
        <v>122</v>
      </c>
    </row>
    <row r="38" spans="1:5" x14ac:dyDescent="0.25">
      <c r="A38" s="38" t="s">
        <v>2809</v>
      </c>
      <c r="B38" s="39" t="s">
        <v>2647</v>
      </c>
      <c r="C38" s="39">
        <v>37</v>
      </c>
      <c r="D38" s="39">
        <v>30</v>
      </c>
      <c r="E38" s="39">
        <v>5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Прил.1.1 (Сч,ТТ,ТН)</vt:lpstr>
      <vt:lpstr>Прил.1.2 (УСПД, УССВ, АИИС</vt:lpstr>
      <vt:lpstr>Прил.1.3 (Энергоресурсы) (2)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serg</cp:lastModifiedBy>
  <cp:revision>29</cp:revision>
  <dcterms:created xsi:type="dcterms:W3CDTF">2006-09-28T05:33:49Z</dcterms:created>
  <dcterms:modified xsi:type="dcterms:W3CDTF">2026-06-28T12:19:57Z</dcterms:modified>
  <dc:language>ru-RU</dc:language>
</cp:coreProperties>
</file>